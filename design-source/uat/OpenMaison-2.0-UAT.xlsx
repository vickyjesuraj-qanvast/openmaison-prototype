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AT · Start here" sheetId="1" state="visible" r:id="rId1"/>
    <sheet name="UAT · Dane" sheetId="2" state="visible" r:id="rId2"/>
    <sheet name="UAT · Oliva" sheetId="3" state="visible" r:id="rId3"/>
    <sheet name="UAT · Swati" sheetId="4" state="visible" r:id="rId4"/>
    <sheet name="UAT · Missing or other" sheetId="5" state="visible" r:id="rId5"/>
    <sheet name="UAT · Summary" sheetId="6" state="visible" r:id="rId6"/>
    <sheet name="UAT · 1.0 checklist" sheetId="7" state="visible" r:id="rId7"/>
    <sheet name="UAT · Lists" sheetId="8" state="hidden" r:id="rId8"/>
  </sheets>
  <definedNames>
    <definedName name="_xlnm._FilterDatabase" localSheetId="6" hidden="1">'UAT · 1.0 checklist'!$A$3:$J$1140</definedName>
  </definedNames>
  <calcPr calcId="124519" fullCalcOnLoad="1"/>
</workbook>
</file>

<file path=xl/styles.xml><?xml version="1.0" encoding="utf-8"?>
<styleSheet xmlns="http://schemas.openxmlformats.org/spreadsheetml/2006/main">
  <numFmts count="1">
    <numFmt numFmtId="164" formatCode="d mmm yyyy"/>
  </numFmts>
  <fonts count="12">
    <font>
      <name val="Calibri"/>
      <family val="2"/>
      <color theme="1"/>
      <sz val="11"/>
      <scheme val="minor"/>
    </font>
    <font>
      <name val="Arial"/>
      <b val="1"/>
      <color rgb="001F1F29"/>
      <sz val="10"/>
    </font>
    <font>
      <name val="Arial"/>
      <color rgb="001F1F29"/>
      <sz val="10"/>
    </font>
    <font>
      <name val="Arial"/>
      <b val="1"/>
      <color rgb="001F1F29"/>
      <sz val="14"/>
    </font>
    <font>
      <name val="Arial"/>
      <color rgb="006B6B7B"/>
      <sz val="10"/>
    </font>
    <font>
      <name val="Arial"/>
      <b val="1"/>
      <color rgb="00FFFFFF"/>
      <sz val="10"/>
    </font>
    <font>
      <name val="Arial"/>
      <b val="1"/>
      <color rgb="00FFFFFF"/>
      <sz val="11"/>
    </font>
    <font>
      <name val="Arial"/>
      <b val="1"/>
      <color rgb="005500FF"/>
      <sz val="10"/>
    </font>
    <font>
      <name val="Arial"/>
      <b val="1"/>
      <color rgb="001F1F29"/>
      <sz val="12"/>
    </font>
    <font>
      <name val="Arial"/>
      <b val="1"/>
      <color rgb="008A5A00"/>
      <sz val="10"/>
    </font>
    <font>
      <name val="Arial"/>
      <b val="1"/>
      <color rgb="001F1F29"/>
      <sz val="18"/>
    </font>
    <font>
      <name val="Arial"/>
      <b val="1"/>
      <color rgb="001F1F29"/>
      <sz val="13"/>
    </font>
  </fonts>
  <fills count="8">
    <fill>
      <patternFill/>
    </fill>
    <fill>
      <patternFill patternType="gray125"/>
    </fill>
    <fill>
      <patternFill patternType="solid">
        <fgColor rgb="00E6E6EE"/>
        <bgColor rgb="00E6E6EE"/>
      </patternFill>
    </fill>
    <fill>
      <patternFill patternType="solid">
        <fgColor rgb="005500FF"/>
        <bgColor rgb="005500FF"/>
      </patternFill>
    </fill>
    <fill>
      <patternFill patternType="solid">
        <fgColor rgb="002A1A66"/>
        <bgColor rgb="002A1A66"/>
      </patternFill>
    </fill>
    <fill>
      <patternFill patternType="solid">
        <fgColor rgb="00FFFFFF"/>
        <bgColor rgb="00FFFFFF"/>
      </patternFill>
    </fill>
    <fill>
      <patternFill patternType="solid">
        <fgColor rgb="00F2F2F5"/>
        <bgColor rgb="00F2F2F5"/>
      </patternFill>
    </fill>
    <fill>
      <patternFill patternType="solid">
        <fgColor rgb="00EEE5FF"/>
        <bgColor rgb="00EEE5FF"/>
      </patternFill>
    </fill>
  </fills>
  <borders count="3">
    <border>
      <left/>
      <right/>
      <top/>
      <bottom/>
      <diagonal/>
    </border>
    <border>
      <left style="thin">
        <color rgb="00D9D9E3"/>
      </left>
      <right style="thin">
        <color rgb="00D9D9E3"/>
      </right>
      <top style="thin">
        <color rgb="00D9D9E3"/>
      </top>
      <bottom style="thin">
        <color rgb="00D9D9E3"/>
      </bottom>
    </border>
    <border>
      <top style="thin">
        <color rgb="001F1F29"/>
      </top>
    </border>
  </borders>
  <cellStyleXfs count="1">
    <xf numFmtId="0" fontId="0" fillId="0" borderId="0"/>
  </cellStyleXfs>
  <cellXfs count="29">
    <xf numFmtId="0" fontId="0" fillId="0" borderId="0" pivotButton="0" quotePrefix="0" xfId="0"/>
    <xf numFmtId="0" fontId="10" fillId="0" borderId="0" applyAlignment="1" pivotButton="0" quotePrefix="0" xfId="0">
      <alignment vertical="top" wrapText="1"/>
    </xf>
    <xf numFmtId="0" fontId="4" fillId="0" borderId="0" applyAlignment="1" pivotButton="0" quotePrefix="0" xfId="0">
      <alignment vertical="top" wrapText="1"/>
    </xf>
    <xf numFmtId="0" fontId="11"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3" fillId="0" borderId="0" pivotButton="0" quotePrefix="0" xfId="0"/>
    <xf numFmtId="0" fontId="1" fillId="2" borderId="1" applyAlignment="1" pivotButton="0" quotePrefix="0" xfId="0">
      <alignment vertical="center" wrapText="1"/>
    </xf>
    <xf numFmtId="0" fontId="5" fillId="3" borderId="1" applyAlignment="1" pivotButton="0" quotePrefix="0" xfId="0">
      <alignment vertical="center" wrapText="1"/>
    </xf>
    <xf numFmtId="0" fontId="6" fillId="4" borderId="0" applyAlignment="1" pivotButton="0" quotePrefix="0" xfId="0">
      <alignment vertical="center"/>
    </xf>
    <xf numFmtId="164" fontId="0" fillId="0" borderId="0" pivotButton="0" quotePrefix="0" xfId="0"/>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1" fillId="0" borderId="1" applyAlignment="1" pivotButton="0" quotePrefix="0" xfId="0">
      <alignment vertical="top" wrapText="1"/>
    </xf>
    <xf numFmtId="0" fontId="2" fillId="0" borderId="1" applyAlignment="1" pivotButton="0" quotePrefix="0" xfId="0">
      <alignment vertical="top" wrapText="1"/>
    </xf>
    <xf numFmtId="0" fontId="2" fillId="5" borderId="1" applyAlignment="1" pivotButton="0" quotePrefix="0" xfId="0">
      <alignment vertical="top" wrapText="1"/>
    </xf>
    <xf numFmtId="164" fontId="2" fillId="5" borderId="1" applyAlignment="1" pivotButton="0" quotePrefix="0" xfId="0">
      <alignment vertical="top" wrapText="1"/>
    </xf>
    <xf numFmtId="0" fontId="2" fillId="6" borderId="1" applyAlignment="1" pivotButton="0" quotePrefix="0" xfId="0">
      <alignment vertical="top" wrapText="1"/>
    </xf>
    <xf numFmtId="0" fontId="7" fillId="0" borderId="1" applyAlignment="1" pivotButton="0" quotePrefix="0" xfId="0">
      <alignment horizontal="center" vertical="top" wrapText="1"/>
    </xf>
    <xf numFmtId="0" fontId="4" fillId="0" borderId="0" pivotButton="0" quotePrefix="0" xfId="0"/>
    <xf numFmtId="0" fontId="8" fillId="0" borderId="0" pivotButton="0" quotePrefix="0" xfId="0"/>
    <xf numFmtId="0" fontId="5" fillId="3" borderId="0" pivotButton="0" quotePrefix="0" xfId="0"/>
    <xf numFmtId="0" fontId="1" fillId="0" borderId="0" pivotButton="0" quotePrefix="0" xfId="0"/>
    <xf numFmtId="0" fontId="1" fillId="7" borderId="0" applyAlignment="1" pivotButton="0" quotePrefix="0" xfId="0">
      <alignment horizontal="center"/>
    </xf>
    <xf numFmtId="0" fontId="2" fillId="0" borderId="0" pivotButton="0" quotePrefix="0" xfId="0"/>
    <xf numFmtId="0" fontId="2" fillId="0" borderId="0" applyAlignment="1" pivotButton="0" quotePrefix="0" xfId="0">
      <alignment horizontal="center"/>
    </xf>
    <xf numFmtId="0" fontId="1" fillId="0" borderId="2" applyAlignment="1" pivotButton="0" quotePrefix="0" xfId="0">
      <alignment horizontal="center"/>
    </xf>
    <xf numFmtId="0" fontId="1" fillId="2" borderId="1" pivotButton="0" quotePrefix="0" xfId="0"/>
    <xf numFmtId="0" fontId="9" fillId="0" borderId="1" applyAlignment="1" pivotButton="0" quotePrefix="0" xfId="0">
      <alignment vertical="top" wrapText="1"/>
    </xf>
  </cellXfs>
  <cellStyles count="1">
    <cellStyle name="Normal" xfId="0" builtinId="0" hidden="0"/>
  </cellStyles>
  <dxfs count="6">
    <dxf>
      <fill>
        <patternFill patternType="solid">
          <fgColor rgb="00DDF4E4"/>
          <bgColor rgb="00DDF4E4"/>
        </patternFill>
      </fill>
    </dxf>
    <dxf>
      <fill>
        <patternFill patternType="solid">
          <fgColor rgb="00FFF3CC"/>
          <bgColor rgb="00FFF3CC"/>
        </patternFill>
      </fill>
    </dxf>
    <dxf>
      <fill>
        <patternFill patternType="solid">
          <fgColor rgb="00FDDCDC"/>
          <bgColor rgb="00FDDCDC"/>
        </patternFill>
      </fill>
    </dxf>
    <dxf>
      <fill>
        <patternFill patternType="solid">
          <fgColor rgb="00DCE8FD"/>
          <bgColor rgb="00DCE8FD"/>
        </patternFill>
      </fill>
    </dxf>
    <dxf>
      <fill>
        <patternFill patternType="solid">
          <fgColor rgb="00EEEEEE"/>
          <bgColor rgb="00EEEEEE"/>
        </patternFill>
      </fill>
    </dxf>
    <dxf>
      <font>
        <name val="Arial"/>
        <b val="1"/>
        <color rgb="008A5A00"/>
      </font>
      <fill>
        <patternFill patternType="solid">
          <fgColor rgb="00FFF3CC"/>
          <bgColor rgb="00FFF3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500FF"/>
    <outlinePr summaryBelow="1" summaryRight="1"/>
    <pageSetUpPr/>
  </sheetPr>
  <dimension ref="B1:C51"/>
  <sheetViews>
    <sheetView workbookViewId="0">
      <selection activeCell="A1" sqref="A1"/>
    </sheetView>
  </sheetViews>
  <sheetFormatPr baseColWidth="8" defaultRowHeight="15"/>
  <cols>
    <col width="4" customWidth="1" min="1" max="1"/>
    <col width="30" customWidth="1" min="2" max="2"/>
    <col width="100" customWidth="1" min="3" max="3"/>
  </cols>
  <sheetData>
    <row r="1" ht="28" customHeight="1">
      <c r="B1" s="1" t="inlineStr">
        <is>
          <t>OpenMaison 2.0 — User acceptance test</t>
        </is>
      </c>
    </row>
    <row r="2" ht="18" customHeight="1">
      <c r="B2" s="2" t="inlineStr">
        <is>
          <t>Walk through 2.0 the way a studio would on its first day, and tell us what works, what doesn’t, and what you miss from 1.0.</t>
        </is>
      </c>
    </row>
    <row r="4">
      <c r="B4" s="3" t="inlineStr">
        <is>
          <t>The story</t>
        </is>
      </c>
    </row>
    <row r="5" ht="58" customHeight="1">
      <c r="B5" s="4" t="inlineStr">
        <is>
          <t>Demo Studio has just moved from OpenMaison 1.0 to 2.0. Its team, leads and quotes came across with it. You are Dane, the studio owner, logging in for the first time. Over thirteen chapters you set up the studio, receive leads, and take one new client — Sophia Wong, 9765 4321, a 4-room HDB in Tampines — from first call to signed contract. Then you look at the studio as a designer would, review the week, do it all again on your phone, and finally design Sophia’s living room in the AI Visualizer.</t>
        </is>
      </c>
    </row>
    <row r="7">
      <c r="B7" s="3" t="inlineStr">
        <is>
          <t>Before you start</t>
        </is>
      </c>
    </row>
    <row r="8" ht="30" customHeight="1">
      <c r="B8" s="5" t="inlineStr">
        <is>
          <t>1. Open the prototype</t>
        </is>
      </c>
      <c r="C8" s="4" t="inlineStr">
        <is>
          <t>In Terminal, in the openmaison-prototype folder: git pull, then npm run dev. Open http://localhost:3000 in Chrome, window at full width.</t>
        </is>
      </c>
    </row>
    <row r="9" ht="30" customHeight="1">
      <c r="B9" s="5" t="inlineStr">
        <is>
          <t>2. Start clean</t>
        </is>
      </c>
      <c r="C9" s="4" t="inlineStr">
        <is>
          <t>Click the ✦ button (bottom right) › “Reset prototype to base”. Do this ONCE, before chapter 1. Resetting later wipes Sophia Wong and your progress.</t>
        </is>
      </c>
    </row>
    <row r="10" ht="30" customHeight="1">
      <c r="B10" s="5" t="inlineStr">
        <is>
          <t>3. Your tab</t>
        </is>
      </c>
      <c r="C10" s="4" t="inlineStr">
        <is>
          <t>Work only in your own tab (UAT · Dane, UAT · Oliva, UAT · Swati). Go in order — each chapter continues from the one before.</t>
        </is>
      </c>
    </row>
    <row r="11" ht="18" customHeight="1">
      <c r="B11" s="5" t="inlineStr">
        <is>
          <t>4. Time</t>
        </is>
      </c>
      <c r="C11" s="4" t="inlineStr">
        <is>
          <t>About 30–60 minutes a chapter. Stop at a chapter’s end; the prototype remembers where you are.</t>
        </is>
      </c>
    </row>
    <row r="13">
      <c r="B13" s="3" t="inlineStr">
        <is>
          <t>How to answer</t>
        </is>
      </c>
    </row>
    <row r="14">
      <c r="B14" s="5" t="inlineStr">
        <is>
          <t>✅ Works</t>
        </is>
      </c>
      <c r="C14" s="4" t="inlineStr">
        <is>
          <t>It did what “You should see” says.</t>
        </is>
      </c>
    </row>
    <row r="15" ht="30" customHeight="1">
      <c r="B15" s="5" t="inlineStr">
        <is>
          <t>🟡 Works, but…</t>
        </is>
      </c>
      <c r="C15" s="4" t="inlineStr">
        <is>
          <t>It worked, but something felt wrong, slow, unclear or different from what you expected — say what in “What happened”.</t>
        </is>
      </c>
    </row>
    <row r="16" ht="30" customHeight="1">
      <c r="B16" s="5" t="inlineStr">
        <is>
          <t>❌ Doesn’t work</t>
        </is>
      </c>
      <c r="C16" s="4" t="inlineStr">
        <is>
          <t>It did not do what “You should see” says, or showed an error — say what you did and what you saw.</t>
        </is>
      </c>
    </row>
    <row r="17">
      <c r="B17" s="5" t="inlineStr">
        <is>
          <t>🔍 Couldn’t find it</t>
        </is>
      </c>
      <c r="C17" s="4" t="inlineStr">
        <is>
          <t>You could not find the button, page or option — say where you looked.</t>
        </is>
      </c>
    </row>
    <row r="18">
      <c r="B18" s="5" t="inlineStr">
        <is>
          <t>⏭️ Skipped</t>
        </is>
      </c>
      <c r="C18" s="4" t="inlineStr">
        <is>
          <t>You could not try it (for example, an earlier step failed) — say why.</t>
        </is>
      </c>
    </row>
    <row r="19" ht="30" customHeight="1">
      <c r="B19" s="5" t="inlineStr">
        <is>
          <t>Screenshot</t>
        </is>
      </c>
      <c r="C19" s="4" t="inlineStr">
        <is>
          <t>Mac: Cmd + Shift + 4, drag over the screen, then drop the file into the team’s Drive folder and paste its link. Windows: Win + Shift + S.</t>
        </is>
      </c>
    </row>
    <row r="20" ht="18" customHeight="1">
      <c r="B20" s="5" t="inlineStr">
        <is>
          <t>Re-tested</t>
        </is>
      </c>
      <c r="C20" s="4" t="inlineStr">
        <is>
          <t>When Status says “Fixed – please re-test”, try the step again and pick ✅ Fixed now or ❌ Still not right.</t>
        </is>
      </c>
    </row>
    <row r="22">
      <c r="B22" s="3" t="inlineStr">
        <is>
          <t>Good to know</t>
        </is>
      </c>
    </row>
    <row r="23" ht="44" customHeight="1">
      <c r="B23" s="5" t="inlineStr">
        <is>
          <t>View as</t>
        </is>
      </c>
      <c r="C23" s="4" t="inlineStr">
        <is>
          <t>Click “Demo Studio” at the bottom of the left menu to see the prototype as another member (a designer, the manager, the admin). Chapter 10 uses it. Switch back to Dane when a step says so — the bottom-left always shows who you are.</t>
        </is>
      </c>
    </row>
    <row r="24" ht="18" customHeight="1">
      <c r="B24" s="5" t="inlineStr">
        <is>
          <t>WhatsApp</t>
        </is>
      </c>
      <c r="C24" s="4" t="inlineStr">
        <is>
          <t>Some steps open WhatsApp in a new tab. Close it — never press Send. The prototype does not message anyone.</t>
        </is>
      </c>
    </row>
    <row r="25" ht="30" customHeight="1">
      <c r="B25" s="5" t="inlineStr">
        <is>
          <t>Client pages</t>
        </is>
      </c>
      <c r="C25" s="4" t="inlineStr">
        <is>
          <t>Where the client confirms a quote or signs a contract, you copy the link from the prototype and open it in a new tab — you play the client.</t>
        </is>
      </c>
    </row>
    <row r="26" ht="30" customHeight="1">
      <c r="B26" s="5" t="inlineStr">
        <is>
          <t>Your phone</t>
        </is>
      </c>
      <c r="C26" s="4" t="inlineStr">
        <is>
          <t>Chapter 12: when npm run dev starts, Terminal shows a “Network” address (like http://192.168.1.5:3000). Open it on a phone on the same Wi-Fi.</t>
        </is>
      </c>
    </row>
    <row r="27" ht="18" customHeight="1">
      <c r="B27" s="5" t="inlineStr">
        <is>
          <t>Sample files</t>
        </is>
      </c>
      <c r="C27" s="4" t="inlineStr">
        <is>
          <t>Steps that need a file name it — open http://localhost:3000/uat-files/ plus the file name to download it.</t>
        </is>
      </c>
    </row>
    <row r="28" ht="44" customHeight="1">
      <c r="B28" s="5" t="inlineStr">
        <is>
          <t>Not in 2.0 on purpose</t>
        </is>
      </c>
      <c r="C28" s="4" t="inlineStr">
        <is>
          <t>Journey mode (2.0 moves leads stage by stage), Archive (2.0 uses Delete with a Deleted list), Meetings, Dashboard, Projects, Marketplace and Chat. Their buttons answer “Coming soon in OpenMaison 2.0” — that is expected, not a bug.</t>
        </is>
      </c>
    </row>
    <row r="29" ht="30" customHeight="1">
      <c r="B29" s="5" t="inlineStr">
        <is>
          <t>Something else?</t>
        </is>
      </c>
      <c r="C29" s="4" t="inlineStr">
        <is>
          <t>Anything the story does not cover — especially something you did in 1.0 and cannot find here — goes in “UAT · Missing or other”.</t>
        </is>
      </c>
    </row>
    <row r="30" ht="18" customHeight="1">
      <c r="B30" s="5" t="inlineStr">
        <is>
          <t>Questions</t>
        </is>
      </c>
      <c r="C30" s="4" t="inlineStr">
        <is>
          <t>Ask Vicky or Dane.</t>
        </is>
      </c>
    </row>
    <row r="32">
      <c r="B32" s="3" t="inlineStr">
        <is>
          <t>Example of a filled row</t>
        </is>
      </c>
    </row>
    <row r="33">
      <c r="B33" s="5" t="inlineStr">
        <is>
          <t>Step</t>
        </is>
      </c>
      <c r="C33" s="4" t="inlineStr">
        <is>
          <t>4.03</t>
        </is>
      </c>
    </row>
    <row r="34">
      <c r="B34" s="5" t="inlineStr">
        <is>
          <t>Try this</t>
        </is>
      </c>
      <c r="C34" s="4" t="inlineStr">
        <is>
          <t>Add a lead with a phone number that already exists</t>
        </is>
      </c>
    </row>
    <row r="35">
      <c r="B35" s="5" t="inlineStr">
        <is>
          <t>Result</t>
        </is>
      </c>
      <c r="C35" s="4" t="inlineStr">
        <is>
          <t>🟡 Works, but…</t>
        </is>
      </c>
    </row>
    <row r="36">
      <c r="B36" s="5" t="inlineStr">
        <is>
          <t>What happened</t>
        </is>
      </c>
      <c r="C36" s="4" t="inlineStr">
        <is>
          <t>The warning came up, but I expected it to also show the lead’s stage.</t>
        </is>
      </c>
    </row>
    <row r="38">
      <c r="B38" s="3" t="inlineStr">
        <is>
          <t>Sample files</t>
        </is>
      </c>
    </row>
    <row r="39" ht="30" customHeight="1">
      <c r="B39" s="5" t="inlineStr">
        <is>
          <t>paynow-qr.png</t>
        </is>
      </c>
      <c r="C39" s="4" t="inlineStr">
        <is>
          <t>http://localhost:3000/uat-files/paynow-qr.png — Stands in for the PayNow QR a bank gives the studio (step 2.03). Any picture works — the prototype shows its own sample QR once one is picked.</t>
        </is>
      </c>
    </row>
    <row r="40" ht="30" customHeight="1">
      <c r="B40" s="5" t="inlineStr">
        <is>
          <t>fluted-panel.jpg</t>
        </is>
      </c>
      <c r="C40" s="4" t="inlineStr">
        <is>
          <t>http://localhost:3000/uat-files/fluted-panel.jpg — The photo for the tester's own price-book item, Fluted feature wall panel (step 3.05).</t>
        </is>
      </c>
    </row>
    <row r="41" ht="30" customHeight="1">
      <c r="B41" s="5" t="inlineStr">
        <is>
          <t>supplier-price-list.csv</t>
        </is>
      </c>
      <c r="C41" s="4" t="inlineStr">
        <is>
          <t>http://localhost:3000/uat-files/supplier-price-list.csv — A supplier's price list imported into My Items (steps 3.12–3.13): two new items, one match on an existing item (name + vendor), one repeated row, one new trade.</t>
        </is>
      </c>
    </row>
    <row r="42" ht="30" customHeight="1">
      <c r="B42" s="5" t="inlineStr">
        <is>
          <t>new-leads.xlsx</t>
        </is>
      </c>
      <c r="C42" s="4" t="inlineStr">
        <is>
          <t>http://localhost:3000/uat-files/new-leads.xlsx — 4.06–4.08 and 4.11: the spreadsheet import — 3 clean leads (one from Qanvast), 1 repeat of the seeded Gerald Tan (same phone) to exercise Review › merge, 1 row with no name that the import skips.</t>
        </is>
      </c>
    </row>
    <row r="43" ht="30" customHeight="1">
      <c r="B43" s="5" t="inlineStr">
        <is>
          <t>homematch-lead-sheet.pdf</t>
        </is>
      </c>
      <c r="C43" s="4" t="inlineStr">
        <is>
          <t>http://localhost:3000/uat-files/homematch-lead-sheet.pdf — 4.09: a portal's PDF lead sheet (two leads) read by the import's PDF reader (labelled 'Label: value' lines).</t>
        </is>
      </c>
    </row>
    <row r="44" ht="30" customHeight="1">
      <c r="B44" s="5" t="inlineStr">
        <is>
          <t>sophia-floor-plan.pdf</t>
        </is>
      </c>
      <c r="C44" s="4" t="inlineStr">
        <is>
          <t>http://localhost:3000/uat-files/sophia-floor-plan.pdf — 4.05: attached to Sophia Wong's lead when she is created; 5.14 finds it in her Files tab.</t>
        </is>
      </c>
    </row>
    <row r="45" ht="30" customHeight="1">
      <c r="B45" s="5" t="inlineStr">
        <is>
          <t>sophia-living-room.jpg</t>
        </is>
      </c>
      <c r="C45" s="4" t="inlineStr">
        <is>
          <t>http://localhost:3000/uat-files/sophia-living-room.jpg — 5.15: uploaded into the 'Site photos' folder on Sophia Wong's Files tab (5.16 comments on it; 13.01 opens it in the AI Visualizer).</t>
        </is>
      </c>
    </row>
    <row r="46" ht="30" customHeight="1">
      <c r="B46" s="5" t="inlineStr">
        <is>
          <t>sophia-items-to-paste.xlsx</t>
        </is>
      </c>
      <c r="C46" s="4" t="inlineStr">
        <is>
          <t>http://localhost:3000/uat-files/sophia-items-to-paste.xlsx — Chapter 6 (6.07): a block of quote lines the tester copies in Excel / Numbers / Google Sheets and pastes into Sophia’s Items table. Chapter 7 (7.10) reuses it as “Your quote” in Upload two quotes.</t>
        </is>
      </c>
    </row>
    <row r="47" ht="30" customHeight="1">
      <c r="B47" s="5" t="inlineStr">
        <is>
          <t>kitchen-moodboard.jpg</t>
        </is>
      </c>
      <c r="C47" s="4" t="inlineStr">
        <is>
          <t>http://localhost:3000/uat-files/kitchen-moodboard.jpg — Chapter 6 (6.22) the file attached to Sophia’s quote; 6.41 and chapter 7 (7.10) use it as a file the readers must refuse (a photo that is not a quote).</t>
        </is>
      </c>
    </row>
    <row r="48" ht="30" customHeight="1">
      <c r="B48" s="5" t="inlineStr">
        <is>
          <t>gerald-tan-old-quote.xlsx</t>
        </is>
      </c>
      <c r="C48" s="4" t="inlineStr">
        <is>
          <t>http://localhost:3000/uat-files/gerald-tan-old-quote.xlsx — Chapter 6 (6.41): an old 1.0-era quote as a spreadsheet, uploaded with “Upload a quote” for the seeded lead Gerald Tan.</t>
        </is>
      </c>
    </row>
    <row r="49" ht="30" customHeight="1">
      <c r="B49" s="5" t="inlineStr">
        <is>
          <t>rival-quote-urban-nest.xlsx</t>
        </is>
      </c>
      <c r="C49" s="4" t="inlineStr">
        <is>
          <t>http://localhost:3000/uat-files/rival-quote-urban-nest.xlsx — Chapter 7 (7.02): the rival studio’s quote Sophia shows you — Quote X-Ray reads spreadsheets for real. The tester types the studio name “Urban Nest Interiors”.</t>
        </is>
      </c>
    </row>
    <row r="50" ht="30" customHeight="1">
      <c r="B50" s="5" t="inlineStr">
        <is>
          <t>cove-interior-quotation.pdf</t>
        </is>
      </c>
      <c r="C50" s="4" t="inlineStr">
        <is>
          <t>http://localhost:3000/uat-files/cove-interior-quotation.pdf — Chapter 7 (7.10): a PDF quote from another studio. The prototype recognises the owner’s three sample quotes by FILE NAME (reading any PDF is the platform’s job), so the name must contain the word “cove”.</t>
        </is>
      </c>
    </row>
    <row r="51" ht="30" customHeight="1">
      <c r="B51" s="5" t="inlineStr">
        <is>
          <t>gerald-tan-signed-contract.pdf</t>
        </is>
      </c>
      <c r="C51" s="4" t="inlineStr">
        <is>
          <t>http://localhost:3000/uat-files/gerald-tan-signed-contract.pdf — Step 8.19 — a paper contract the client already signed, imported as a Signed contract (the app only keeps its name; any one-page PDF works).</t>
        </is>
      </c>
    </row>
  </sheetData>
  <mergeCells count="9">
    <mergeCell ref="B13:C13"/>
    <mergeCell ref="B38:C38"/>
    <mergeCell ref="B2:C2"/>
    <mergeCell ref="B7:C7"/>
    <mergeCell ref="B5:C5"/>
    <mergeCell ref="B22:C22"/>
    <mergeCell ref="B32:C32"/>
    <mergeCell ref="B1:C1"/>
    <mergeCell ref="B4:C4"/>
  </mergeCells>
  <pageMargins left="0.75" right="0.75" top="1" bottom="1" header="0.5" footer="0.5"/>
</worksheet>
</file>

<file path=xl/worksheets/sheet2.xml><?xml version="1.0" encoding="utf-8"?>
<worksheet xmlns="http://schemas.openxmlformats.org/spreadsheetml/2006/main">
  <sheetPr>
    <tabColor rgb="005500FF"/>
    <outlinePr summaryBelow="1" summaryRight="1"/>
    <pageSetUpPr/>
  </sheetPr>
  <dimension ref="A1:P318"/>
  <sheetViews>
    <sheetView zoomScale="100" workbookViewId="0">
      <pane xSplit="5" ySplit="3" topLeftCell="F4"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8" customWidth="1" min="3" max="3"/>
    <col width="12" customWidth="1" min="4" max="4"/>
    <col width="30" customWidth="1" min="5" max="5"/>
    <col width="46" customWidth="1" min="6" max="6"/>
    <col width="40" customWidth="1" min="7" max="7"/>
    <col width="22" customWidth="1" min="8" max="8"/>
    <col width="11" customWidth="1" min="9" max="9"/>
    <col width="18" customWidth="1" min="10" max="10"/>
    <col width="40" customWidth="1" min="11" max="11"/>
    <col width="18" customWidth="1" min="12" max="12"/>
    <col width="12" customWidth="1" min="13" max="13"/>
    <col width="30" customWidth="1" min="14" max="14"/>
    <col width="18" customWidth="1" min="15" max="15"/>
    <col width="15" customWidth="1" min="16" max="16"/>
  </cols>
  <sheetData>
    <row r="1">
      <c r="A1" s="6" t="inlineStr">
        <is>
          <t>Dane — the whole story, chapter by chapter</t>
        </is>
      </c>
    </row>
    <row r="2" ht="30" customHeight="1">
      <c r="A2" s="2" t="inlineStr">
        <is>
          <t>Go in order. Read “Try this”, follow “How”, compare with “You should see”, then pick a Result. Write in “What happened” only when it is not ✅. White columns are yours; grey columns are Vicky’s and Dane’s. See “UAT · Start here” first.</t>
        </is>
      </c>
    </row>
    <row r="3" ht="30" customHeight="1">
      <c r="A3" s="7" t="inlineStr">
        <is>
          <t>Ch</t>
        </is>
      </c>
      <c r="B3" s="7" t="inlineStr">
        <is>
          <t>Step</t>
        </is>
      </c>
      <c r="C3" s="7" t="inlineStr">
        <is>
          <t>Scene</t>
        </is>
      </c>
      <c r="D3" s="7" t="inlineStr">
        <is>
          <t>Module</t>
        </is>
      </c>
      <c r="E3" s="7" t="inlineStr">
        <is>
          <t>Try this</t>
        </is>
      </c>
      <c r="F3" s="7" t="inlineStr">
        <is>
          <t>How</t>
        </is>
      </c>
      <c r="G3" s="7" t="inlineStr">
        <is>
          <t>You should see</t>
        </is>
      </c>
      <c r="H3" s="7" t="inlineStr">
        <is>
          <t>In 1.0</t>
        </is>
      </c>
      <c r="I3" s="7" t="inlineStr">
        <is>
          <t>You are</t>
        </is>
      </c>
      <c r="J3" s="8" t="inlineStr">
        <is>
          <t>Result</t>
        </is>
      </c>
      <c r="K3" s="8" t="inlineStr">
        <is>
          <t>What happened (only if not ✅)</t>
        </is>
      </c>
      <c r="L3" s="8" t="inlineStr">
        <is>
          <t>Screenshot link</t>
        </is>
      </c>
      <c r="M3" s="8" t="inlineStr">
        <is>
          <t>Date tested</t>
        </is>
      </c>
      <c r="N3" s="7" t="inlineStr">
        <is>
          <t>Our reply</t>
        </is>
      </c>
      <c r="O3" s="7" t="inlineStr">
        <is>
          <t>Status</t>
        </is>
      </c>
      <c r="P3" s="8" t="inlineStr">
        <is>
          <t>Re-tested</t>
        </is>
      </c>
    </row>
    <row r="4" ht="22" customHeight="1">
      <c r="A4" s="9" t="inlineStr">
        <is>
          <t>Chapter 1 · First login — Look around your new workspace.</t>
        </is>
      </c>
      <c r="M4" s="10" t="n"/>
    </row>
    <row r="5">
      <c r="A5" s="11" t="n">
        <v>1</v>
      </c>
      <c r="B5" s="11" t="inlineStr">
        <is>
          <t>1.01</t>
        </is>
      </c>
      <c r="C5" s="12" t="inlineStr">
        <is>
          <t>Start fresh and look around</t>
        </is>
      </c>
      <c r="D5" s="12" t="inlineStr">
        <is>
          <t>Shell</t>
        </is>
      </c>
      <c r="E5" s="13" t="inlineStr">
        <is>
          <t>Start from the studio's day-one data</t>
        </is>
      </c>
      <c r="F5" s="14" t="inlineStr">
        <is>
          <t>1. Open http://localhost:3000
2. Click the ✦ "Maison AI" button, bottom right
3. Click "Reset prototype to base"
4. Click "Reset"</t>
        </is>
      </c>
      <c r="G5" s="14" t="inlineStr">
        <is>
          <t>A "Reset the prototype?" box warns that anything tried is lost; after "Reset" the Leads page reloads.</t>
        </is>
      </c>
      <c r="H5" s="12" t="inlineStr">
        <is>
          <t>New in 2.0</t>
        </is>
      </c>
      <c r="I5" s="11" t="inlineStr">
        <is>
          <t>Dane</t>
        </is>
      </c>
      <c r="J5" s="15" t="n"/>
      <c r="K5" s="15" t="n"/>
      <c r="L5" s="15" t="n"/>
      <c r="M5" s="16" t="n"/>
      <c r="N5" s="17" t="n"/>
      <c r="O5" s="17" t="n"/>
      <c r="P5" s="15" t="n"/>
    </row>
    <row r="6">
      <c r="A6" s="11" t="n">
        <v>1</v>
      </c>
      <c r="B6" s="11" t="inlineStr">
        <is>
          <t>1.02</t>
        </is>
      </c>
      <c r="C6" s="12" t="inlineStr">
        <is>
          <t>Start fresh and look around</t>
        </is>
      </c>
      <c r="D6" s="12" t="inlineStr">
        <is>
          <t>Shell</t>
        </is>
      </c>
      <c r="E6" s="13" t="inlineStr">
        <is>
          <t>Find your way around the side navigation</t>
        </is>
      </c>
      <c r="F6" s="14" t="inlineStr">
        <is>
          <t>1. Point at the logo, top left, and click "Expand navigation"
2. Read the items from top to bottom
3. Click "Collapse navigation"</t>
        </is>
      </c>
      <c r="G6" s="14" t="inlineStr">
        <is>
          <t>Search ("/"), Dashboard, Tasks, Projects, Leads, Marketplace, Company, Qanvast Ops; then Upgrade, Tools, Chat, Notifications, Settings; Demo Studio at the bottom.</t>
        </is>
      </c>
      <c r="H6" s="12" t="inlineStr">
        <is>
          <t>Different from 1.0: Settings in the side navigation, not the profile menu</t>
        </is>
      </c>
      <c r="I6" s="11" t="inlineStr">
        <is>
          <t>Dane</t>
        </is>
      </c>
      <c r="J6" s="15" t="n"/>
      <c r="K6" s="15" t="n"/>
      <c r="L6" s="15" t="n"/>
      <c r="M6" s="16" t="n"/>
      <c r="N6" s="17" t="n"/>
      <c r="O6" s="17" t="n"/>
      <c r="P6" s="15" t="n"/>
    </row>
    <row r="7">
      <c r="A7" s="11" t="n">
        <v>1</v>
      </c>
      <c r="B7" s="11" t="inlineStr">
        <is>
          <t>1.03</t>
        </is>
      </c>
      <c r="C7" s="12" t="inlineStr">
        <is>
          <t>Your leads at a glance</t>
        </is>
      </c>
      <c r="D7" s="12" t="inlineStr">
        <is>
          <t>Leads</t>
        </is>
      </c>
      <c r="E7" s="13" t="inlineStr">
        <is>
          <t>See the studio's leads at a glance</t>
        </is>
      </c>
      <c r="F7" s="14" t="inlineStr">
        <is>
          <t>1. Click "Leads" in the side navigation
2. Look at the chip above the table, the rows and the bottom of the screen</t>
        </is>
      </c>
      <c r="G7" s="14" t="inlineStr">
        <is>
          <t>The chip reads "All Leads (27)"; unopened new leads (Marcus Chen, Nur Aisyah) have a coloured left edge; a "Review imported leads" bar waits below.</t>
        </is>
      </c>
      <c r="H7" s="12" t="inlineStr">
        <is>
          <t>Different from 1.0: unopened new leads are marked</t>
        </is>
      </c>
      <c r="I7" s="11" t="inlineStr">
        <is>
          <t>Dane</t>
        </is>
      </c>
      <c r="J7" s="15" t="n"/>
      <c r="K7" s="15" t="n"/>
      <c r="L7" s="15" t="n"/>
      <c r="M7" s="16" t="n"/>
      <c r="N7" s="17" t="n"/>
      <c r="O7" s="17" t="n"/>
      <c r="P7" s="15" t="n"/>
    </row>
    <row r="8">
      <c r="A8" s="11" t="n">
        <v>1</v>
      </c>
      <c r="B8" s="11" t="inlineStr">
        <is>
          <t>1.04</t>
        </is>
      </c>
      <c r="C8" s="12" t="inlineStr">
        <is>
          <t>Your leads at a glance</t>
        </is>
      </c>
      <c r="D8" s="12" t="inlineStr">
        <is>
          <t>Leads</t>
        </is>
      </c>
      <c r="E8" s="13" t="inlineStr">
        <is>
          <t>Find a lead fast with the / key</t>
        </is>
      </c>
      <c r="F8" s="14" t="inlineStr">
        <is>
          <t>1. On Leads, press the / key
2. Type Kenji
3. Clear the search box</t>
        </is>
      </c>
      <c r="G8" s="14" t="inlineStr">
        <is>
          <t>The search box takes the cursor; only Kenji Sato stays in the list; clearing the box brings everyone back.</t>
        </is>
      </c>
      <c r="H8" s="12" t="inlineStr">
        <is>
          <t>Same as 1.0</t>
        </is>
      </c>
      <c r="I8" s="11" t="inlineStr">
        <is>
          <t>Dane</t>
        </is>
      </c>
      <c r="J8" s="15" t="n"/>
      <c r="K8" s="15" t="n"/>
      <c r="L8" s="15" t="n"/>
      <c r="M8" s="16" t="n"/>
      <c r="N8" s="17" t="n"/>
      <c r="O8" s="17" t="n"/>
      <c r="P8" s="15" t="n"/>
    </row>
    <row r="9">
      <c r="A9" s="11" t="n">
        <v>1</v>
      </c>
      <c r="B9" s="11" t="inlineStr">
        <is>
          <t>1.05</t>
        </is>
      </c>
      <c r="C9" s="12" t="inlineStr">
        <is>
          <t>Your leads at a glance</t>
        </is>
      </c>
      <c r="D9" s="12" t="inlineStr">
        <is>
          <t>Leads</t>
        </is>
      </c>
      <c r="E9" s="13" t="inlineStr">
        <is>
          <t>Try editing the lead stages</t>
        </is>
      </c>
      <c r="F9" s="14" t="inlineStr">
        <is>
          <t>1. Click the "All Leads (27)" chip
2. Read the stage list
3. Click "Manage Stages"</t>
        </is>
      </c>
      <c r="G9" s="14" t="inlineStr">
        <is>
          <t>Each stage is listed with its count under Active and Inactive; "Manage Stages" answers "Coming soon in OpenMaison 2.0".</t>
        </is>
      </c>
      <c r="H9" s="12" t="inlineStr">
        <is>
          <t>Different from 1.0: stages are fixed; 1.0 edited its funnel</t>
        </is>
      </c>
      <c r="I9" s="11" t="inlineStr">
        <is>
          <t>Dane</t>
        </is>
      </c>
      <c r="J9" s="15" t="n"/>
      <c r="K9" s="15" t="n"/>
      <c r="L9" s="15" t="n"/>
      <c r="M9" s="16" t="n"/>
      <c r="N9" s="17" t="n"/>
      <c r="O9" s="17" t="n"/>
      <c r="P9" s="15" t="n"/>
    </row>
    <row r="10">
      <c r="A10" s="11" t="n">
        <v>1</v>
      </c>
      <c r="B10" s="11" t="inlineStr">
        <is>
          <t>1.06</t>
        </is>
      </c>
      <c r="C10" s="12" t="inlineStr">
        <is>
          <t>Where everything else lives</t>
        </is>
      </c>
      <c r="D10" s="12" t="inlineStr">
        <is>
          <t>Shell</t>
        </is>
      </c>
      <c r="E10" s="13" t="inlineStr">
        <is>
          <t>See the tools the studio can use</t>
        </is>
      </c>
      <c r="F10" s="14" t="inlineStr">
        <is>
          <t>1. Click "Tools" in the side navigation
2. Read the tiles
3. Click "AI Visualizer"</t>
        </is>
      </c>
      <c r="G10" s="14" t="inlineStr">
        <is>
          <t>Nine tiles, starting with Quotes, Quote X-Ray and Contracts; "AI Visualizer" opens the AI Visualizer — Kevin Ng's design and the "Showroom ideas" folder (REG-673).</t>
        </is>
      </c>
      <c r="H10" s="12" t="inlineStr">
        <is>
          <t>Same as 1.0</t>
        </is>
      </c>
      <c r="I10" s="11" t="inlineStr">
        <is>
          <t>Dane</t>
        </is>
      </c>
      <c r="J10" s="15" t="n"/>
      <c r="K10" s="15" t="n"/>
      <c r="L10" s="15" t="n"/>
      <c r="M10" s="16" t="n"/>
      <c r="N10" s="17" t="n"/>
      <c r="O10" s="17" t="n"/>
      <c r="P10" s="15" t="n"/>
    </row>
    <row r="11">
      <c r="A11" s="11" t="n">
        <v>1</v>
      </c>
      <c r="B11" s="11" t="inlineStr">
        <is>
          <t>1.07</t>
        </is>
      </c>
      <c r="C11" s="12" t="inlineStr">
        <is>
          <t>Where everything else lives</t>
        </is>
      </c>
      <c r="D11" s="12" t="inlineStr">
        <is>
          <t>Company</t>
        </is>
      </c>
      <c r="E11" s="13" t="inlineStr">
        <is>
          <t>See where the studio's records are kept</t>
        </is>
      </c>
      <c r="F11" s="14" t="inlineStr">
        <is>
          <t>1. Click "Company" in the side navigation
2. Read the two groups
3. Press Esc</t>
        </is>
      </c>
      <c r="G11" s="14" t="inlineStr">
        <is>
          <t>"Studio": Profile, Members, Questionnaire, Templates ("1 awaiting"), Price book ("1 proposed"). "Operations": Finance and Reports marked "Soon", Integrations.</t>
        </is>
      </c>
      <c r="H11" s="12" t="inlineStr">
        <is>
          <t>Different from 1.0: records under Company, rules under Settings</t>
        </is>
      </c>
      <c r="I11" s="11" t="inlineStr">
        <is>
          <t>Dane</t>
        </is>
      </c>
      <c r="J11" s="15" t="n"/>
      <c r="K11" s="15" t="n"/>
      <c r="L11" s="15" t="n"/>
      <c r="M11" s="16" t="n"/>
      <c r="N11" s="17" t="n"/>
      <c r="O11" s="17" t="n"/>
      <c r="P11" s="15" t="n"/>
    </row>
    <row r="12">
      <c r="A12" s="11" t="n">
        <v>1</v>
      </c>
      <c r="B12" s="11" t="inlineStr">
        <is>
          <t>1.08</t>
        </is>
      </c>
      <c r="C12" s="12" t="inlineStr">
        <is>
          <t>Where everything else lives</t>
        </is>
      </c>
      <c r="D12" s="12" t="inlineStr">
        <is>
          <t>Notifications</t>
        </is>
      </c>
      <c r="E12" s="13" t="inlineStr">
        <is>
          <t>Check what is waiting for you in the bell</t>
        </is>
      </c>
      <c r="F12" s="14" t="inlineStr">
        <is>
          <t>1. Click "Notifications" (the bell) in the side navigation
2. Read the list
3. Close it without clicking a row</t>
        </is>
      </c>
      <c r="G12" s="14" t="inlineStr">
        <is>
          <t>A "Notifications" panel lists notices newest first, e.g. "New lead: Nur Aisyah"; unread ones have a dot; "Notification settings" sits at the foot.</t>
        </is>
      </c>
      <c r="H12" s="12" t="inlineStr">
        <is>
          <t>Different from 1.0: follow-ups due appear in the same list</t>
        </is>
      </c>
      <c r="I12" s="11" t="inlineStr">
        <is>
          <t>Dane</t>
        </is>
      </c>
      <c r="J12" s="15" t="n"/>
      <c r="K12" s="15" t="n"/>
      <c r="L12" s="15" t="n"/>
      <c r="M12" s="16" t="n"/>
      <c r="N12" s="17" t="n"/>
      <c r="O12" s="17" t="n"/>
      <c r="P12" s="15" t="n"/>
    </row>
    <row r="13">
      <c r="A13" s="11" t="n">
        <v>1</v>
      </c>
      <c r="B13" s="11" t="inlineStr">
        <is>
          <t>1.09</t>
        </is>
      </c>
      <c r="C13" s="12" t="inlineStr">
        <is>
          <t>Where everything else lives</t>
        </is>
      </c>
      <c r="D13" s="12" t="inlineStr">
        <is>
          <t>Shell</t>
        </is>
      </c>
      <c r="E13" s="13" t="inlineStr">
        <is>
          <t>Ask Maison AI for help on the Leads page</t>
        </is>
      </c>
      <c r="F13" s="14" t="inlineStr">
        <is>
          <t>1. On Leads, click the ✦ "Maison AI" button
2. Read the suggestions
3. Click "Which leads need follow-up today?"</t>
        </is>
      </c>
      <c r="G13" s="14" t="inlineStr">
        <is>
          <t>Suggestions about your leads sit above "Reset prototype to base"; picking one answers "Coming soon in OpenMaison 2.0".</t>
        </is>
      </c>
      <c r="H13" s="12" t="inlineStr">
        <is>
          <t>Different from 1.0: scripted suggestions only, in the prototype</t>
        </is>
      </c>
      <c r="I13" s="11" t="inlineStr">
        <is>
          <t>Dane</t>
        </is>
      </c>
      <c r="J13" s="15" t="n"/>
      <c r="K13" s="15" t="n"/>
      <c r="L13" s="15" t="n"/>
      <c r="M13" s="16" t="n"/>
      <c r="N13" s="17" t="n"/>
      <c r="O13" s="17" t="n"/>
      <c r="P13" s="15" t="n"/>
    </row>
    <row r="14" ht="22" customHeight="1">
      <c r="A14" s="9" t="inlineStr">
        <is>
          <t>Chapter 2 · Set up your studio — Company details, your team and the studio’s rules.</t>
        </is>
      </c>
      <c r="M14" s="10" t="n"/>
    </row>
    <row r="15">
      <c r="A15" s="11" t="n">
        <v>2</v>
      </c>
      <c r="B15" s="11" t="inlineStr">
        <is>
          <t>2.01</t>
        </is>
      </c>
      <c r="C15" s="12" t="inlineStr">
        <is>
          <t>Your company on paper</t>
        </is>
      </c>
      <c r="D15" s="12" t="inlineStr">
        <is>
          <t>Company</t>
        </is>
      </c>
      <c r="E15" s="13" t="inlineStr">
        <is>
          <t>Open your company's profile</t>
        </is>
      </c>
      <c r="F15" s="14" t="inlineStr">
        <is>
          <t>1. Click "Company" in the side navigation
2. Click "Profile"</t>
        </is>
      </c>
      <c r="G15" s="14" t="inlineStr">
        <is>
          <t>"Company details" shows Demo Studio Pte Ltd, its UEN and address; the right side shows "Default template · Default Quote PDF".</t>
        </is>
      </c>
      <c r="H15" s="12" t="inlineStr">
        <is>
          <t>Different from 1.0: company records live under Company, not Accounts</t>
        </is>
      </c>
      <c r="I15" s="11" t="inlineStr">
        <is>
          <t>Dane</t>
        </is>
      </c>
      <c r="J15" s="15" t="n"/>
      <c r="K15" s="15" t="n"/>
      <c r="L15" s="15" t="n"/>
      <c r="M15" s="16" t="n"/>
      <c r="N15" s="17" t="n"/>
      <c r="O15" s="17" t="n"/>
      <c r="P15" s="15" t="n"/>
    </row>
    <row r="16">
      <c r="A16" s="11" t="n">
        <v>2</v>
      </c>
      <c r="B16" s="11" t="inlineStr">
        <is>
          <t>2.02</t>
        </is>
      </c>
      <c r="C16" s="12" t="inlineStr">
        <is>
          <t>Your company on paper</t>
        </is>
      </c>
      <c r="D16" s="12" t="inlineStr">
        <is>
          <t>Company</t>
        </is>
      </c>
      <c r="E16" s="13" t="inlineStr">
        <is>
          <t>Add a tagline and your Instagram handle</t>
        </is>
      </c>
      <c r="F16" s="14" t="inlineStr">
        <is>
          <t>1. In "Tagline" type Homes that feel like you
2. Under "Social links", in "Instagram" type @demostudio.sg
3. Click "Save changes"</t>
        </is>
      </c>
      <c r="G16" s="14" t="inlineStr">
        <is>
          <t>A message says "Company details saved"; "Save changes" and "Discard" grey out until you change something again.</t>
        </is>
      </c>
      <c r="H16" s="12" t="inlineStr">
        <is>
          <t>Same as 1.0</t>
        </is>
      </c>
      <c r="I16" s="11" t="inlineStr">
        <is>
          <t>Dane</t>
        </is>
      </c>
      <c r="J16" s="15" t="n"/>
      <c r="K16" s="15" t="n"/>
      <c r="L16" s="15" t="n"/>
      <c r="M16" s="16" t="n"/>
      <c r="N16" s="17" t="n"/>
      <c r="O16" s="17" t="n"/>
      <c r="P16" s="15" t="n"/>
    </row>
    <row r="17">
      <c r="A17" s="11" t="n">
        <v>2</v>
      </c>
      <c r="B17" s="11" t="inlineStr">
        <is>
          <t>2.03</t>
        </is>
      </c>
      <c r="C17" s="12" t="inlineStr">
        <is>
          <t>Your company on paper</t>
        </is>
      </c>
      <c r="D17" s="12" t="inlineStr">
        <is>
          <t>Company</t>
        </is>
      </c>
      <c r="E17" s="13" t="inlineStr">
        <is>
          <t>Put the studio's bank account and PayNow on file</t>
        </is>
      </c>
      <c r="F17" s="14" t="inlineStr">
        <is>
          <t>1. Scroll to "Issuing entities &amp; bank details"
2. For Demo Studio Pte Ltd fill "Bank" DBS Bank, "Account number" 072-123456-7, "SWIFT / BIC" DBSSSGSG, "PayNow (UEN or mobile)" 201234567M
3. Click the "PayNow QR" box and pick paynow-qr.png
4. Click "Save changes"</t>
        </is>
      </c>
      <c r="G17" s="14" t="inlineStr">
        <is>
          <t>"PayNow QR added", then "Company details saved"; a QR code now sits in the box beside the bank fields.</t>
        </is>
      </c>
      <c r="H17" s="12" t="inlineStr">
        <is>
          <t>Same as 1.0</t>
        </is>
      </c>
      <c r="I17" s="11" t="inlineStr">
        <is>
          <t>Dane</t>
        </is>
      </c>
      <c r="J17" s="15" t="n"/>
      <c r="K17" s="15" t="n"/>
      <c r="L17" s="15" t="n"/>
      <c r="M17" s="16" t="n"/>
      <c r="N17" s="17" t="n"/>
      <c r="O17" s="17" t="n"/>
      <c r="P17" s="15" t="n"/>
    </row>
    <row r="18">
      <c r="A18" s="11" t="n">
        <v>2</v>
      </c>
      <c r="B18" s="11" t="inlineStr">
        <is>
          <t>2.04</t>
        </is>
      </c>
      <c r="C18" s="12" t="inlineStr">
        <is>
          <t>Your company on paper</t>
        </is>
      </c>
      <c r="D18" s="12" t="inlineStr">
        <is>
          <t>Company</t>
        </is>
      </c>
      <c r="E18" s="13" t="inlineStr">
        <is>
          <t>Add a second company you issue quotes under</t>
        </is>
      </c>
      <c r="F18" s="14" t="inlineStr">
        <is>
          <t>1. Click "Add an entity"
2. "Entity name": Demo Studio Carpentry Pte Ltd
3. Switch off "GST-registered"; under "Letterhead" fill "UEN / Co. Reg. No." 202512345K
4. Click "Save changes"</t>
        </is>
      </c>
      <c r="G18" s="14" t="inlineStr">
        <is>
          <t>"Company details saved". The new company has its own bank, PayNow and letterhead fields, and a bin to remove it, since nothing uses it yet.</t>
        </is>
      </c>
      <c r="H18" s="12" t="inlineStr">
        <is>
          <t>Different from 1.0: an entity in use is retired, never deleted</t>
        </is>
      </c>
      <c r="I18" s="11" t="inlineStr">
        <is>
          <t>Dane</t>
        </is>
      </c>
      <c r="J18" s="15" t="n"/>
      <c r="K18" s="15" t="n"/>
      <c r="L18" s="15" t="n"/>
      <c r="M18" s="16" t="n"/>
      <c r="N18" s="17" t="n"/>
      <c r="O18" s="17" t="n"/>
      <c r="P18" s="15" t="n"/>
    </row>
    <row r="19">
      <c r="A19" s="11" t="n">
        <v>2</v>
      </c>
      <c r="B19" s="11" t="inlineStr">
        <is>
          <t>2.05</t>
        </is>
      </c>
      <c r="C19" s="12" t="inlineStr">
        <is>
          <t>Your company on paper</t>
        </is>
      </c>
      <c r="D19" s="12" t="inlineStr">
        <is>
          <t>Company</t>
        </is>
      </c>
      <c r="E19" s="13" t="inlineStr">
        <is>
          <t>Look at the brand kit every template starts from</t>
        </is>
      </c>
      <c r="F19" s="14" t="inlineStr">
        <is>
          <t>1. At the bottom of Profile, click "Brand kit"
2. Read the page without changing anything</t>
        </is>
      </c>
      <c r="G19" s="14" t="inlineStr">
        <is>
          <t>"Templates" opens on its "Brand kit" tab: "Logo and marks", "Colours" and "Fonts", with the default template's first page on the right.</t>
        </is>
      </c>
      <c r="H19" s="12" t="inlineStr">
        <is>
          <t>Different from 1.0: one kit every template starts from</t>
        </is>
      </c>
      <c r="I19" s="11" t="inlineStr">
        <is>
          <t>Dane</t>
        </is>
      </c>
      <c r="J19" s="15" t="n"/>
      <c r="K19" s="15" t="n"/>
      <c r="L19" s="15" t="n"/>
      <c r="M19" s="16" t="n"/>
      <c r="N19" s="17" t="n"/>
      <c r="O19" s="17" t="n"/>
      <c r="P19" s="15" t="n"/>
    </row>
    <row r="20">
      <c r="A20" s="11" t="n">
        <v>2</v>
      </c>
      <c r="B20" s="11" t="inlineStr">
        <is>
          <t>2.06</t>
        </is>
      </c>
      <c r="C20" s="12" t="inlineStr">
        <is>
          <t>Your team</t>
        </is>
      </c>
      <c r="D20" s="12" t="inlineStr">
        <is>
          <t>Company</t>
        </is>
      </c>
      <c r="E20" s="13" t="inlineStr">
        <is>
          <t>See who works in the studio and their roles</t>
        </is>
      </c>
      <c r="F20" s="14" t="inlineStr">
        <is>
          <t>1. Click "Company" in the side navigation
2. Click "Members"</t>
        </is>
      </c>
      <c r="G20" s="14" t="inlineStr">
        <is>
          <t>"People and roles": Dane (you) is the Owner; James is a Manager with "Team: Michelle, Sarah"; every row has a role and a lead count.</t>
        </is>
      </c>
      <c r="H20" s="12" t="inlineStr">
        <is>
          <t>Same as 1.0</t>
        </is>
      </c>
      <c r="I20" s="11" t="inlineStr">
        <is>
          <t>Dane</t>
        </is>
      </c>
      <c r="J20" s="15" t="n"/>
      <c r="K20" s="15" t="n"/>
      <c r="L20" s="15" t="n"/>
      <c r="M20" s="16" t="n"/>
      <c r="N20" s="17" t="n"/>
      <c r="O20" s="17" t="n"/>
      <c r="P20" s="15" t="n"/>
    </row>
    <row r="21">
      <c r="A21" s="11" t="n">
        <v>2</v>
      </c>
      <c r="B21" s="11" t="inlineStr">
        <is>
          <t>2.07</t>
        </is>
      </c>
      <c r="C21" s="12" t="inlineStr">
        <is>
          <t>Your team</t>
        </is>
      </c>
      <c r="D21" s="12" t="inlineStr">
        <is>
          <t>Company</t>
        </is>
      </c>
      <c r="E21" s="13" t="inlineStr">
        <is>
          <t>Add a new designer to the team</t>
        </is>
      </c>
      <c r="F21" s="14" t="inlineStr">
        <is>
          <t>1. Click "Add member"
2. "Name": Kavya Menon · "Role": Designer · "Phone": 9123 4567 · "Email": kavya@demostudio.sg
3. Click "Add member"</t>
        </is>
      </c>
      <c r="G21" s="14" t="inlineStr">
        <is>
          <t>"Kavya Menon added as a Designer"; she appears among the designers with "0 leads".</t>
        </is>
      </c>
      <c r="H21" s="12" t="inlineStr">
        <is>
          <t>Different from 1.0: 1.0 only emailed a request to OpenMaison</t>
        </is>
      </c>
      <c r="I21" s="11" t="inlineStr">
        <is>
          <t>Dane</t>
        </is>
      </c>
      <c r="J21" s="15" t="n"/>
      <c r="K21" s="15" t="n"/>
      <c r="L21" s="15" t="n"/>
      <c r="M21" s="16" t="n"/>
      <c r="N21" s="17" t="n"/>
      <c r="O21" s="17" t="n"/>
      <c r="P21" s="15" t="n"/>
    </row>
    <row r="22">
      <c r="A22" s="11" t="n">
        <v>2</v>
      </c>
      <c r="B22" s="11" t="inlineStr">
        <is>
          <t>2.08</t>
        </is>
      </c>
      <c r="C22" s="12" t="inlineStr">
        <is>
          <t>Your team</t>
        </is>
      </c>
      <c r="D22" s="12" t="inlineStr">
        <is>
          <t>Company</t>
        </is>
      </c>
      <c r="E22" s="13" t="inlineStr">
        <is>
          <t>Put Kavya in James's team</t>
        </is>
      </c>
      <c r="F22" s="14" t="inlineStr">
        <is>
          <t>1. In Kavya's row open "Reports to"
2. Pick James</t>
        </is>
      </c>
      <c r="G22" s="14" t="inlineStr">
        <is>
          <t>"Kavya Menon now reports to James"; James's row now reads "Team: Kavya Menon, Michelle, Sarah".</t>
        </is>
      </c>
      <c r="H22" s="12" t="inlineStr">
        <is>
          <t>Different from 1.0: every studio can have managers</t>
        </is>
      </c>
      <c r="I22" s="11" t="inlineStr">
        <is>
          <t>Dane</t>
        </is>
      </c>
      <c r="J22" s="15" t="n"/>
      <c r="K22" s="15" t="n"/>
      <c r="L22" s="15" t="n"/>
      <c r="M22" s="16" t="n"/>
      <c r="N22" s="17" t="n"/>
      <c r="O22" s="17" t="n"/>
      <c r="P22" s="15" t="n"/>
    </row>
    <row r="23">
      <c r="A23" s="11" t="n">
        <v>2</v>
      </c>
      <c r="B23" s="11" t="inlineStr">
        <is>
          <t>2.09</t>
        </is>
      </c>
      <c r="C23" s="12" t="inlineStr">
        <is>
          <t>Your team</t>
        </is>
      </c>
      <c r="D23" s="12" t="inlineStr">
        <is>
          <t>Company</t>
        </is>
      </c>
      <c r="E23" s="13" t="inlineStr">
        <is>
          <t>Tell the studio which leads Kavya should get</t>
        </is>
      </c>
      <c r="F23" s="14" t="inlineStr">
        <is>
          <t>1. In Kavya's row click "Preferences"
2. "Specialty": Condo kitchens
3. Beside "Property type" set "Priority" to "Must match", then pick the "Condo 3-bedder" chip
4. Click "Save preferences"</t>
        </is>
      </c>
      <c r="G23" s="14" t="inlineStr">
        <is>
          <t>"Lead preferences saved"; her row reads "Condo kitchens · Condo 3-bedder (must)".</t>
        </is>
      </c>
      <c r="H23" s="12" t="inlineStr">
        <is>
          <t>Different from 1.0: four categories; Scope is left out</t>
        </is>
      </c>
      <c r="I23" s="11" t="inlineStr">
        <is>
          <t>Dane</t>
        </is>
      </c>
      <c r="J23" s="15" t="n"/>
      <c r="K23" s="15" t="n"/>
      <c r="L23" s="15" t="n"/>
      <c r="M23" s="16" t="n"/>
      <c r="N23" s="17" t="n"/>
      <c r="O23" s="17" t="n"/>
      <c r="P23" s="15" t="n"/>
    </row>
    <row r="24">
      <c r="A24" s="11" t="n">
        <v>2</v>
      </c>
      <c r="B24" s="11" t="inlineStr">
        <is>
          <t>2.10</t>
        </is>
      </c>
      <c r="C24" s="12" t="inlineStr">
        <is>
          <t>Your team</t>
        </is>
      </c>
      <c r="D24" s="12" t="inlineStr">
        <is>
          <t>Company</t>
        </is>
      </c>
      <c r="E24" s="13" t="inlineStr">
        <is>
          <t>Stop new leads going to Kavya for now</t>
        </is>
      </c>
      <c r="F24" s="14" t="inlineStr">
        <is>
          <t>1. In Kavya's row switch off "Open to new leads"</t>
        </is>
      </c>
      <c r="G24" s="14" t="inlineStr">
        <is>
          <t>"Kavya Menon is closed to new leads"; a yellow "Closed to new leads" tag appears on her row.</t>
        </is>
      </c>
      <c r="H24" s="12" t="inlineStr">
        <is>
          <t>Same as 1.0</t>
        </is>
      </c>
      <c r="I24" s="11" t="inlineStr">
        <is>
          <t>Dane</t>
        </is>
      </c>
      <c r="J24" s="15" t="n"/>
      <c r="K24" s="15" t="n"/>
      <c r="L24" s="15" t="n"/>
      <c r="M24" s="16" t="n"/>
      <c r="N24" s="17" t="n"/>
      <c r="O24" s="17" t="n"/>
      <c r="P24" s="15" t="n"/>
    </row>
    <row r="25">
      <c r="A25" s="11" t="n">
        <v>2</v>
      </c>
      <c r="B25" s="11" t="inlineStr">
        <is>
          <t>2.11</t>
        </is>
      </c>
      <c r="C25" s="12" t="inlineStr">
        <is>
          <t>Your team</t>
        </is>
      </c>
      <c r="D25" s="12" t="inlineStr">
        <is>
          <t>Company</t>
        </is>
      </c>
      <c r="E25" s="13" t="inlineStr">
        <is>
          <t>Try to change your own role</t>
        </is>
      </c>
      <c r="F25" s="14" t="inlineStr">
        <is>
          <t>1. On your own row (Dane), point at the "Role" box</t>
        </is>
      </c>
      <c r="G25" s="14" t="inlineStr">
        <is>
          <t>The box is greyed out and a tip says "Nobody changes their own role".</t>
        </is>
      </c>
      <c r="H25" s="12" t="inlineStr">
        <is>
          <t>Different from 1.0: the rule is enforced, not just hidden</t>
        </is>
      </c>
      <c r="I25" s="11" t="inlineStr">
        <is>
          <t>Dane</t>
        </is>
      </c>
      <c r="J25" s="15" t="n"/>
      <c r="K25" s="15" t="n"/>
      <c r="L25" s="15" t="n"/>
      <c r="M25" s="16" t="n"/>
      <c r="N25" s="17" t="n"/>
      <c r="O25" s="17" t="n"/>
      <c r="P25" s="15" t="n"/>
    </row>
    <row r="26">
      <c r="A26" s="11" t="n">
        <v>2</v>
      </c>
      <c r="B26" s="11" t="inlineStr">
        <is>
          <t>2.12</t>
        </is>
      </c>
      <c r="C26" s="12" t="inlineStr">
        <is>
          <t>Your team</t>
        </is>
      </c>
      <c r="D26" s="12" t="inlineStr">
        <is>
          <t>Company</t>
        </is>
      </c>
      <c r="E26" s="13" t="inlineStr">
        <is>
          <t>Deactivate Kavya, then change your mind</t>
        </is>
      </c>
      <c r="F26" s="14" t="inlineStr">
        <is>
          <t>1. In Kavya's row click "Deactivate"
2. Read the box, then click "Deactivate"
3. Click "Undo" in the message at the bottom</t>
        </is>
      </c>
      <c r="G26" s="14" t="inlineStr">
        <is>
          <t>The box says she leaves every picker and "Nothing open is on their name." After Undo: "Kavya Menon is back", still in James's team.</t>
        </is>
      </c>
      <c r="H26" s="12" t="inlineStr">
        <is>
          <t>Different from 1.0: open work is named first, and Undo</t>
        </is>
      </c>
      <c r="I26" s="11" t="inlineStr">
        <is>
          <t>Dane</t>
        </is>
      </c>
      <c r="J26" s="15" t="n"/>
      <c r="K26" s="15" t="n"/>
      <c r="L26" s="15" t="n"/>
      <c r="M26" s="16" t="n"/>
      <c r="N26" s="17" t="n"/>
      <c r="O26" s="17" t="n"/>
      <c r="P26" s="15" t="n"/>
    </row>
    <row r="27">
      <c r="A27" s="11" t="n">
        <v>2</v>
      </c>
      <c r="B27" s="11" t="inlineStr">
        <is>
          <t>2.13</t>
        </is>
      </c>
      <c r="C27" s="12" t="inlineStr">
        <is>
          <t>Your team</t>
        </is>
      </c>
      <c r="D27" s="12" t="inlineStr">
        <is>
          <t>Company</t>
        </is>
      </c>
      <c r="E27" s="13" t="inlineStr">
        <is>
          <t>Deactivate Kavya, then bring her back</t>
        </is>
      </c>
      <c r="F27" s="14" t="inlineStr">
        <is>
          <t>1. Click "Deactivate" on her row, then "Deactivate" in the box
2. Find her under "Deactivated"
3. Click "Reactivate"</t>
        </is>
      </c>
      <c r="G27" s="14" t="inlineStr">
        <is>
          <t>"Deactivated" lists her as "Designer · deactivated" today; Reactivate says "Kavya Menon reactivated — back in every picker".</t>
        </is>
      </c>
      <c r="H27" s="12" t="inlineStr">
        <is>
          <t>New in 2.0</t>
        </is>
      </c>
      <c r="I27" s="11" t="inlineStr">
        <is>
          <t>Dane</t>
        </is>
      </c>
      <c r="J27" s="15" t="n"/>
      <c r="K27" s="15" t="n"/>
      <c r="L27" s="15" t="n"/>
      <c r="M27" s="16" t="n"/>
      <c r="N27" s="17" t="n"/>
      <c r="O27" s="17" t="n"/>
      <c r="P27" s="15" t="n"/>
    </row>
    <row r="28">
      <c r="A28" s="11" t="n">
        <v>2</v>
      </c>
      <c r="B28" s="11" t="inlineStr">
        <is>
          <t>2.14</t>
        </is>
      </c>
      <c r="C28" s="12" t="inlineStr">
        <is>
          <t>The studio's rules at a glance</t>
        </is>
      </c>
      <c r="D28" s="12" t="inlineStr">
        <is>
          <t>Settings</t>
        </is>
      </c>
      <c r="E28" s="13" t="inlineStr">
        <is>
          <t>Open the studio's settings</t>
        </is>
      </c>
      <c r="F28" s="14" t="inlineStr">
        <is>
          <t>1. Click "Settings" in the side navigation
2. Read the tabs
3. Click "Projects"</t>
        </is>
      </c>
      <c r="G28" s="14" t="inlineStr">
        <is>
          <t>Settings opens on "Studio", beside "Lead management", "Quotes &amp; pricing" and "Notifications"; "Projects" (still to come) answers "Coming soon in OpenMaison 2.0".</t>
        </is>
      </c>
      <c r="H28" s="12" t="inlineStr">
        <is>
          <t>Different from 1.0: four tabs instead of one long Accounts page</t>
        </is>
      </c>
      <c r="I28" s="11" t="inlineStr">
        <is>
          <t>Dane</t>
        </is>
      </c>
      <c r="J28" s="15" t="n"/>
      <c r="K28" s="15" t="n"/>
      <c r="L28" s="15" t="n"/>
      <c r="M28" s="16" t="n"/>
      <c r="N28" s="17" t="n"/>
      <c r="O28" s="17" t="n"/>
      <c r="P28" s="15" t="n"/>
    </row>
    <row r="29">
      <c r="A29" s="11" t="n">
        <v>2</v>
      </c>
      <c r="B29" s="11" t="inlineStr">
        <is>
          <t>2.15</t>
        </is>
      </c>
      <c r="C29" s="12" t="inlineStr">
        <is>
          <t>The studio's rules at a glance</t>
        </is>
      </c>
      <c r="D29" s="12" t="inlineStr">
        <is>
          <t>Settings</t>
        </is>
      </c>
      <c r="E29" s="13" t="inlineStr">
        <is>
          <t>Check the team and your companies at a glance</t>
        </is>
      </c>
      <c r="F29" s="14" t="inlineStr">
        <is>
          <t>1. On "Studio", read "Team"
2. Read "Issuing entities"</t>
        </is>
      </c>
      <c r="G29" s="14" t="inlineStr">
        <is>
          <t>Team groups people by role (Kavya · reports to James). Entities: Demo Studio Pte Ltd "Registered" with DBS Bank; the carpentry company "Not registered".</t>
        </is>
      </c>
      <c r="H29" s="12" t="inlineStr">
        <is>
          <t>New in 2.0</t>
        </is>
      </c>
      <c r="I29" s="11" t="inlineStr">
        <is>
          <t>Dane</t>
        </is>
      </c>
      <c r="J29" s="15" t="n"/>
      <c r="K29" s="15" t="n"/>
      <c r="L29" s="15" t="n"/>
      <c r="M29" s="16" t="n"/>
      <c r="N29" s="17" t="n"/>
      <c r="O29" s="17" t="n"/>
      <c r="P29" s="15" t="n"/>
    </row>
    <row r="30">
      <c r="A30" s="11" t="n">
        <v>2</v>
      </c>
      <c r="B30" s="11" t="inlineStr">
        <is>
          <t>2.16</t>
        </is>
      </c>
      <c r="C30" s="12" t="inlineStr">
        <is>
          <t>The studio's rules at a glance</t>
        </is>
      </c>
      <c r="D30" s="12" t="inlineStr">
        <is>
          <t>Settings</t>
        </is>
      </c>
      <c r="E30" s="13" t="inlineStr">
        <is>
          <t>See what each role is allowed to do</t>
        </is>
      </c>
      <c r="F30" s="14" t="inlineStr">
        <is>
          <t>1. On "Studio", scroll to "Who may do what"</t>
        </is>
      </c>
      <c r="G30" s="14" t="inlineStr">
        <is>
          <t>A table of actions against Owner, Admin, Manager and Designer: ticks, dashes or words like "Submits for approval". Nothing here can be edited.</t>
        </is>
      </c>
      <c r="H30" s="12" t="inlineStr">
        <is>
          <t>Different from 1.0: fixed roles stated plainly; no permissions editor</t>
        </is>
      </c>
      <c r="I30" s="11" t="inlineStr">
        <is>
          <t>Dane</t>
        </is>
      </c>
      <c r="J30" s="15" t="n"/>
      <c r="K30" s="15" t="n"/>
      <c r="L30" s="15" t="n"/>
      <c r="M30" s="16" t="n"/>
      <c r="N30" s="17" t="n"/>
      <c r="O30" s="17" t="n"/>
      <c r="P30" s="15" t="n"/>
    </row>
    <row r="31">
      <c r="A31" s="11" t="n">
        <v>2</v>
      </c>
      <c r="B31" s="11" t="inlineStr">
        <is>
          <t>2.17</t>
        </is>
      </c>
      <c r="C31" s="12" t="inlineStr">
        <is>
          <t>How leads are handled</t>
        </is>
      </c>
      <c r="D31" s="12" t="inlineStr">
        <is>
          <t>Settings</t>
        </is>
      </c>
      <c r="E31" s="13" t="inlineStr">
        <is>
          <t>Try both ways leads can move, then keep Linear</t>
        </is>
      </c>
      <c r="F31" s="14" t="inlineStr">
        <is>
          <t>1. Click the "Lead management" tab
2. Under "Stage movement" click "Flexible"
3. Click "Linear"</t>
        </is>
      </c>
      <c r="G31" s="14" t="inlineStr">
        <is>
          <t>"Stage movement set to Flexible", then "Stage movement set to Linear"; Linear ends up selected.</t>
        </is>
      </c>
      <c r="H31" s="12" t="inlineStr">
        <is>
          <t>Different from 1.0: Linear / Flexible replace Classic / Journey</t>
        </is>
      </c>
      <c r="I31" s="11" t="inlineStr">
        <is>
          <t>Dane</t>
        </is>
      </c>
      <c r="J31" s="15" t="n"/>
      <c r="K31" s="15" t="n"/>
      <c r="L31" s="15" t="n"/>
      <c r="M31" s="16" t="n"/>
      <c r="N31" s="17" t="n"/>
      <c r="O31" s="17" t="n"/>
      <c r="P31" s="15" t="n"/>
    </row>
    <row r="32">
      <c r="A32" s="11" t="n">
        <v>2</v>
      </c>
      <c r="B32" s="11" t="inlineStr">
        <is>
          <t>2.18</t>
        </is>
      </c>
      <c r="C32" s="12" t="inlineStr">
        <is>
          <t>How leads are handled</t>
        </is>
      </c>
      <c r="D32" s="12" t="inlineStr">
        <is>
          <t>Settings</t>
        </is>
      </c>
      <c r="E32" s="13" t="inlineStr">
        <is>
          <t>Add Xiaohongshu as a place leads come from</t>
        </is>
      </c>
      <c r="F32" s="14" t="inlineStr">
        <is>
          <t>1. Under "Lead sources", type Xiaohongshu in "Add a source"
2. Click "Add"</t>
        </is>
      </c>
      <c r="G32" s="14" t="inlineStr">
        <is>
          <t>"Xiaohongshu added to the lead sources"; it appears just before "Others" with a count of 0.</t>
        </is>
      </c>
      <c r="H32" s="12" t="inlineStr">
        <is>
          <t>Same as 1.0</t>
        </is>
      </c>
      <c r="I32" s="11" t="inlineStr">
        <is>
          <t>Dane</t>
        </is>
      </c>
      <c r="J32" s="15" t="n"/>
      <c r="K32" s="15" t="n"/>
      <c r="L32" s="15" t="n"/>
      <c r="M32" s="16" t="n"/>
      <c r="N32" s="17" t="n"/>
      <c r="O32" s="17" t="n"/>
      <c r="P32" s="15" t="n"/>
    </row>
    <row r="33">
      <c r="A33" s="11" t="n">
        <v>2</v>
      </c>
      <c r="B33" s="11" t="inlineStr">
        <is>
          <t>2.19</t>
        </is>
      </c>
      <c r="C33" s="12" t="inlineStr">
        <is>
          <t>How leads are handled</t>
        </is>
      </c>
      <c r="D33" s="12" t="inlineStr">
        <is>
          <t>Settings</t>
        </is>
      </c>
      <c r="E33" s="13" t="inlineStr">
        <is>
          <t>Move Xiaohongshu to the top of the list</t>
        </is>
      </c>
      <c r="F33" s="14" t="inlineStr">
        <is>
          <t>1. Click the name "Xiaohongshu"
2. In the "Lead source" box set "Place in the list" to 1
3. Click "Save"</t>
        </is>
      </c>
      <c r="G33" s="14" t="inlineStr">
        <is>
          <t>"Lead sources saved"; Xiaohongshu is now first in the list.</t>
        </is>
      </c>
      <c r="H33" s="12" t="inlineStr">
        <is>
          <t>Same as 1.0</t>
        </is>
      </c>
      <c r="I33" s="11" t="inlineStr">
        <is>
          <t>Dane</t>
        </is>
      </c>
      <c r="J33" s="15" t="n"/>
      <c r="K33" s="15" t="n"/>
      <c r="L33" s="15" t="n"/>
      <c r="M33" s="16" t="n"/>
      <c r="N33" s="17" t="n"/>
      <c r="O33" s="17" t="n"/>
      <c r="P33" s="15" t="n"/>
    </row>
    <row r="34">
      <c r="A34" s="11" t="n">
        <v>2</v>
      </c>
      <c r="B34" s="11" t="inlineStr">
        <is>
          <t>2.20</t>
        </is>
      </c>
      <c r="C34" s="12" t="inlineStr">
        <is>
          <t>How leads are handled</t>
        </is>
      </c>
      <c r="D34" s="12" t="inlineStr">
        <is>
          <t>Settings</t>
        </is>
      </c>
      <c r="E34" s="13" t="inlineStr">
        <is>
          <t>Rename Walk-in and see its lead follow</t>
        </is>
      </c>
      <c r="F34" s="14" t="inlineStr">
        <is>
          <t>1. Click "Walk-in" and change "Name" to Showroom walk-in
2. Click "Save"
3. Open Leads and find Mei Ling Tan's "Source"</t>
        </is>
      </c>
      <c r="G34" s="14" t="inlineStr">
        <is>
          <t>"Walk-in is now Showroom walk-in — its leads follow"; Mei Ling Tan's source reads Showroom walk-in.</t>
        </is>
      </c>
      <c r="H34" s="12" t="inlineStr">
        <is>
          <t>Different from 1.0: a rename carries the leads with it</t>
        </is>
      </c>
      <c r="I34" s="11" t="inlineStr">
        <is>
          <t>Dane</t>
        </is>
      </c>
      <c r="J34" s="15" t="n"/>
      <c r="K34" s="15" t="n"/>
      <c r="L34" s="15" t="n"/>
      <c r="M34" s="16" t="n"/>
      <c r="N34" s="17" t="n"/>
      <c r="O34" s="17" t="n"/>
      <c r="P34" s="15" t="n"/>
    </row>
    <row r="35">
      <c r="A35" s="11" t="n">
        <v>2</v>
      </c>
      <c r="B35" s="11" t="inlineStr">
        <is>
          <t>2.21</t>
        </is>
      </c>
      <c r="C35" s="12" t="inlineStr">
        <is>
          <t>How leads are handled</t>
        </is>
      </c>
      <c r="D35" s="12" t="inlineStr">
        <is>
          <t>Settings</t>
        </is>
      </c>
      <c r="E35" s="13" t="inlineStr">
        <is>
          <t>Add a Lost reason that expects two logged contacts</t>
        </is>
      </c>
      <c r="F35" s="14" t="inlineStr">
        <is>
          <t>1. Back in Settings, open "Lead management" and find "Reasons"
2. In "Add a Lost reason" type Chose a contractor; in "Needs logged contacts" type 2
3. Click "Add"</t>
        </is>
      </c>
      <c r="G35" s="14" t="inlineStr">
        <is>
          <t>"Chose a contractor added to the Lost reasons"; it shows as "Chose a contractor · after 2 contacts", just before "Others".</t>
        </is>
      </c>
      <c r="H35" s="12" t="inlineStr">
        <is>
          <t>Same as 1.0</t>
        </is>
      </c>
      <c r="I35" s="11" t="inlineStr">
        <is>
          <t>Dane</t>
        </is>
      </c>
      <c r="J35" s="15" t="n"/>
      <c r="K35" s="15" t="n"/>
      <c r="L35" s="15" t="n"/>
      <c r="M35" s="16" t="n"/>
      <c r="N35" s="17" t="n"/>
      <c r="O35" s="17" t="n"/>
      <c r="P35" s="15" t="n"/>
    </row>
    <row r="36">
      <c r="A36" s="11" t="n">
        <v>2</v>
      </c>
      <c r="B36" s="11" t="inlineStr">
        <is>
          <t>2.22</t>
        </is>
      </c>
      <c r="C36" s="12" t="inlineStr">
        <is>
          <t>How leads are handled</t>
        </is>
      </c>
      <c r="D36" s="12" t="inlineStr">
        <is>
          <t>Settings</t>
        </is>
      </c>
      <c r="E36" s="13" t="inlineStr">
        <is>
          <t>Add your own field to every lead</t>
        </is>
      </c>
      <c r="F36" s="14" t="inlineStr">
        <is>
          <t>1. Under "Custom fields" click "Add field"
2. "Label": Preferred contact time · "Type": Dropdown
3. Options: Morning, Afternoon, Evening ("Add option" for each new one)
4. Click "Add"</t>
        </is>
      </c>
      <c r="G36" s="14" t="inlineStr">
        <is>
          <t>"Preferred contact time added"; the table shows it with a "Dropdown" tag, its three options, Required off and Active on.</t>
        </is>
      </c>
      <c r="H36" s="12" t="inlineStr">
        <is>
          <t>Different from 1.0: saving never erases the leads' answers</t>
        </is>
      </c>
      <c r="I36" s="11" t="inlineStr">
        <is>
          <t>Dane</t>
        </is>
      </c>
      <c r="J36" s="15" t="n"/>
      <c r="K36" s="15" t="n"/>
      <c r="L36" s="15" t="n"/>
      <c r="M36" s="16" t="n"/>
      <c r="N36" s="17" t="n"/>
      <c r="O36" s="17" t="n"/>
      <c r="P36" s="15" t="n"/>
    </row>
    <row r="37">
      <c r="A37" s="11" t="n">
        <v>2</v>
      </c>
      <c r="B37" s="11" t="inlineStr">
        <is>
          <t>2.23</t>
        </is>
      </c>
      <c r="C37" s="12" t="inlineStr">
        <is>
          <t>How leads are handled</t>
        </is>
      </c>
      <c r="D37" s="12" t="inlineStr">
        <is>
          <t>Settings</t>
        </is>
      </c>
      <c r="E37" s="13" t="inlineStr">
        <is>
          <t>Limit designers to their own leads, then open it back up</t>
        </is>
      </c>
      <c r="F37" s="14" t="inlineStr">
        <is>
          <t>1. Under "Who sees leads" click "Only the leads assigned to them"
2. Click the "Studio" tab and read the "See leads" row
3. Back on "Lead management", click "Everyone sees every lead"</t>
        </is>
      </c>
      <c r="G37" s="14" t="inlineStr">
        <is>
          <t>"See leads" reads "Their team’s" for Managers and "Their own" for Designers; the last click says "Everyone sees every lead again".</t>
        </is>
      </c>
      <c r="H37" s="12" t="inlineStr">
        <is>
          <t>Different from 1.0: one switch, enforced for every role</t>
        </is>
      </c>
      <c r="I37" s="11" t="inlineStr">
        <is>
          <t>Dane</t>
        </is>
      </c>
      <c r="J37" s="15" t="n"/>
      <c r="K37" s="15" t="n"/>
      <c r="L37" s="15" t="n"/>
      <c r="M37" s="16" t="n"/>
      <c r="N37" s="17" t="n"/>
      <c r="O37" s="17" t="n"/>
      <c r="P37" s="15" t="n"/>
    </row>
    <row r="38">
      <c r="A38" s="11" t="n">
        <v>2</v>
      </c>
      <c r="B38" s="11" t="inlineStr">
        <is>
          <t>2.24</t>
        </is>
      </c>
      <c r="C38" s="12" t="inlineStr">
        <is>
          <t>How leads are handled</t>
        </is>
      </c>
      <c r="D38" s="12" t="inlineStr">
        <is>
          <t>Settings</t>
        </is>
      </c>
      <c r="E38" s="13" t="inlineStr">
        <is>
          <t>Find the address your website form sends leads to</t>
        </is>
      </c>
      <c r="F38" s="14" t="inlineStr">
        <is>
          <t>1. Under "Lead capture" click "Copy" beside the address
2. Read the table below it</t>
        </is>
      </c>
      <c r="G38" s="14" t="inlineStr">
        <is>
          <t>"Intake address copied" (leads+demo-studio@in.openmaison.sg). Rows: Website form, Meta Lead Ads, Webhook · Google Ads ("Active"), Email lead sources.</t>
        </is>
      </c>
      <c r="H38" s="12" t="inlineStr">
        <is>
          <t>Different from 1.0: every way in listed in one place</t>
        </is>
      </c>
      <c r="I38" s="11" t="inlineStr">
        <is>
          <t>Dane</t>
        </is>
      </c>
      <c r="J38" s="15" t="n"/>
      <c r="K38" s="15" t="n"/>
      <c r="L38" s="15" t="n"/>
      <c r="M38" s="16" t="n"/>
      <c r="N38" s="17" t="n"/>
      <c r="O38" s="17" t="n"/>
      <c r="P38" s="15" t="n"/>
    </row>
    <row r="39">
      <c r="A39" s="11" t="n">
        <v>2</v>
      </c>
      <c r="B39" s="11" t="inlineStr">
        <is>
          <t>2.25</t>
        </is>
      </c>
      <c r="C39" s="12" t="inlineStr">
        <is>
          <t>How quotes are priced</t>
        </is>
      </c>
      <c r="D39" s="12" t="inlineStr">
        <is>
          <t>Settings</t>
        </is>
      </c>
      <c r="E39" s="13" t="inlineStr">
        <is>
          <t>Try your own quote number pattern without saving it</t>
        </is>
      </c>
      <c r="F39" s="14" t="inlineStr">
        <is>
          <t>1. Click the "Quotes &amp; pricing" tab
2. Under "Quote numbers" change "Prefix" to DS and "Digits" to 4; switch on "Year and month"
3. Read "Next quote:"
4. Click "Discard"</t>
        </is>
      </c>
      <c r="G39" s="14" t="inlineStr">
        <is>
          <t>"Next quote:" changes as you type to DS-(this year and month)-0001; after Discard it reads OM-10010 again.</t>
        </is>
      </c>
      <c r="H39" s="12" t="inlineStr">
        <is>
          <t>Different from 1.0: your own pattern, not a fixed QT-###</t>
        </is>
      </c>
      <c r="I39" s="11" t="inlineStr">
        <is>
          <t>Dane</t>
        </is>
      </c>
      <c r="J39" s="15" t="n"/>
      <c r="K39" s="15" t="n"/>
      <c r="L39" s="15" t="n"/>
      <c r="M39" s="16" t="n"/>
      <c r="N39" s="17" t="n"/>
      <c r="O39" s="17" t="n"/>
      <c r="P39" s="15" t="n"/>
    </row>
    <row r="40">
      <c r="A40" s="11" t="n">
        <v>2</v>
      </c>
      <c r="B40" s="11" t="inlineStr">
        <is>
          <t>2.26</t>
        </is>
      </c>
      <c r="C40" s="12" t="inlineStr">
        <is>
          <t>How quotes are priced</t>
        </is>
      </c>
      <c r="D40" s="12" t="inlineStr">
        <is>
          <t>Settings</t>
        </is>
      </c>
      <c r="E40" s="13" t="inlineStr">
        <is>
          <t>Give Carpentry a standard note for quotes</t>
        </is>
      </c>
      <c r="F40" s="14" t="inlineStr">
        <is>
          <t>1. Under "Trades" click "Carpentry"
2. In "Note" type All carpentry in E0-grade board with laminate finish unless stated.
3. Click "Save"</t>
        </is>
      </c>
      <c r="G40" s="14" t="inlineStr">
        <is>
          <t>"Note saved for Carpentry"; a small note mark appears on the Carpentry chip.</t>
        </is>
      </c>
      <c r="H40" s="12" t="inlineStr">
        <is>
          <t>Same as 1.0</t>
        </is>
      </c>
      <c r="I40" s="11" t="inlineStr">
        <is>
          <t>Dane</t>
        </is>
      </c>
      <c r="J40" s="15" t="n"/>
      <c r="K40" s="15" t="n"/>
      <c r="L40" s="15" t="n"/>
      <c r="M40" s="16" t="n"/>
      <c r="N40" s="17" t="n"/>
      <c r="O40" s="17" t="n"/>
      <c r="P40" s="15" t="n"/>
    </row>
    <row r="41">
      <c r="A41" s="11" t="n">
        <v>2</v>
      </c>
      <c r="B41" s="11" t="inlineStr">
        <is>
          <t>2.27</t>
        </is>
      </c>
      <c r="C41" s="12" t="inlineStr">
        <is>
          <t>How quotes are priced</t>
        </is>
      </c>
      <c r="D41" s="12" t="inlineStr">
        <is>
          <t>Settings</t>
        </is>
      </c>
      <c r="E41" s="13" t="inlineStr">
        <is>
          <t>Check the GST rate refuses a wrong number</t>
        </is>
      </c>
      <c r="F41" s="14" t="inlineStr">
        <is>
          <t>1. Under "GST" check "Registered for GST" is on
2. Change "GST rate (%)" to 35
3. Change it back to 9</t>
        </is>
      </c>
      <c r="G41" s="14" t="inlineStr">
        <is>
          <t>At 35 the box says "Between 0 and 30" and "Save rate" stays grey; back at 9 the warning goes.</t>
        </is>
      </c>
      <c r="H41" s="12" t="inlineStr">
        <is>
          <t>Different from 1.0: the studio sets its GST once</t>
        </is>
      </c>
      <c r="I41" s="11" t="inlineStr">
        <is>
          <t>Dane</t>
        </is>
      </c>
      <c r="J41" s="15" t="n"/>
      <c r="K41" s="15" t="n"/>
      <c r="L41" s="15" t="n"/>
      <c r="M41" s="16" t="n"/>
      <c r="N41" s="17" t="n"/>
      <c r="O41" s="17" t="n"/>
      <c r="P41" s="15" t="n"/>
    </row>
    <row r="42">
      <c r="A42" s="11" t="n">
        <v>2</v>
      </c>
      <c r="B42" s="11" t="inlineStr">
        <is>
          <t>2.28</t>
        </is>
      </c>
      <c r="C42" s="12" t="inlineStr">
        <is>
          <t>How quotes are priced</t>
        </is>
      </c>
      <c r="D42" s="12" t="inlineStr">
        <is>
          <t>Settings</t>
        </is>
      </c>
      <c r="E42" s="13" t="inlineStr">
        <is>
          <t>Round selling prices to S$5, then switch it off</t>
        </is>
      </c>
      <c r="F42" s="14" t="inlineStr">
        <is>
          <t>1. Under "Selling prices", in "Round selling prices to" pick "The nearest S$5"
2. Pick "Not rounded" again</t>
        </is>
      </c>
      <c r="G42" s="14" t="inlineStr">
        <is>
          <t>"Selling prices round to the nearest S$5", then "Selling prices are not rounded".</t>
        </is>
      </c>
      <c r="H42" s="12" t="inlineStr">
        <is>
          <t>Different from 1.0: a studio rule instead of per quote</t>
        </is>
      </c>
      <c r="I42" s="11" t="inlineStr">
        <is>
          <t>Dane</t>
        </is>
      </c>
      <c r="J42" s="15" t="n"/>
      <c r="K42" s="15" t="n"/>
      <c r="L42" s="15" t="n"/>
      <c r="M42" s="16" t="n"/>
      <c r="N42" s="17" t="n"/>
      <c r="O42" s="17" t="n"/>
      <c r="P42" s="15" t="n"/>
    </row>
    <row r="43">
      <c r="A43" s="11" t="n">
        <v>2</v>
      </c>
      <c r="B43" s="11" t="inlineStr">
        <is>
          <t>2.29</t>
        </is>
      </c>
      <c r="C43" s="12" t="inlineStr">
        <is>
          <t>How quotes are priced</t>
        </is>
      </c>
      <c r="D43" s="12" t="inlineStr">
        <is>
          <t>Settings</t>
        </is>
      </c>
      <c r="E43" s="13" t="inlineStr">
        <is>
          <t>Lock payment schedules to Owners and Admins, then unlock</t>
        </is>
      </c>
      <c r="F43" s="14" t="inlineStr">
        <is>
          <t>1. Under "Payment schedule" switch on "Only Owners and Admins can change it"
2. On the "Studio" tab read "Change a quote’s payment schedule"
3. Back on "Quotes &amp; pricing", switch it off</t>
        </is>
      </c>
      <c r="G43" s="14" t="inlineStr">
        <is>
          <t>Locked, Manager and Designer show "—" on that row; unlocking says "Every member can change the payment schedule".</t>
        </is>
      </c>
      <c r="H43" s="12" t="inlineStr">
        <is>
          <t>Different from 1.0: the lock is now actually enforced</t>
        </is>
      </c>
      <c r="I43" s="11" t="inlineStr">
        <is>
          <t>Dane</t>
        </is>
      </c>
      <c r="J43" s="15" t="n"/>
      <c r="K43" s="15" t="n"/>
      <c r="L43" s="15" t="n"/>
      <c r="M43" s="16" t="n"/>
      <c r="N43" s="17" t="n"/>
      <c r="O43" s="17" t="n"/>
      <c r="P43" s="15" t="n"/>
    </row>
    <row r="44">
      <c r="A44" s="11" t="n">
        <v>2</v>
      </c>
      <c r="B44" s="11" t="inlineStr">
        <is>
          <t>2.30</t>
        </is>
      </c>
      <c r="C44" s="12" t="inlineStr">
        <is>
          <t>How quotes are priced</t>
        </is>
      </c>
      <c r="D44" s="12" t="inlineStr">
        <is>
          <t>Settings</t>
        </is>
      </c>
      <c r="E44" s="13" t="inlineStr">
        <is>
          <t>Make James the backup approver, then remove him</t>
        </is>
      </c>
      <c r="F44" s="14" t="inlineStr">
        <is>
          <t>1. Under "Backup approver" pick James
2. On the "Studio" tab read the line under "Who may do what"
3. Back on "Quotes &amp; pricing", pick "None"</t>
        </is>
      </c>
      <c r="G44" s="14" t="inlineStr">
        <is>
          <t>"James can approve as the backup"; Studio says "James is the backup approver…"; picking None says "No backup approver".</t>
        </is>
      </c>
      <c r="H44" s="12" t="inlineStr">
        <is>
          <t>Different from 1.0: one backup instead of an approver list</t>
        </is>
      </c>
      <c r="I44" s="11" t="inlineStr">
        <is>
          <t>Dane</t>
        </is>
      </c>
      <c r="J44" s="15" t="n"/>
      <c r="K44" s="15" t="n"/>
      <c r="L44" s="15" t="n"/>
      <c r="M44" s="16" t="n"/>
      <c r="N44" s="17" t="n"/>
      <c r="O44" s="17" t="n"/>
      <c r="P44" s="15" t="n"/>
    </row>
    <row r="45">
      <c r="A45" s="11" t="n">
        <v>2</v>
      </c>
      <c r="B45" s="11" t="inlineStr">
        <is>
          <t>2.31</t>
        </is>
      </c>
      <c r="C45" s="12" t="inlineStr">
        <is>
          <t>How quotes are priced</t>
        </is>
      </c>
      <c r="D45" s="12" t="inlineStr">
        <is>
          <t>Settings</t>
        </is>
      </c>
      <c r="E45" s="13" t="inlineStr">
        <is>
          <t>Choose whose name a quote's "prepared by" prints</t>
        </is>
      </c>
      <c r="F45" s="14" t="inlineStr">
        <is>
          <t>1. Under "Prepared by", in "Prepared by prints" pick "Every member on the lead"
2. Pick "The member who prepared the quote" again</t>
        </is>
      </c>
      <c r="G45" s="14" t="inlineStr">
        <is>
          <t>"Prepared by prints every member on the lead", then "Prepared by prints the member who prepared the quote".</t>
        </is>
      </c>
      <c r="H45" s="12" t="inlineStr">
        <is>
          <t>Same as 1.0</t>
        </is>
      </c>
      <c r="I45" s="11" t="inlineStr">
        <is>
          <t>Dane</t>
        </is>
      </c>
      <c r="J45" s="15" t="n"/>
      <c r="K45" s="15" t="n"/>
      <c r="L45" s="15" t="n"/>
      <c r="M45" s="16" t="n"/>
      <c r="N45" s="17" t="n"/>
      <c r="O45" s="17" t="n"/>
      <c r="P45" s="15" t="n"/>
    </row>
    <row r="46">
      <c r="A46" s="11" t="n">
        <v>2</v>
      </c>
      <c r="B46" s="11" t="inlineStr">
        <is>
          <t>2.32</t>
        </is>
      </c>
      <c r="C46" s="12" t="inlineStr">
        <is>
          <t>Who hears about what</t>
        </is>
      </c>
      <c r="D46" s="12" t="inlineStr">
        <is>
          <t>Notifications</t>
        </is>
      </c>
      <c r="E46" s="13" t="inlineStr">
        <is>
          <t>Switch off a notice and see email and WhatsApp follow</t>
        </is>
      </c>
      <c r="F46" s="14" t="inlineStr">
        <is>
          <t>1. Click the "Notifications" tab
2. On "A new lead arrives" switch off "In app"
3. Point at its greyed "WhatsApp" switch
4. Switch "In app" back on</t>
        </is>
      </c>
      <c r="G46" s="14" t="inlineStr">
        <is>
          <t>Email and WhatsApp go grey and off; the tip says "Goes out with the in-app notice — switch In app on first"; both return after.</t>
        </is>
      </c>
      <c r="H46" s="12" t="inlineStr">
        <is>
          <t>Different from 1.0: set per event, not per category</t>
        </is>
      </c>
      <c r="I46" s="11" t="inlineStr">
        <is>
          <t>Dane</t>
        </is>
      </c>
      <c r="J46" s="15" t="n"/>
      <c r="K46" s="15" t="n"/>
      <c r="L46" s="15" t="n"/>
      <c r="M46" s="16" t="n"/>
      <c r="N46" s="17" t="n"/>
      <c r="O46" s="17" t="n"/>
      <c r="P46" s="15" t="n"/>
    </row>
    <row r="47">
      <c r="A47" s="11" t="n">
        <v>2</v>
      </c>
      <c r="B47" s="11" t="inlineStr">
        <is>
          <t>2.33</t>
        </is>
      </c>
      <c r="C47" s="12" t="inlineStr">
        <is>
          <t>Who hears about what</t>
        </is>
      </c>
      <c r="D47" s="12" t="inlineStr">
        <is>
          <t>Notifications</t>
        </is>
      </c>
      <c r="E47" s="13" t="inlineStr">
        <is>
          <t>Preview a WhatsApp message with a field filled in</t>
        </is>
      </c>
      <c r="F47" s="14" t="inlineStr">
        <is>
          <t>1. Under "Messages", on "A new lead arrives · WhatsApp" click "Edit"
2. Click at the end of "Message", then "Insert a field" › "The lead’s source"
3. Read "Preview"
4. Click "Cancel"</t>
        </is>
      </c>
      <c r="G47" s="14" t="inlineStr">
        <is>
          <t>The preview fills the new field with a sample source ("Website"); Cancel leaves the message as it was.</t>
        </is>
      </c>
      <c r="H47" s="12" t="inlineStr">
        <is>
          <t>Same as 1.0</t>
        </is>
      </c>
      <c r="I47" s="11" t="inlineStr">
        <is>
          <t>Dane</t>
        </is>
      </c>
      <c r="J47" s="15" t="n"/>
      <c r="K47" s="15" t="n"/>
      <c r="L47" s="15" t="n"/>
      <c r="M47" s="16" t="n"/>
      <c r="N47" s="17" t="n"/>
      <c r="O47" s="17" t="n"/>
      <c r="P47" s="15" t="n"/>
    </row>
    <row r="48">
      <c r="A48" s="11" t="n">
        <v>2</v>
      </c>
      <c r="B48" s="11" t="inlineStr">
        <is>
          <t>2.34</t>
        </is>
      </c>
      <c r="C48" s="12" t="inlineStr">
        <is>
          <t>Leave the studio as you found it</t>
        </is>
      </c>
      <c r="D48" s="12" t="inlineStr">
        <is>
          <t>Settings</t>
        </is>
      </c>
      <c r="E48" s="13" t="inlineStr">
        <is>
          <t>Put the lead sources back as they were</t>
        </is>
      </c>
      <c r="F48" s="14" t="inlineStr">
        <is>
          <t>1. On "Lead management" click ✕ on Xiaohongshu, then "Undo" in the message
2. Click ✕ on Xiaohongshu again
3. Click "Showroom walk-in", change "Name" back to Walk-in, click "Save"</t>
        </is>
      </c>
      <c r="G48" s="14" t="inlineStr">
        <is>
          <t>Undo says "Lead sources put back"; at the end the note under "Lead sources" says "These are the defaults."</t>
        </is>
      </c>
      <c r="H48" s="12" t="inlineStr">
        <is>
          <t>Different from 1.0: removing answers with Undo, not a confirm</t>
        </is>
      </c>
      <c r="I48" s="11" t="inlineStr">
        <is>
          <t>Dane</t>
        </is>
      </c>
      <c r="J48" s="15" t="n"/>
      <c r="K48" s="15" t="n"/>
      <c r="L48" s="15" t="n"/>
      <c r="M48" s="16" t="n"/>
      <c r="N48" s="17" t="n"/>
      <c r="O48" s="17" t="n"/>
      <c r="P48" s="15" t="n"/>
    </row>
    <row r="49">
      <c r="A49" s="11" t="n">
        <v>2</v>
      </c>
      <c r="B49" s="11" t="inlineStr">
        <is>
          <t>2.35</t>
        </is>
      </c>
      <c r="C49" s="12" t="inlineStr">
        <is>
          <t>Leave the studio as you found it</t>
        </is>
      </c>
      <c r="D49" s="12" t="inlineStr">
        <is>
          <t>Settings</t>
        </is>
      </c>
      <c r="E49" s="13" t="inlineStr">
        <is>
          <t>Remove the test reason and the test field</t>
        </is>
      </c>
      <c r="F49" s="14" t="inlineStr">
        <is>
          <t>1. Under "Reasons" click ✕ on "Chose a contractor"
2. Under "Custom fields" click the bin on "Preferred contact time"
3. Click "Delete" in "Delete this field?"</t>
        </is>
      </c>
      <c r="G49" s="14" t="inlineStr">
        <is>
          <t>"Chose a contractor removed", "Preferred contact time deleted"; Reasons says "These are the defaults." and Custom fields "No custom fields yet."</t>
        </is>
      </c>
      <c r="H49" s="12" t="inlineStr">
        <is>
          <t>Same as 1.0</t>
        </is>
      </c>
      <c r="I49" s="11" t="inlineStr">
        <is>
          <t>Dane</t>
        </is>
      </c>
      <c r="J49" s="15" t="n"/>
      <c r="K49" s="15" t="n"/>
      <c r="L49" s="15" t="n"/>
      <c r="M49" s="16" t="n"/>
      <c r="N49" s="17" t="n"/>
      <c r="O49" s="17" t="n"/>
      <c r="P49" s="15" t="n"/>
    </row>
    <row r="50">
      <c r="A50" s="11" t="n">
        <v>2</v>
      </c>
      <c r="B50" s="11" t="inlineStr">
        <is>
          <t>2.36</t>
        </is>
      </c>
      <c r="C50" s="12" t="inlineStr">
        <is>
          <t>Leave the studio as you found it</t>
        </is>
      </c>
      <c r="D50" s="12" t="inlineStr">
        <is>
          <t>Settings</t>
        </is>
      </c>
      <c r="E50" s="13" t="inlineStr">
        <is>
          <t>Take the Carpentry note off again</t>
        </is>
      </c>
      <c r="F50" s="14" t="inlineStr">
        <is>
          <t>1. On "Quotes &amp; pricing" click "Carpentry"
2. Clear "Note"
3. Click "Save"</t>
        </is>
      </c>
      <c r="G50" s="14" t="inlineStr">
        <is>
          <t>"Note removed from Carpentry"; the small note mark leaves the Carpentry chip.</t>
        </is>
      </c>
      <c r="H50" s="12" t="inlineStr">
        <is>
          <t>Same as 1.0</t>
        </is>
      </c>
      <c r="I50" s="11" t="inlineStr">
        <is>
          <t>Dane</t>
        </is>
      </c>
      <c r="J50" s="15" t="n"/>
      <c r="K50" s="15" t="n"/>
      <c r="L50" s="15" t="n"/>
      <c r="M50" s="16" t="n"/>
      <c r="N50" s="17" t="n"/>
      <c r="O50" s="17" t="n"/>
      <c r="P50" s="15" t="n"/>
    </row>
    <row r="51">
      <c r="A51" s="11" t="n">
        <v>2</v>
      </c>
      <c r="B51" s="11" t="inlineStr">
        <is>
          <t>2.37</t>
        </is>
      </c>
      <c r="C51" s="12" t="inlineStr">
        <is>
          <t>Leave the studio as you found it</t>
        </is>
      </c>
      <c r="D51" s="12" t="inlineStr">
        <is>
          <t>Company</t>
        </is>
      </c>
      <c r="E51" s="13" t="inlineStr">
        <is>
          <t>Leave Kavya out and remove the test company</t>
        </is>
      </c>
      <c r="F51" s="14" t="inlineStr">
        <is>
          <t>1. Company › "Members": click "Deactivate" on Kavya, then "Deactivate" in the box
2. Company › "Profile": click the bin on Demo Studio Carpentry Pte Ltd
3. Click "Save changes"
4. Open Settings › "Studio"</t>
        </is>
      </c>
      <c r="G51" s="14" t="inlineStr">
        <is>
          <t>Studio lists one entity, Demo Studio Pte Ltd; the Team card's "Deactivated" line names Kavya Menon, out of every picker.</t>
        </is>
      </c>
      <c r="H51" s="12" t="inlineStr">
        <is>
          <t>Same as 1.0</t>
        </is>
      </c>
      <c r="I51" s="11" t="inlineStr">
        <is>
          <t>Dane</t>
        </is>
      </c>
      <c r="J51" s="15" t="n"/>
      <c r="K51" s="15" t="n"/>
      <c r="L51" s="15" t="n"/>
      <c r="M51" s="16" t="n"/>
      <c r="N51" s="17" t="n"/>
      <c r="O51" s="17" t="n"/>
      <c r="P51" s="15" t="n"/>
    </row>
    <row r="52" ht="22" customHeight="1">
      <c r="A52" s="9" t="inlineStr">
        <is>
          <t>Chapter 3 · Build your library — Price book, templates and the question bank.</t>
        </is>
      </c>
      <c r="M52" s="10" t="n"/>
    </row>
    <row r="53">
      <c r="A53" s="11" t="n">
        <v>3</v>
      </c>
      <c r="B53" s="11" t="inlineStr">
        <is>
          <t>3.01</t>
        </is>
      </c>
      <c r="C53" s="12" t="inlineStr">
        <is>
          <t>Open the price book</t>
        </is>
      </c>
      <c r="D53" s="12" t="inlineStr">
        <is>
          <t>Price book</t>
        </is>
      </c>
      <c r="E53" s="13" t="inlineStr">
        <is>
          <t>Open the studio's price book</t>
        </is>
      </c>
      <c r="F53" s="14" t="inlineStr">
        <is>
          <t>1. Click "Company" in the side navigation
2. Click "Price book"</t>
        </is>
      </c>
      <c r="G53" s="14" t="inlineStr">
        <is>
          <t>"Price book" opens on "My Items": the "Wet works" and "Kitchen" folders, item cards with unit prices, a "1 proposed" chip and "Kind: All".</t>
        </is>
      </c>
      <c r="H53" s="12" t="inlineStr">
        <is>
          <t>Different from 1.0: under Company, not Accounts</t>
        </is>
      </c>
      <c r="I53" s="11" t="inlineStr">
        <is>
          <t>Dane</t>
        </is>
      </c>
      <c r="J53" s="15" t="n"/>
      <c r="K53" s="15" t="n"/>
      <c r="L53" s="15" t="n"/>
      <c r="M53" s="16" t="n"/>
      <c r="N53" s="17" t="n"/>
      <c r="O53" s="17" t="n"/>
      <c r="P53" s="15" t="n"/>
    </row>
    <row r="54">
      <c r="A54" s="11" t="n">
        <v>3</v>
      </c>
      <c r="B54" s="11" t="inlineStr">
        <is>
          <t>3.02</t>
        </is>
      </c>
      <c r="C54" s="12" t="inlineStr">
        <is>
          <t>Open the price book</t>
        </is>
      </c>
      <c r="D54" s="12" t="inlineStr">
        <is>
          <t>Price book</t>
        </is>
      </c>
      <c r="E54" s="13" t="inlineStr">
        <is>
          <t>See one product from two suppliers</t>
        </is>
      </c>
      <c r="F54" s="14" t="inlineStr">
        <is>
          <t>1. Click the "Wet works" folder
2. Look at the two "Homogeneous tiles 600×600, supply and lay" cards
3. Click "My Items" in the path at the top to go back</t>
        </is>
      </c>
      <c r="G54" s="14" t="inlineStr">
        <is>
          <t>The same tile shows twice — "by Hafary" and "by Soon Bee Huat", each S$11.00 / sqft: one item per supplier.</t>
        </is>
      </c>
      <c r="H54" s="12" t="inlineStr">
        <is>
          <t>Different from 1.0: one vendor per item, not several</t>
        </is>
      </c>
      <c r="I54" s="11" t="inlineStr">
        <is>
          <t>Dane</t>
        </is>
      </c>
      <c r="J54" s="15" t="n"/>
      <c r="K54" s="15" t="n"/>
      <c r="L54" s="15" t="n"/>
      <c r="M54" s="16" t="n"/>
      <c r="N54" s="17" t="n"/>
      <c r="O54" s="17" t="n"/>
      <c r="P54" s="15" t="n"/>
    </row>
    <row r="55">
      <c r="A55" s="11" t="n">
        <v>3</v>
      </c>
      <c r="B55" s="11" t="inlineStr">
        <is>
          <t>3.03</t>
        </is>
      </c>
      <c r="C55" s="12" t="inlineStr">
        <is>
          <t>Add the fluted panel</t>
        </is>
      </c>
      <c r="D55" s="12" t="inlineStr">
        <is>
          <t>Price book</t>
        </is>
      </c>
      <c r="E55" s="13" t="inlineStr">
        <is>
          <t>Add a new item with a price in cents</t>
        </is>
      </c>
      <c r="F55" s="14" t="inlineStr">
        <is>
          <t>1. Click "New" › "New item"
2. "Item name": Fluted feature wall panel · "Description": Oak veneer fluted panel, 20 mm slats, supply and install
3. "Kind": Purchase · "Unit": sqft
4. "Cost (S$)": 28.50 · "Markup (S$)": 11.50</t>
        </is>
      </c>
      <c r="G55" s="14" t="inlineStr">
        <is>
          <t>Under Markup it reads "Unit price S$40.00" — the cents are kept exactly as typed.</t>
        </is>
      </c>
      <c r="H55" s="12" t="inlineStr">
        <is>
          <t>Different from 1.0: markup in S$, not a percentage</t>
        </is>
      </c>
      <c r="I55" s="11" t="inlineStr">
        <is>
          <t>Dane</t>
        </is>
      </c>
      <c r="J55" s="15" t="n"/>
      <c r="K55" s="15" t="n"/>
      <c r="L55" s="15" t="n"/>
      <c r="M55" s="16" t="n"/>
      <c r="N55" s="17" t="n"/>
      <c r="O55" s="17" t="n"/>
      <c r="P55" s="15" t="n"/>
    </row>
    <row r="56">
      <c r="A56" s="11" t="n">
        <v>3</v>
      </c>
      <c r="B56" s="11" t="inlineStr">
        <is>
          <t>3.04</t>
        </is>
      </c>
      <c r="C56" s="12" t="inlineStr">
        <is>
          <t>Add the fluted panel</t>
        </is>
      </c>
      <c r="D56" s="12" t="inlineStr">
        <is>
          <t>Price book</t>
        </is>
      </c>
      <c r="E56" s="13" t="inlineStr">
        <is>
          <t>Give it a trade, a supplier and a product link</t>
        </is>
      </c>
      <c r="F56" s="14" t="inlineStr">
        <is>
          <t>1. "Category": pick Carpentry (the list is the studio's trades)
2. "Vendor": Timber Craft
3. "Website link": www.example.com/fluted-panel
4. Click "Add to My Items"</t>
        </is>
      </c>
      <c r="G56" s="14" t="inlineStr">
        <is>
          <t>A message says "Fluted feature wall panel added to My Items"; its card reads "by Timber Craft · S$40.00 / sqft · Carpentry".</t>
        </is>
      </c>
      <c r="H56" s="12" t="inlineStr">
        <is>
          <t>Same as 1.0</t>
        </is>
      </c>
      <c r="I56" s="11" t="inlineStr">
        <is>
          <t>Dane</t>
        </is>
      </c>
      <c r="J56" s="15" t="n"/>
      <c r="K56" s="15" t="n"/>
      <c r="L56" s="15" t="n"/>
      <c r="M56" s="16" t="n"/>
      <c r="N56" s="17" t="n"/>
      <c r="O56" s="17" t="n"/>
      <c r="P56" s="15" t="n"/>
    </row>
    <row r="57">
      <c r="A57" s="11" t="n">
        <v>3</v>
      </c>
      <c r="B57" s="11" t="inlineStr">
        <is>
          <t>3.05</t>
        </is>
      </c>
      <c r="C57" s="12" t="inlineStr">
        <is>
          <t>Add the fluted panel</t>
        </is>
      </c>
      <c r="D57" s="12" t="inlineStr">
        <is>
          <t>Price book</t>
        </is>
      </c>
      <c r="E57" s="13" t="inlineStr">
        <is>
          <t>Add a photo of the panel</t>
        </is>
      </c>
      <c r="F57" s="14" t="inlineStr">
        <is>
          <t>1. Click the "Fluted feature wall panel" card
2. In "Edit item", click the "Photo" box and pick fluted-panel.jpg
3. Click "Save"</t>
        </is>
      </c>
      <c r="G57" s="14" t="inlineStr">
        <is>
          <t>A message says "Item saved" and the card now shows your photo instead of the cart icon.</t>
        </is>
      </c>
      <c r="H57" s="12" t="inlineStr">
        <is>
          <t>Same as 1.0</t>
        </is>
      </c>
      <c r="I57" s="11" t="inlineStr">
        <is>
          <t>Dane</t>
        </is>
      </c>
      <c r="J57" s="15" t="n"/>
      <c r="K57" s="15" t="n"/>
      <c r="L57" s="15" t="n"/>
      <c r="M57" s="16" t="n"/>
      <c r="N57" s="17" t="n"/>
      <c r="O57" s="17" t="n"/>
      <c r="P57" s="15" t="n"/>
    </row>
    <row r="58">
      <c r="A58" s="11" t="n">
        <v>3</v>
      </c>
      <c r="B58" s="11" t="inlineStr">
        <is>
          <t>3.06</t>
        </is>
      </c>
      <c r="C58" s="12" t="inlineStr">
        <is>
          <t>Add the fluted panel</t>
        </is>
      </c>
      <c r="D58" s="12" t="inlineStr">
        <is>
          <t>Price book</t>
        </is>
      </c>
      <c r="E58" s="13" t="inlineStr">
        <is>
          <t>Change its cost and read the item's history</t>
        </is>
      </c>
      <c r="F58" s="14" t="inlineStr">
        <is>
          <t>1. Open the fluted panel again
2. "Cost (S$)": 30.50, then click "Save"
3. Open it once more and scroll down to "History"</t>
        </is>
      </c>
      <c r="G58" s="14" t="inlineStr">
        <is>
          <t>History lists "Added by Dane" and two "Changed by Dane" entries — "Photo added" and "Cost S$28.50 → S$30.50". Unit price is now S$42.00.</t>
        </is>
      </c>
      <c r="H58" s="12" t="inlineStr">
        <is>
          <t>Different from 1.0: every change kept, before → after</t>
        </is>
      </c>
      <c r="I58" s="11" t="inlineStr">
        <is>
          <t>Dane</t>
        </is>
      </c>
      <c r="J58" s="15" t="n"/>
      <c r="K58" s="15" t="n"/>
      <c r="L58" s="15" t="n"/>
      <c r="M58" s="16" t="n"/>
      <c r="N58" s="17" t="n"/>
      <c r="O58" s="17" t="n"/>
      <c r="P58" s="15" t="n"/>
    </row>
    <row r="59">
      <c r="A59" s="11" t="n">
        <v>3</v>
      </c>
      <c r="B59" s="11" t="inlineStr">
        <is>
          <t>3.07</t>
        </is>
      </c>
      <c r="C59" s="12" t="inlineStr">
        <is>
          <t>Find, sort and change many</t>
        </is>
      </c>
      <c r="D59" s="12" t="inlineStr">
        <is>
          <t>Price book</t>
        </is>
      </c>
      <c r="E59" s="13" t="inlineStr">
        <is>
          <t>Sort the list by price</t>
        </is>
      </c>
      <c r="F59" s="14" t="inlineStr">
        <is>
          <t>1. Click "List view" (the list icon, top right)
2. Click the "Unit price" column heading
3. Click it again</t>
        </is>
      </c>
      <c r="G59" s="14" t="inlineStr">
        <is>
          <t>Items sort cheapest first with an up arrow, then dearest first with a down arrow.</t>
        </is>
      </c>
      <c r="H59" s="12" t="inlineStr">
        <is>
          <t>Same as 1.0</t>
        </is>
      </c>
      <c r="I59" s="11" t="inlineStr">
        <is>
          <t>Dane</t>
        </is>
      </c>
      <c r="J59" s="15" t="n"/>
      <c r="K59" s="15" t="n"/>
      <c r="L59" s="15" t="n"/>
      <c r="M59" s="16" t="n"/>
      <c r="N59" s="17" t="n"/>
      <c r="O59" s="17" t="n"/>
      <c r="P59" s="15" t="n"/>
    </row>
    <row r="60">
      <c r="A60" s="11" t="n">
        <v>3</v>
      </c>
      <c r="B60" s="11" t="inlineStr">
        <is>
          <t>3.08</t>
        </is>
      </c>
      <c r="C60" s="12" t="inlineStr">
        <is>
          <t>Find, sort and change many</t>
        </is>
      </c>
      <c r="D60" s="12" t="inlineStr">
        <is>
          <t>Price book</t>
        </is>
      </c>
      <c r="E60" s="13" t="inlineStr">
        <is>
          <t>Show only one trade's items</t>
        </is>
      </c>
      <c r="F60" s="14" t="inlineStr">
        <is>
          <t>1. Click "Filters" (the funnel icon)
2. "Category": Tiling, then click "Done"
3. When checked, open "Filters" again and click "Clear All"</t>
        </is>
      </c>
      <c r="G60" s="14" t="inlineStr">
        <is>
          <t>Only the two Homogeneous tiles items show, each marked with its folder "Wet works"; "Clear All" brings every item back.</t>
        </is>
      </c>
      <c r="H60" s="12" t="inlineStr">
        <is>
          <t>Different from 1.0: a category filter, not grouped lists</t>
        </is>
      </c>
      <c r="I60" s="11" t="inlineStr">
        <is>
          <t>Dane</t>
        </is>
      </c>
      <c r="J60" s="15" t="n"/>
      <c r="K60" s="15" t="n"/>
      <c r="L60" s="15" t="n"/>
      <c r="M60" s="16" t="n"/>
      <c r="N60" s="17" t="n"/>
      <c r="O60" s="17" t="n"/>
      <c r="P60" s="15" t="n"/>
    </row>
    <row r="61">
      <c r="A61" s="11" t="n">
        <v>3</v>
      </c>
      <c r="B61" s="11" t="inlineStr">
        <is>
          <t>3.09</t>
        </is>
      </c>
      <c r="C61" s="12" t="inlineStr">
        <is>
          <t>Find, sort and change many</t>
        </is>
      </c>
      <c r="D61" s="12" t="inlineStr">
        <is>
          <t>Price book</t>
        </is>
      </c>
      <c r="E61" s="13" t="inlineStr">
        <is>
          <t>Look at an item a designer proposed</t>
        </is>
      </c>
      <c r="F61" s="14" t="inlineStr">
        <is>
          <t>1. Click the "1 proposed" chip at the top
2. Click "Skirting, PVC 80 mm"
3. Read the bar at the top, then click "Cancel"
4. Click "1 proposed" again to see every item</t>
        </is>
      </c>
      <c r="G61" s="14" t="inlineStr">
        <is>
          <t>The bar says Sarah proposed it and only their quotes use it until approved; "Send back…" and "Approve" wait for chapter 10.</t>
        </is>
      </c>
      <c r="H61" s="12" t="inlineStr">
        <is>
          <t>Different from 1.0: not used studio-wide until approved</t>
        </is>
      </c>
      <c r="I61" s="11" t="inlineStr">
        <is>
          <t>Dane</t>
        </is>
      </c>
      <c r="J61" s="15" t="n"/>
      <c r="K61" s="15" t="n"/>
      <c r="L61" s="15" t="n"/>
      <c r="M61" s="16" t="n"/>
      <c r="N61" s="17" t="n"/>
      <c r="O61" s="17" t="n"/>
      <c r="P61" s="15" t="n"/>
    </row>
    <row r="62">
      <c r="A62" s="11" t="n">
        <v>3</v>
      </c>
      <c r="B62" s="11" t="inlineStr">
        <is>
          <t>3.10</t>
        </is>
      </c>
      <c r="C62" s="12" t="inlineStr">
        <is>
          <t>Find, sort and change many</t>
        </is>
      </c>
      <c r="D62" s="12" t="inlineStr">
        <is>
          <t>Price book</t>
        </is>
      </c>
      <c r="E62" s="13" t="inlineStr">
        <is>
          <t>Re-price two items at once, then undo</t>
        </is>
      </c>
      <c r="F62" s="14" t="inlineStr">
        <is>
          <t>1. Tick "Vinyl flooring, supply and install" and "Electrical point, new"
2. In the bar at the bottom, click "Set markup"
3. "Markup (% of cost)": 30, then click "Apply to 2 items"
4. On the message "2 items changed", click "Undo" straight away</t>
        </is>
      </c>
      <c r="G62" s="14" t="inlineStr">
        <is>
          <t>Unit prices change to S$7.15 and S$71.50, then Undo puts them back to S$7.00 and S$70.00.</t>
        </is>
      </c>
      <c r="H62" s="12" t="inlineStr">
        <is>
          <t>Different from 1.0: a markup % re-prices the items</t>
        </is>
      </c>
      <c r="I62" s="11" t="inlineStr">
        <is>
          <t>Dane</t>
        </is>
      </c>
      <c r="J62" s="15" t="n"/>
      <c r="K62" s="15" t="n"/>
      <c r="L62" s="15" t="n"/>
      <c r="M62" s="16" t="n"/>
      <c r="N62" s="17" t="n"/>
      <c r="O62" s="17" t="n"/>
      <c r="P62" s="15" t="n"/>
    </row>
    <row r="63">
      <c r="A63" s="11" t="n">
        <v>3</v>
      </c>
      <c r="B63" s="11" t="inlineStr">
        <is>
          <t>3.11</t>
        </is>
      </c>
      <c r="C63" s="12" t="inlineStr">
        <is>
          <t>Import and export</t>
        </is>
      </c>
      <c r="D63" s="12" t="inlineStr">
        <is>
          <t>Price book</t>
        </is>
      </c>
      <c r="E63" s="13" t="inlineStr">
        <is>
          <t>Export My Items to a spreadsheet</t>
        </is>
      </c>
      <c r="F63" s="14" t="inlineStr">
        <is>
          <t>1. Click the ⋮ menu ("More options", top right)
2. Click "Export My Items…"
3. Keep "All items" and "Choose file format": CSV
4. Click "Export"</t>
        </is>
      </c>
      <c r="G63" s="14" t="inlineStr">
        <is>
          <t>my-items.csv downloads and a message says how many items were exported as CSV; the file has an Item column with every name.</t>
        </is>
      </c>
      <c r="H63" s="12" t="inlineStr">
        <is>
          <t>Different from 1.0: live items only, with their names</t>
        </is>
      </c>
      <c r="I63" s="11" t="inlineStr">
        <is>
          <t>Dane</t>
        </is>
      </c>
      <c r="J63" s="15" t="n"/>
      <c r="K63" s="15" t="n"/>
      <c r="L63" s="15" t="n"/>
      <c r="M63" s="16" t="n"/>
      <c r="N63" s="17" t="n"/>
      <c r="O63" s="17" t="n"/>
      <c r="P63" s="15" t="n"/>
    </row>
    <row r="64">
      <c r="A64" s="11" t="n">
        <v>3</v>
      </c>
      <c r="B64" s="11" t="inlineStr">
        <is>
          <t>3.12</t>
        </is>
      </c>
      <c r="C64" s="12" t="inlineStr">
        <is>
          <t>Import and export</t>
        </is>
      </c>
      <c r="D64" s="12" t="inlineStr">
        <is>
          <t>Price book</t>
        </is>
      </c>
      <c r="E64" s="13" t="inlineStr">
        <is>
          <t>Import a supplier's price list</t>
        </is>
      </c>
      <c r="F64" s="14" t="inlineStr">
        <is>
          <t>1. Click "New" › "Import from a spreadsheet…"
2. Drop supplier-price-list.csv on the box (or click "browse")
3. In "Import into My Items", read the "In My Items" column and the notes below</t>
        </is>
      </c>
      <c r="G64" s="14" t="inlineStr">
        <is>
          <t>Rows read New · Updates its price · New · Repeats — skipped; notes name the match, the repeat and new trade "Glass &amp; Mirror".</t>
        </is>
      </c>
      <c r="H64" s="12" t="inlineStr">
        <is>
          <t>Different from 1.0: matches existing items; no PDF reading</t>
        </is>
      </c>
      <c r="I64" s="11" t="inlineStr">
        <is>
          <t>Dane</t>
        </is>
      </c>
      <c r="J64" s="15" t="n"/>
      <c r="K64" s="15" t="n"/>
      <c r="L64" s="15" t="n"/>
      <c r="M64" s="16" t="n"/>
      <c r="N64" s="17" t="n"/>
      <c r="O64" s="17" t="n"/>
      <c r="P64" s="15" t="n"/>
    </row>
    <row r="65">
      <c r="A65" s="11" t="n">
        <v>3</v>
      </c>
      <c r="B65" s="11" t="inlineStr">
        <is>
          <t>3.13</t>
        </is>
      </c>
      <c r="C65" s="12" t="inlineStr">
        <is>
          <t>Import and export</t>
        </is>
      </c>
      <c r="D65" s="12" t="inlineStr">
        <is>
          <t>Price book</t>
        </is>
      </c>
      <c r="E65" s="13" t="inlineStr">
        <is>
          <t>Finish the import</t>
        </is>
      </c>
      <c r="F65" s="14" t="inlineStr">
        <is>
          <t>1. Keep "Rows that match" on "Update the price"
2. Click "Import 3 rows"</t>
        </is>
      </c>
      <c r="G65" s="14" t="inlineStr">
        <is>
          <t>A message says "2 items added · 1 updated · 1 skipped"; the shower screen and wallpaper join My Items and Vinyl flooring becomes S$7.30.</t>
        </is>
      </c>
      <c r="H65" s="12" t="inlineStr">
        <is>
          <t>Different from 1.0: repeats skipped, matches updated, no duplicates</t>
        </is>
      </c>
      <c r="I65" s="11" t="inlineStr">
        <is>
          <t>Dane</t>
        </is>
      </c>
      <c r="J65" s="15" t="n"/>
      <c r="K65" s="15" t="n"/>
      <c r="L65" s="15" t="n"/>
      <c r="M65" s="16" t="n"/>
      <c r="N65" s="17" t="n"/>
      <c r="O65" s="17" t="n"/>
      <c r="P65" s="15" t="n"/>
    </row>
    <row r="66">
      <c r="A66" s="11" t="n">
        <v>3</v>
      </c>
      <c r="B66" s="11" t="inlineStr">
        <is>
          <t>3.14</t>
        </is>
      </c>
      <c r="C66" s="12" t="inlineStr">
        <is>
          <t>Delete safely, save a section</t>
        </is>
      </c>
      <c r="D66" s="12" t="inlineStr">
        <is>
          <t>Price book</t>
        </is>
      </c>
      <c r="E66" s="13" t="inlineStr">
        <is>
          <t>Delete an item that quotes already use</t>
        </is>
      </c>
      <c r="F66" s="14" t="inlineStr">
        <is>
          <t>1. Point at "Electrical point, new" and open its ⋮ menu › "Delete"
2. Read the warning, then click "Delete" (don't press Undo)</t>
        </is>
      </c>
      <c r="G66" s="14" t="inlineStr">
        <is>
          <t>The warning says the quotes already carrying it keep the line and it can be restored from Deleted Items; the item leaves the list.</t>
        </is>
      </c>
      <c r="H66" s="12" t="inlineStr">
        <is>
          <t>Different from 1.0: deleted items can be restored</t>
        </is>
      </c>
      <c r="I66" s="11" t="inlineStr">
        <is>
          <t>Dane</t>
        </is>
      </c>
      <c r="J66" s="15" t="n"/>
      <c r="K66" s="15" t="n"/>
      <c r="L66" s="15" t="n"/>
      <c r="M66" s="16" t="n"/>
      <c r="N66" s="17" t="n"/>
      <c r="O66" s="17" t="n"/>
      <c r="P66" s="15" t="n"/>
    </row>
    <row r="67">
      <c r="A67" s="11" t="n">
        <v>3</v>
      </c>
      <c r="B67" s="11" t="inlineStr">
        <is>
          <t>3.15</t>
        </is>
      </c>
      <c r="C67" s="12" t="inlineStr">
        <is>
          <t>Delete safely, save a section</t>
        </is>
      </c>
      <c r="D67" s="12" t="inlineStr">
        <is>
          <t>Price book</t>
        </is>
      </c>
      <c r="E67" s="13" t="inlineStr">
        <is>
          <t>Bring the deleted item back</t>
        </is>
      </c>
      <c r="F67" s="14" t="inlineStr">
        <is>
          <t>1. Click the ⋮ menu ("More options", top right) › "Deleted Items · 1"
2. Point at "Delete Forever" on Electrical point, new
3. Click "Restore"</t>
        </is>
      </c>
      <c r="G67" s="14" t="inlineStr">
        <is>
          <t>"Delete Forever" is greyed out — it is on quotes, restore it instead — and "Restore" puts the item back in My Items.</t>
        </is>
      </c>
      <c r="H67" s="12" t="inlineStr">
        <is>
          <t>Different from 1.0: items on quotes can't be deleted forever</t>
        </is>
      </c>
      <c r="I67" s="11" t="inlineStr">
        <is>
          <t>Dane</t>
        </is>
      </c>
      <c r="J67" s="15" t="n"/>
      <c r="K67" s="15" t="n"/>
      <c r="L67" s="15" t="n"/>
      <c r="M67" s="16" t="n"/>
      <c r="N67" s="17" t="n"/>
      <c r="O67" s="17" t="n"/>
      <c r="P67" s="15" t="n"/>
    </row>
    <row r="68">
      <c r="A68" s="11" t="n">
        <v>3</v>
      </c>
      <c r="B68" s="11" t="inlineStr">
        <is>
          <t>3.16</t>
        </is>
      </c>
      <c r="C68" s="12" t="inlineStr">
        <is>
          <t>Delete safely, save a section</t>
        </is>
      </c>
      <c r="D68" s="12" t="inlineStr">
        <is>
          <t>Price book</t>
        </is>
      </c>
      <c r="E68" s="13" t="inlineStr">
        <is>
          <t>Save a whole section for future quotes</t>
        </is>
      </c>
      <c r="F68" s="14" t="inlineStr">
        <is>
          <t>1. Click the "My Sections" tab, then "New" › "New section"
2. "Section name": Feature wall package · "Property type": HDB 4-Room · "Tags": Feature wall, Living room
3. Click "Add an item" twice: Fluted feature wall panel, 60, sqft, 42.00 · LED strip light, 1, set, 280.00 (Item · Qty · Unit · Unit price)
4. Click "Save"</t>
        </is>
      </c>
      <c r="G68" s="14" t="inlineStr">
        <is>
          <t>A message says "Feature wall package added to My Sections"; its card reads "2 items · S$2,800.00 · HDB 4-Room".</t>
        </is>
      </c>
      <c r="H68" s="12" t="inlineStr">
        <is>
          <t>Different from 1.0: Packages are now My Sections</t>
        </is>
      </c>
      <c r="I68" s="11" t="inlineStr">
        <is>
          <t>Dane</t>
        </is>
      </c>
      <c r="J68" s="15" t="n"/>
      <c r="K68" s="15" t="n"/>
      <c r="L68" s="15" t="n"/>
      <c r="M68" s="16" t="n"/>
      <c r="N68" s="17" t="n"/>
      <c r="O68" s="17" t="n"/>
      <c r="P68" s="15" t="n"/>
    </row>
    <row r="69">
      <c r="A69" s="11" t="n">
        <v>3</v>
      </c>
      <c r="B69" s="11" t="inlineStr">
        <is>
          <t>3.17</t>
        </is>
      </c>
      <c r="C69" s="12" t="inlineStr">
        <is>
          <t>The template libraries</t>
        </is>
      </c>
      <c r="D69" s="12" t="inlineStr">
        <is>
          <t>Templates</t>
        </is>
      </c>
      <c r="E69" s="13" t="inlineStr">
        <is>
          <t>Open the studio's templates</t>
        </is>
      </c>
      <c r="F69" s="14" t="inlineStr">
        <is>
          <t>1. Click "Company" › "Templates"</t>
        </is>
      </c>
      <c r="G69" s="14" t="inlineStr">
        <is>
          <t>It opens on "Quotes": "Default Quote PDF" with a "Default" chip, the "HDB" and "Show flats" folders, and a "1 awaiting approval" chip.</t>
        </is>
      </c>
      <c r="H69" s="12" t="inlineStr">
        <is>
          <t>Different from 1.0: Company › Templates, with drafts and versions</t>
        </is>
      </c>
      <c r="I69" s="11" t="inlineStr">
        <is>
          <t>Dane</t>
        </is>
      </c>
      <c r="J69" s="15" t="n"/>
      <c r="K69" s="15" t="n"/>
      <c r="L69" s="15" t="n"/>
      <c r="M69" s="16" t="n"/>
      <c r="N69" s="17" t="n"/>
      <c r="O69" s="17" t="n"/>
      <c r="P69" s="15" t="n"/>
    </row>
    <row r="70">
      <c r="A70" s="11" t="n">
        <v>3</v>
      </c>
      <c r="B70" s="11" t="inlineStr">
        <is>
          <t>3.18</t>
        </is>
      </c>
      <c r="C70" s="12" t="inlineStr">
        <is>
          <t>The template libraries</t>
        </is>
      </c>
      <c r="D70" s="12" t="inlineStr">
        <is>
          <t>Templates</t>
        </is>
      </c>
      <c r="E70" s="13" t="inlineStr">
        <is>
          <t>Make a 40/60 payment split</t>
        </is>
      </c>
      <c r="F70" s="14" t="inlineStr">
        <is>
          <t>1. Click the "Payments" tab › "New" › "Blank split"
2. Click the name "Untitled split" and type 40/60
3. Change the first "Share (%)" to 40 and read the line beside "Total"
4. Change the second to 60, then click "Done"</t>
        </is>
      </c>
      <c r="G70" s="14" t="inlineStr">
        <is>
          <t>At 90% it warns "10% short — the last payment will not close the quote"; at 100% it reads "Adds up to the quote".</t>
        </is>
      </c>
      <c r="H70" s="12" t="inlineStr">
        <is>
          <t>Same as 1.0</t>
        </is>
      </c>
      <c r="I70" s="11" t="inlineStr">
        <is>
          <t>Dane</t>
        </is>
      </c>
      <c r="J70" s="15" t="n"/>
      <c r="K70" s="15" t="n"/>
      <c r="L70" s="15" t="n"/>
      <c r="M70" s="16" t="n"/>
      <c r="N70" s="17" t="n"/>
      <c r="O70" s="17" t="n"/>
      <c r="P70" s="15" t="n"/>
    </row>
    <row r="71">
      <c r="A71" s="11" t="n">
        <v>3</v>
      </c>
      <c r="B71" s="11" t="inlineStr">
        <is>
          <t>3.19</t>
        </is>
      </c>
      <c r="C71" s="12" t="inlineStr">
        <is>
          <t>The template libraries</t>
        </is>
      </c>
      <c r="D71" s="12" t="inlineStr">
        <is>
          <t>Templates</t>
        </is>
      </c>
      <c r="E71" s="13" t="inlineStr">
        <is>
          <t>Write a reusable site-protection note</t>
        </is>
      </c>
      <c r="F71" s="14" t="inlineStr">
        <is>
          <t>1. Click the "T&amp;Cs &amp; Notes" tab › "New" › "Additional Notes"
2. Rename "Untitled template" to Site protection
3. In the text, type: Floors and lifts are protected before works start by — then "Insert Token" › "Studio Name"
4. Click "Done"</t>
        </is>
      </c>
      <c r="G71" s="14" t="inlineStr">
        <is>
          <t>The text ends with [Studio Name], filled in on each quote; the gallery shows "Site protection" with a "Notes" chip.</t>
        </is>
      </c>
      <c r="H71" s="12" t="inlineStr">
        <is>
          <t>Different from 1.0: [bracket] tokens, one library for both</t>
        </is>
      </c>
      <c r="I71" s="11" t="inlineStr">
        <is>
          <t>Dane</t>
        </is>
      </c>
      <c r="J71" s="15" t="n"/>
      <c r="K71" s="15" t="n"/>
      <c r="L71" s="15" t="n"/>
      <c r="M71" s="16" t="n"/>
      <c r="N71" s="17" t="n"/>
      <c r="O71" s="17" t="n"/>
      <c r="P71" s="15" t="n"/>
    </row>
    <row r="72">
      <c r="A72" s="11" t="n">
        <v>3</v>
      </c>
      <c r="B72" s="11" t="inlineStr">
        <is>
          <t>3.20</t>
        </is>
      </c>
      <c r="C72" s="12" t="inlineStr">
        <is>
          <t>The template libraries</t>
        </is>
      </c>
      <c r="D72" s="12" t="inlineStr">
        <is>
          <t>Templates</t>
        </is>
      </c>
      <c r="E72" s="13" t="inlineStr">
        <is>
          <t>Save a site-visit checklist as a task template</t>
        </is>
      </c>
      <c r="F72" s="14" t="inlineStr">
        <is>
          <t>1. Click the "Tasks" tab › "New" › "Blank template"; name it Site visit checklist
2. Change "First step" to Measure the site; "Due in (days)": 1
3. Click "Add a step": Photograph the existing condition; "Due in (days)": 1
4. Click "Done"</t>
        </is>
      </c>
      <c r="G72" s="14" t="inlineStr">
        <is>
          <t>Its card reads "2 steps · keeps members · descriptions" with a "Due dates" chip, ready for any lead's Tasks tab.</t>
        </is>
      </c>
      <c r="H72" s="12" t="inlineStr">
        <is>
          <t>New in 2.0</t>
        </is>
      </c>
      <c r="I72" s="11" t="inlineStr">
        <is>
          <t>Dane</t>
        </is>
      </c>
      <c r="J72" s="15" t="n"/>
      <c r="K72" s="15" t="n"/>
      <c r="L72" s="15" t="n"/>
      <c r="M72" s="16" t="n"/>
      <c r="N72" s="17" t="n"/>
      <c r="O72" s="17" t="n"/>
      <c r="P72" s="15" t="n"/>
    </row>
    <row r="73">
      <c r="A73" s="11" t="n">
        <v>3</v>
      </c>
      <c r="B73" s="11" t="inlineStr">
        <is>
          <t>3.21</t>
        </is>
      </c>
      <c r="C73" s="12" t="inlineStr">
        <is>
          <t>Contract templates</t>
        </is>
      </c>
      <c r="D73" s="12" t="inlineStr">
        <is>
          <t>Templates</t>
        </is>
      </c>
      <c r="E73" s="13" t="inlineStr">
        <is>
          <t>Start a contract template from the studio agreement</t>
        </is>
      </c>
      <c r="F73" s="14" t="inlineStr">
        <is>
          <t>1. Click the "Contracts" tab › "New" › "From the studio agreement"
2. Click the title and rename it Renovation Agreement (HDB)
3. Click "eSignatures" and look under "Before the client signs"
4. Close the panel and click "Done"</t>
        </is>
      </c>
      <c r="G73" s="14" t="inlineStr">
        <is>
          <t>"Read to the end" and "Tick to accept" are already on for a new template; the gallery now lists "Renovation Agreement (HDB)".</t>
        </is>
      </c>
      <c r="H73" s="12" t="inlineStr">
        <is>
          <t>Different from 1.0: read-and-accept set on the template</t>
        </is>
      </c>
      <c r="I73" s="11" t="inlineStr">
        <is>
          <t>Dane</t>
        </is>
      </c>
      <c r="J73" s="15" t="n"/>
      <c r="K73" s="15" t="n"/>
      <c r="L73" s="15" t="n"/>
      <c r="M73" s="16" t="n"/>
      <c r="N73" s="17" t="n"/>
      <c r="O73" s="17" t="n"/>
      <c r="P73" s="15" t="n"/>
    </row>
    <row r="74">
      <c r="A74" s="11" t="n">
        <v>3</v>
      </c>
      <c r="B74" s="11" t="inlineStr">
        <is>
          <t>3.22</t>
        </is>
      </c>
      <c r="C74" s="12" t="inlineStr">
        <is>
          <t>Contract templates</t>
        </is>
      </c>
      <c r="D74" s="12" t="inlineStr">
        <is>
          <t>Templates</t>
        </is>
      </c>
      <c r="E74" s="13" t="inlineStr">
        <is>
          <t>Make the studio agreement the default contract</t>
        </is>
      </c>
      <c r="F74" s="14" t="inlineStr">
        <is>
          <t>1. On the "Contracts" tab, open the "Agreements" folder
2. On "Interior Design Service Agreement", open the ⋮ menu › "Set as default"</t>
        </is>
      </c>
      <c r="G74" s="14" t="inlineStr">
        <is>
          <t>A message says it is the default contract template and its card carries a "Default" chip.</t>
        </is>
      </c>
      <c r="H74" s="12" t="inlineStr">
        <is>
          <t>Same as 1.0</t>
        </is>
      </c>
      <c r="I74" s="11" t="inlineStr">
        <is>
          <t>Dane</t>
        </is>
      </c>
      <c r="J74" s="15" t="n"/>
      <c r="K74" s="15" t="n"/>
      <c r="L74" s="15" t="n"/>
      <c r="M74" s="16" t="n"/>
      <c r="N74" s="17" t="n"/>
      <c r="O74" s="17" t="n"/>
      <c r="P74" s="15" t="n"/>
    </row>
    <row r="75">
      <c r="A75" s="11" t="n">
        <v>3</v>
      </c>
      <c r="B75" s="11" t="inlineStr">
        <is>
          <t>3.23</t>
        </is>
      </c>
      <c r="C75" s="12" t="inlineStr">
        <is>
          <t>Build a quote template</t>
        </is>
      </c>
      <c r="D75" s="12" t="inlineStr">
        <is>
          <t>Templates</t>
        </is>
      </c>
      <c r="E75" s="13" t="inlineStr">
        <is>
          <t>Start a quote template from a ready-made design</t>
        </is>
      </c>
      <c r="F75" s="14" t="inlineStr">
        <is>
          <t>1. Click the "Quotes" tab › "New" › "Use a ready-made design"
2. Click the "Presentation" card ("Preview" shows its pages; "Back" returns)
3. "Template name": Studio Presentation, then click "Create template"
4. Click "Got it" on the tip bar</t>
        </is>
      </c>
      <c r="G75" s="14" t="inlineStr">
        <is>
          <t>The template editor opens on "Studio Presentation" with a "Draft" chip and a cover in the studio's accent colour.</t>
        </is>
      </c>
      <c r="H75" s="12" t="inlineStr">
        <is>
          <t>Different from 1.0: whole designs, not preset overlays</t>
        </is>
      </c>
      <c r="I75" s="11" t="inlineStr">
        <is>
          <t>Dane</t>
        </is>
      </c>
      <c r="J75" s="15" t="n"/>
      <c r="K75" s="15" t="n"/>
      <c r="L75" s="15" t="n"/>
      <c r="M75" s="16" t="n"/>
      <c r="N75" s="17" t="n"/>
      <c r="O75" s="17" t="n"/>
      <c r="P75" s="15" t="n"/>
    </row>
    <row r="76">
      <c r="A76" s="11" t="n">
        <v>3</v>
      </c>
      <c r="B76" s="11" t="inlineStr">
        <is>
          <t>3.24</t>
        </is>
      </c>
      <c r="C76" s="12" t="inlineStr">
        <is>
          <t>Build a quote template</t>
        </is>
      </c>
      <c r="D76" s="12" t="inlineStr">
        <is>
          <t>Templates</t>
        </is>
      </c>
      <c r="E76" s="13" t="inlineStr">
        <is>
          <t>Add a thank-you line to the page</t>
        </is>
      </c>
      <c r="F76" s="14" t="inlineStr">
        <is>
          <t>1. On the "Page" tab (left), click "Title &amp; intro"
2. Click "Add to the page" (bottom left) › "Text"
3. On the right, replace the words in "Text" with: Thank you for choosing Demo Studio,</t>
        </is>
      </c>
      <c r="G76" s="14" t="inlineStr">
        <is>
          <t>A "Text" row appears under "Title &amp; intro" and your sentence prints under "Scope of works" on the page.</t>
        </is>
      </c>
      <c r="H76" s="12" t="inlineStr">
        <is>
          <t>Different from 1.0: added to the template, not per lead</t>
        </is>
      </c>
      <c r="I76" s="11" t="inlineStr">
        <is>
          <t>Dane</t>
        </is>
      </c>
      <c r="J76" s="15" t="n"/>
      <c r="K76" s="15" t="n"/>
      <c r="L76" s="15" t="n"/>
      <c r="M76" s="16" t="n"/>
      <c r="N76" s="17" t="n"/>
      <c r="O76" s="17" t="n"/>
      <c r="P76" s="15" t="n"/>
    </row>
    <row r="77">
      <c r="A77" s="11" t="n">
        <v>3</v>
      </c>
      <c r="B77" s="11" t="inlineStr">
        <is>
          <t>3.25</t>
        </is>
      </c>
      <c r="C77" s="12" t="inlineStr">
        <is>
          <t>Build a quote template</t>
        </is>
      </c>
      <c r="D77" s="12" t="inlineStr">
        <is>
          <t>Templates</t>
        </is>
      </c>
      <c r="E77" s="13" t="inlineStr">
        <is>
          <t>Put the client's name into your line</t>
        </is>
      </c>
      <c r="F77" s="14" t="inlineStr">
        <is>
          <t>1. Beside the "Text" box, click "Insert a field" (the { } button)
2. Pick "Client name"</t>
        </is>
      </c>
      <c r="G77" s="14" t="inlineStr">
        <is>
          <t>The box ends with {client_name}; under it: "Prints as: Thank you for choosing Demo Studio, Mr &amp; Mrs Tan" — the sample client.</t>
        </is>
      </c>
      <c r="H77" s="12" t="inlineStr">
        <is>
          <t>Same as 1.0</t>
        </is>
      </c>
      <c r="I77" s="11" t="inlineStr">
        <is>
          <t>Dane</t>
        </is>
      </c>
      <c r="J77" s="15" t="n"/>
      <c r="K77" s="15" t="n"/>
      <c r="L77" s="15" t="n"/>
      <c r="M77" s="16" t="n"/>
      <c r="N77" s="17" t="n"/>
      <c r="O77" s="17" t="n"/>
      <c r="P77" s="15" t="n"/>
    </row>
    <row r="78">
      <c r="A78" s="11" t="n">
        <v>3</v>
      </c>
      <c r="B78" s="11" t="inlineStr">
        <is>
          <t>3.26</t>
        </is>
      </c>
      <c r="C78" s="12" t="inlineStr">
        <is>
          <t>Build a quote template</t>
        </is>
      </c>
      <c r="D78" s="12" t="inlineStr">
        <is>
          <t>Templates</t>
        </is>
      </c>
      <c r="E78" s="13" t="inlineStr">
        <is>
          <t>Remove the line by mistake, then undo</t>
        </is>
      </c>
      <c r="F78" s="14" t="inlineStr">
        <is>
          <t>1. At the top right, click "Remove from the page" (the bin)
2. On the message "Text removed", click "Undo"</t>
        </is>
      </c>
      <c r="G78" s="14" t="inlineStr">
        <is>
          <t>The Text block disappears from the page and the list, then comes back in the same place.</t>
        </is>
      </c>
      <c r="H78" s="12" t="inlineStr">
        <is>
          <t>Same as 1.0</t>
        </is>
      </c>
      <c r="I78" s="11" t="inlineStr">
        <is>
          <t>Dane</t>
        </is>
      </c>
      <c r="J78" s="15" t="n"/>
      <c r="K78" s="15" t="n"/>
      <c r="L78" s="15" t="n"/>
      <c r="M78" s="16" t="n"/>
      <c r="N78" s="17" t="n"/>
      <c r="O78" s="17" t="n"/>
      <c r="P78" s="15" t="n"/>
    </row>
    <row r="79">
      <c r="A79" s="11" t="n">
        <v>3</v>
      </c>
      <c r="B79" s="11" t="inlineStr">
        <is>
          <t>3.27</t>
        </is>
      </c>
      <c r="C79" s="12" t="inlineStr">
        <is>
          <t>Build a quote template</t>
        </is>
      </c>
      <c r="D79" s="12" t="inlineStr">
        <is>
          <t>Templates</t>
        </is>
      </c>
      <c r="E79" s="13" t="inlineStr">
        <is>
          <t>See the template drawn with a real quote</t>
        </is>
      </c>
      <c r="F79" s="14" t="inlineStr">
        <is>
          <t>1. At the top, click "Preview with: Sample quote"
2. Pick any "OM-…" quote
3. When checked, switch back to "Sample quote"</t>
        </is>
      </c>
      <c r="G79" s="14" t="inlineStr">
        <is>
          <t>The pages redraw with that quote's client, lines and totals, then with the sample quote again.</t>
        </is>
      </c>
      <c r="H79" s="12" t="inlineStr">
        <is>
          <t>Different from 1.0: your own quotes, not a fixed sample</t>
        </is>
      </c>
      <c r="I79" s="11" t="inlineStr">
        <is>
          <t>Dane</t>
        </is>
      </c>
      <c r="J79" s="15" t="n"/>
      <c r="K79" s="15" t="n"/>
      <c r="L79" s="15" t="n"/>
      <c r="M79" s="16" t="n"/>
      <c r="N79" s="17" t="n"/>
      <c r="O79" s="17" t="n"/>
      <c r="P79" s="15" t="n"/>
    </row>
    <row r="80">
      <c r="A80" s="11" t="n">
        <v>3</v>
      </c>
      <c r="B80" s="11" t="inlineStr">
        <is>
          <t>3.28</t>
        </is>
      </c>
      <c r="C80" s="12" t="inlineStr">
        <is>
          <t>Make it yours and publish</t>
        </is>
      </c>
      <c r="D80" s="12" t="inlineStr">
        <is>
          <t>Templates</t>
        </is>
      </c>
      <c r="E80" s="13" t="inlineStr">
        <is>
          <t>Give this template its own colour</t>
        </is>
      </c>
      <c r="F80" s="14" t="inlineStr">
        <is>
          <t>1. Click the "Brand" tab (left)
2. Under "Colours", click the "Accent" swatch and pick a dark green</t>
        </is>
      </c>
      <c r="G80" s="14" t="inlineStr">
        <is>
          <t>The cover and the room bands turn green; the Accent row ends "· this template" with a reset button. The brand kit is untouched.</t>
        </is>
      </c>
      <c r="H80" s="12" t="inlineStr">
        <is>
          <t>New in 2.0</t>
        </is>
      </c>
      <c r="I80" s="11" t="inlineStr">
        <is>
          <t>Dane</t>
        </is>
      </c>
      <c r="J80" s="15" t="n"/>
      <c r="K80" s="15" t="n"/>
      <c r="L80" s="15" t="n"/>
      <c r="M80" s="16" t="n"/>
      <c r="N80" s="17" t="n"/>
      <c r="O80" s="17" t="n"/>
      <c r="P80" s="15" t="n"/>
    </row>
    <row r="81">
      <c r="A81" s="11" t="n">
        <v>3</v>
      </c>
      <c r="B81" s="11" t="inlineStr">
        <is>
          <t>3.29</t>
        </is>
      </c>
      <c r="C81" s="12" t="inlineStr">
        <is>
          <t>Make it yours and publish</t>
        </is>
      </c>
      <c r="D81" s="12" t="inlineStr">
        <is>
          <t>Templates</t>
        </is>
      </c>
      <c r="E81" s="13" t="inlineStr">
        <is>
          <t>Number the items A1, A2 in each room</t>
        </is>
      </c>
      <c r="F81" s="14" t="inlineStr">
        <is>
          <t>1. Click the "Page" tab, then "Items table" in the list
2. On the right, "Item numbers": A1 · A2 · B1</t>
        </is>
      </c>
      <c r="G81" s="14" t="inlineStr">
        <is>
          <t>Item numbers on the page read A1, A2… in the first room and B1, B2… in the next.</t>
        </is>
      </c>
      <c r="H81" s="12" t="inlineStr">
        <is>
          <t>Same as 1.0</t>
        </is>
      </c>
      <c r="I81" s="11" t="inlineStr">
        <is>
          <t>Dane</t>
        </is>
      </c>
      <c r="J81" s="15" t="n"/>
      <c r="K81" s="15" t="n"/>
      <c r="L81" s="15" t="n"/>
      <c r="M81" s="16" t="n"/>
      <c r="N81" s="17" t="n"/>
      <c r="O81" s="17" t="n"/>
      <c r="P81" s="15" t="n"/>
    </row>
    <row r="82">
      <c r="A82" s="11" t="n">
        <v>3</v>
      </c>
      <c r="B82" s="11" t="inlineStr">
        <is>
          <t>3.30</t>
        </is>
      </c>
      <c r="C82" s="12" t="inlineStr">
        <is>
          <t>Make it yours and publish</t>
        </is>
      </c>
      <c r="D82" s="12" t="inlineStr">
        <is>
          <t>Templates</t>
        </is>
      </c>
      <c r="E82" s="13" t="inlineStr">
        <is>
          <t>Choose what a new quote starts with</t>
        </is>
      </c>
      <c r="F82" s="14" t="inlineStr">
        <is>
          <t>1. Click the "New quotes" tab
2. "Payment schedule": 40/60 · "Additional Notes": Site protection</t>
        </is>
      </c>
      <c r="G82" s="14" t="inlineStr">
        <is>
          <t>Your split and note are offered from the libraries; the tab warns "Not published yet — quotes can use this template once you press Publish."</t>
        </is>
      </c>
      <c r="H82" s="12" t="inlineStr">
        <is>
          <t>Different from 1.0: sections and defaults, never priced lines</t>
        </is>
      </c>
      <c r="I82" s="11" t="inlineStr">
        <is>
          <t>Dane</t>
        </is>
      </c>
      <c r="J82" s="15" t="n"/>
      <c r="K82" s="15" t="n"/>
      <c r="L82" s="15" t="n"/>
      <c r="M82" s="16" t="n"/>
      <c r="N82" s="17" t="n"/>
      <c r="O82" s="17" t="n"/>
      <c r="P82" s="15" t="n"/>
    </row>
    <row r="83">
      <c r="A83" s="11" t="n">
        <v>3</v>
      </c>
      <c r="B83" s="11" t="inlineStr">
        <is>
          <t>3.31</t>
        </is>
      </c>
      <c r="C83" s="12" t="inlineStr">
        <is>
          <t>Make it yours and publish</t>
        </is>
      </c>
      <c r="D83" s="12" t="inlineStr">
        <is>
          <t>Templates</t>
        </is>
      </c>
      <c r="E83" s="13" t="inlineStr">
        <is>
          <t>Publish the template and make it the default</t>
        </is>
      </c>
      <c r="F83" s="14" t="inlineStr">
        <is>
          <t>1. Click "Publish" (top right)
2. "What changed": First version · turn on "Make it the studio’s default"
3. Click "Publish"</t>
        </is>
      </c>
      <c r="G83" s="14" t="inlineStr">
        <is>
          <t>A message says "Studio Presentation published"; the top shows "Published v1" and "Default", and the button now reads "Published".</t>
        </is>
      </c>
      <c r="H83" s="12" t="inlineStr">
        <is>
          <t>Different from 1.0: drafts publish as numbered versions</t>
        </is>
      </c>
      <c r="I83" s="11" t="inlineStr">
        <is>
          <t>Dane</t>
        </is>
      </c>
      <c r="J83" s="15" t="n"/>
      <c r="K83" s="15" t="n"/>
      <c r="L83" s="15" t="n"/>
      <c r="M83" s="16" t="n"/>
      <c r="N83" s="17" t="n"/>
      <c r="O83" s="17" t="n"/>
      <c r="P83" s="15" t="n"/>
    </row>
    <row r="84">
      <c r="A84" s="11" t="n">
        <v>3</v>
      </c>
      <c r="B84" s="11" t="inlineStr">
        <is>
          <t>3.32</t>
        </is>
      </c>
      <c r="C84" s="12" t="inlineStr">
        <is>
          <t>Make it yours and publish</t>
        </is>
      </c>
      <c r="D84" s="12" t="inlineStr">
        <is>
          <t>Templates</t>
        </is>
      </c>
      <c r="E84" s="13" t="inlineStr">
        <is>
          <t>See the template's version history</t>
        </is>
      </c>
      <c r="F84" s="14" t="inlineStr">
        <is>
          <t>1. Click "History" (the clock icon at the top)</t>
        </is>
      </c>
      <c r="G84" s="14" t="inlineStr">
        <is>
          <t>The History panel lists v1 marked "Current", your note "First version" and your name.</t>
        </is>
      </c>
      <c r="H84" s="12" t="inlineStr">
        <is>
          <t>New in 2.0</t>
        </is>
      </c>
      <c r="I84" s="11" t="inlineStr">
        <is>
          <t>Dane</t>
        </is>
      </c>
      <c r="J84" s="15" t="n"/>
      <c r="K84" s="15" t="n"/>
      <c r="L84" s="15" t="n"/>
      <c r="M84" s="16" t="n"/>
      <c r="N84" s="17" t="n"/>
      <c r="O84" s="17" t="n"/>
      <c r="P84" s="15" t="n"/>
    </row>
    <row r="85">
      <c r="A85" s="11" t="n">
        <v>3</v>
      </c>
      <c r="B85" s="11" t="inlineStr">
        <is>
          <t>3.33</t>
        </is>
      </c>
      <c r="C85" s="12" t="inlineStr">
        <is>
          <t>The studio's default</t>
        </is>
      </c>
      <c r="D85" s="12" t="inlineStr">
        <is>
          <t>Templates</t>
        </is>
      </c>
      <c r="E85" s="13" t="inlineStr">
        <is>
          <t>Check the default moved in the gallery</t>
        </is>
      </c>
      <c r="F85" s="14" t="inlineStr">
        <is>
          <t>1. Close the History panel
2. Click the back arrow ("Back to Quote templates")</t>
        </is>
      </c>
      <c r="G85" s="14" t="inlineStr">
        <is>
          <t>"Studio Presentation" now carries the "Default" chip and "Published v1"; "Default Quote PDF" no longer does.</t>
        </is>
      </c>
      <c r="H85" s="12" t="inlineStr">
        <is>
          <t>Same as 1.0</t>
        </is>
      </c>
      <c r="I85" s="11" t="inlineStr">
        <is>
          <t>Dane</t>
        </is>
      </c>
      <c r="J85" s="15" t="n"/>
      <c r="K85" s="15" t="n"/>
      <c r="L85" s="15" t="n"/>
      <c r="M85" s="16" t="n"/>
      <c r="N85" s="17" t="n"/>
      <c r="O85" s="17" t="n"/>
      <c r="P85" s="15" t="n"/>
    </row>
    <row r="86">
      <c r="A86" s="11" t="n">
        <v>3</v>
      </c>
      <c r="B86" s="11" t="inlineStr">
        <is>
          <t>3.34</t>
        </is>
      </c>
      <c r="C86" s="12" t="inlineStr">
        <is>
          <t>The studio's default</t>
        </is>
      </c>
      <c r="D86" s="12" t="inlineStr">
        <is>
          <t>Templates</t>
        </is>
      </c>
      <c r="E86" s="13" t="inlineStr">
        <is>
          <t>See the default in the brand kit preview</t>
        </is>
      </c>
      <c r="F86" s="14" t="inlineStr">
        <is>
          <t>1. Click the "Brand kit" tab</t>
        </is>
      </c>
      <c r="G86" s="14" t="inlineStr">
        <is>
          <t>The preview on the right is labelled "Default template · Studio Presentation" and shows its first page.</t>
        </is>
      </c>
      <c r="H86" s="12" t="inlineStr">
        <is>
          <t>New in 2.0</t>
        </is>
      </c>
      <c r="I86" s="11" t="inlineStr">
        <is>
          <t>Dane</t>
        </is>
      </c>
      <c r="J86" s="15" t="n"/>
      <c r="K86" s="15" t="n"/>
      <c r="L86" s="15" t="n"/>
      <c r="M86" s="16" t="n"/>
      <c r="N86" s="17" t="n"/>
      <c r="O86" s="17" t="n"/>
      <c r="P86" s="15" t="n"/>
    </row>
    <row r="87">
      <c r="A87" s="11" t="n">
        <v>3</v>
      </c>
      <c r="B87" s="11" t="inlineStr">
        <is>
          <t>3.35</t>
        </is>
      </c>
      <c r="C87" s="12" t="inlineStr">
        <is>
          <t>The studio's default</t>
        </is>
      </c>
      <c r="D87" s="12" t="inlineStr">
        <is>
          <t>Templates</t>
        </is>
      </c>
      <c r="E87" s="13" t="inlineStr">
        <is>
          <t>Look at the deleted templates</t>
        </is>
      </c>
      <c r="F87" s="14" t="inlineStr">
        <is>
          <t>1. Click the "Quotes" tab
2. Click the ⋮ menu ("More options", top right) › "Deleted Templates · 2"
3. Close the panel</t>
        </is>
      </c>
      <c r="G87" s="14" t="inlineStr">
        <is>
          <t>"Copy of Default Quote PDF" and "Test" wait there with "Restore" and "Delete Forever" — nothing is lost at once.</t>
        </is>
      </c>
      <c r="H87" s="12" t="inlineStr">
        <is>
          <t>Different from 1.0: deleted templates can be restored</t>
        </is>
      </c>
      <c r="I87" s="11" t="inlineStr">
        <is>
          <t>Dane</t>
        </is>
      </c>
      <c r="J87" s="15" t="n"/>
      <c r="K87" s="15" t="n"/>
      <c r="L87" s="15" t="n"/>
      <c r="M87" s="16" t="n"/>
      <c r="N87" s="17" t="n"/>
      <c r="O87" s="17" t="n"/>
      <c r="P87" s="15" t="n"/>
    </row>
    <row r="88">
      <c r="A88" s="11" t="n">
        <v>3</v>
      </c>
      <c r="B88" s="11" t="inlineStr">
        <is>
          <t>3.36</t>
        </is>
      </c>
      <c r="C88" s="12" t="inlineStr">
        <is>
          <t>The studio's default</t>
        </is>
      </c>
      <c r="D88" s="12" t="inlineStr">
        <is>
          <t>Templates</t>
        </is>
      </c>
      <c r="E88" s="13" t="inlineStr">
        <is>
          <t>Put the studio's default back</t>
        </is>
      </c>
      <c r="F88" s="14" t="inlineStr">
        <is>
          <t>1. On "Default Quote PDF", open the ⋮ menu › "Set as default"</t>
        </is>
      </c>
      <c r="G88" s="14" t="inlineStr">
        <is>
          <t>A message says "Default Quote PDF is the default template" and the Default chip moves back — chapter 6's quotes start from it.</t>
        </is>
      </c>
      <c r="H88" s="12" t="inlineStr">
        <is>
          <t>Same as 1.0</t>
        </is>
      </c>
      <c r="I88" s="11" t="inlineStr">
        <is>
          <t>Dane</t>
        </is>
      </c>
      <c r="J88" s="15" t="n"/>
      <c r="K88" s="15" t="n"/>
      <c r="L88" s="15" t="n"/>
      <c r="M88" s="16" t="n"/>
      <c r="N88" s="17" t="n"/>
      <c r="O88" s="17" t="n"/>
      <c r="P88" s="15" t="n"/>
    </row>
    <row r="89">
      <c r="A89" s="11" t="n">
        <v>3</v>
      </c>
      <c r="B89" s="11" t="inlineStr">
        <is>
          <t>3.37</t>
        </is>
      </c>
      <c r="C89" s="12" t="inlineStr">
        <is>
          <t>The question bank</t>
        </is>
      </c>
      <c r="D89" s="12" t="inlineStr">
        <is>
          <t>Company</t>
        </is>
      </c>
      <c r="E89" s="13" t="inlineStr">
        <is>
          <t>Add a question every new lead starts with</t>
        </is>
      </c>
      <c r="F89" s="14" t="inlineStr">
        <is>
          <t>1. Click "Company" › "Questionnaire", then "Add question"
2. "Question": Will anyone work from home? · "Type": Single select
3. "Option 1": Yes, every day · "Add option": Some days · "Add option": No
4. Click "Add"</t>
        </is>
      </c>
      <c r="G89" s="14" t="inlineStr">
        <is>
          <t>A message says "Question added"; it joins the bottom of the "Question bank" with a "Single select" chip and "Active" on.</t>
        </is>
      </c>
      <c r="H89" s="12" t="inlineStr">
        <is>
          <t>Same as 1.0</t>
        </is>
      </c>
      <c r="I89" s="11" t="inlineStr">
        <is>
          <t>Dane</t>
        </is>
      </c>
      <c r="J89" s="15" t="n"/>
      <c r="K89" s="15" t="n"/>
      <c r="L89" s="15" t="n"/>
      <c r="M89" s="16" t="n"/>
      <c r="N89" s="17" t="n"/>
      <c r="O89" s="17" t="n"/>
      <c r="P89" s="15" t="n"/>
    </row>
    <row r="90">
      <c r="A90" s="11" t="n">
        <v>3</v>
      </c>
      <c r="B90" s="11" t="inlineStr">
        <is>
          <t>3.38</t>
        </is>
      </c>
      <c r="C90" s="12" t="inlineStr">
        <is>
          <t>The question bank</t>
        </is>
      </c>
      <c r="D90" s="12" t="inlineStr">
        <is>
          <t>Company</t>
        </is>
      </c>
      <c r="E90" s="13" t="inlineStr">
        <is>
          <t>Move your question higher in the list</t>
        </is>
      </c>
      <c r="F90" s="14" t="inlineStr">
        <is>
          <t>1. On your new question, click "Move up" (the up arrow) twice</t>
        </is>
      </c>
      <c r="G90" s="14" t="inlineStr">
        <is>
          <t>A message says "Order saved" each time and the question sits two places higher; Sophia's questionnaire (chapter 4) follows this order.</t>
        </is>
      </c>
      <c r="H90" s="12" t="inlineStr">
        <is>
          <t>Same as 1.0</t>
        </is>
      </c>
      <c r="I90" s="11" t="inlineStr">
        <is>
          <t>Dane</t>
        </is>
      </c>
      <c r="J90" s="15" t="n"/>
      <c r="K90" s="15" t="n"/>
      <c r="L90" s="15" t="n"/>
      <c r="M90" s="16" t="n"/>
      <c r="N90" s="17" t="n"/>
      <c r="O90" s="17" t="n"/>
      <c r="P90" s="15" t="n"/>
    </row>
    <row r="91" ht="22" customHeight="1">
      <c r="A91" s="9" t="inlineStr">
        <is>
          <t>Chapter 4 · Leads arrive — Add, import and capture leads; find them in the list.</t>
        </is>
      </c>
      <c r="M91" s="10" t="n"/>
    </row>
    <row r="92">
      <c r="A92" s="11" t="n">
        <v>4</v>
      </c>
      <c r="B92" s="11" t="inlineStr">
        <is>
          <t>4.01</t>
        </is>
      </c>
      <c r="C92" s="12" t="inlineStr">
        <is>
          <t>A new enquiry by hand</t>
        </is>
      </c>
      <c r="D92" s="12" t="inlineStr">
        <is>
          <t>Leads</t>
        </is>
      </c>
      <c r="E92" s="13" t="inlineStr">
        <is>
          <t>Open a new lead form with one key</t>
        </is>
      </c>
      <c r="F92" s="14" t="inlineStr">
        <is>
          <t>1. Click "Leads" in the side navigation
2. Click an empty part of the page (not a search box)
3. Press the C key</t>
        </is>
      </c>
      <c r="G92" s="14" t="inlineStr">
        <is>
          <t>The "Create New Lead" form opens with the cursor already in "Lead name".</t>
        </is>
      </c>
      <c r="H92" s="12" t="inlineStr">
        <is>
          <t>Same as 1.0</t>
        </is>
      </c>
      <c r="I92" s="11" t="inlineStr">
        <is>
          <t>Dane</t>
        </is>
      </c>
      <c r="J92" s="15" t="n"/>
      <c r="K92" s="15" t="n"/>
      <c r="L92" s="15" t="n"/>
      <c r="M92" s="16" t="n"/>
      <c r="N92" s="17" t="n"/>
      <c r="O92" s="17" t="n"/>
      <c r="P92" s="15" t="n"/>
    </row>
    <row r="93">
      <c r="A93" s="11" t="n">
        <v>4</v>
      </c>
      <c r="B93" s="11" t="inlineStr">
        <is>
          <t>4.02</t>
        </is>
      </c>
      <c r="C93" s="12" t="inlineStr">
        <is>
          <t>A new enquiry by hand</t>
        </is>
      </c>
      <c r="D93" s="12" t="inlineStr">
        <is>
          <t>Leads</t>
        </is>
      </c>
      <c r="E93" s="13" t="inlineStr">
        <is>
          <t>Let the document reader fill a lead for you</t>
        </is>
      </c>
      <c r="F93" s="14" t="inlineStr">
        <is>
          <t>1. In the open form, click "Fill from a document"
2. Press "Upload" (no file needed — this is a demo)
3. Look at the fields, then press "Cancel" at the bottom</t>
        </is>
      </c>
      <c r="G93" s="14" t="inlineStr">
        <is>
          <t>Empty fields fill with a sample enquiry (Nurul Hassan, Condo 3-bedder, East) and a PDF is attached; Cancel closes without saving anything.</t>
        </is>
      </c>
      <c r="H93" s="12" t="inlineStr">
        <is>
          <t>Different from 1.0: fixed sample values stand in for AI reading</t>
        </is>
      </c>
      <c r="I93" s="11" t="inlineStr">
        <is>
          <t>Dane</t>
        </is>
      </c>
      <c r="J93" s="15" t="n"/>
      <c r="K93" s="15" t="n"/>
      <c r="L93" s="15" t="n"/>
      <c r="M93" s="16" t="n"/>
      <c r="N93" s="17" t="n"/>
      <c r="O93" s="17" t="n"/>
      <c r="P93" s="15" t="n"/>
    </row>
    <row r="94">
      <c r="A94" s="11" t="n">
        <v>4</v>
      </c>
      <c r="B94" s="11" t="inlineStr">
        <is>
          <t>4.03</t>
        </is>
      </c>
      <c r="C94" s="12" t="inlineStr">
        <is>
          <t>A new enquiry by hand</t>
        </is>
      </c>
      <c r="D94" s="12" t="inlineStr">
        <is>
          <t>Leads</t>
        </is>
      </c>
      <c r="E94" s="13" t="inlineStr">
        <is>
          <t>Get warned about a lead you already have</t>
        </is>
      </c>
      <c r="F94" s="14" t="inlineStr">
        <is>
          <t>1. Click "Add Lead", then "Create New Lead"
2. "Lead name": Test Duplicate · "Lead phone number": 9123 8803
3. Press "Create"
4. In the warning, press "Open existing lead"</t>
        </is>
      </c>
      <c r="G94" s="14" t="inlineStr">
        <is>
          <t>"A lead with this phone already exists" names Kenji Sato · 9123 8803 · Lost; the button opens his lead and nothing new is created.</t>
        </is>
      </c>
      <c r="H94" s="12" t="inlineStr">
        <is>
          <t>Different from 1.0: "Create anyway" creates it, not held for review</t>
        </is>
      </c>
      <c r="I94" s="11" t="inlineStr">
        <is>
          <t>Dane</t>
        </is>
      </c>
      <c r="J94" s="15" t="n"/>
      <c r="K94" s="15" t="n"/>
      <c r="L94" s="15" t="n"/>
      <c r="M94" s="16" t="n"/>
      <c r="N94" s="17" t="n"/>
      <c r="O94" s="17" t="n"/>
      <c r="P94" s="15" t="n"/>
    </row>
    <row r="95">
      <c r="A95" s="11" t="n">
        <v>4</v>
      </c>
      <c r="B95" s="11" t="inlineStr">
        <is>
          <t>4.04</t>
        </is>
      </c>
      <c r="C95" s="12" t="inlineStr">
        <is>
          <t>Sophia Wong gets in touch</t>
        </is>
      </c>
      <c r="D95" s="12" t="inlineStr">
        <is>
          <t>Leads</t>
        </is>
      </c>
      <c r="E95" s="13" t="inlineStr">
        <is>
          <t>Start Sophia's lead and test the budget limit</t>
        </is>
      </c>
      <c r="F95" s="14" t="inlineStr">
        <is>
          <t>1. Back on "Leads", click "Add Lead", then "Create New Lead"
2. "Lead name" Sophia Wong · "Lead phone number" 9765 4321 · "Lead source" Referral · "Property type" HDB 4-Room · "Property address" Blk 201 Tampines Street 21 · "District" East — leave "Assign member" empty
3. Open "Additional info": "Lead email" sophia.wong@example.com · "Estimated budget (S$)" 500
4. Press "Create"</t>
        </is>
      </c>
      <c r="G95" s="14" t="inlineStr">
        <is>
          <t>The form stays open and the budget box says "Enter a budget between S$1,000 and S$5,000,000".</t>
        </is>
      </c>
      <c r="H95" s="12" t="inlineStr">
        <is>
          <t>Same as 1.0</t>
        </is>
      </c>
      <c r="I95" s="11" t="inlineStr">
        <is>
          <t>Dane</t>
        </is>
      </c>
      <c r="J95" s="15" t="n"/>
      <c r="K95" s="15" t="n"/>
      <c r="L95" s="15" t="n"/>
      <c r="M95" s="16" t="n"/>
      <c r="N95" s="17" t="n"/>
      <c r="O95" s="17" t="n"/>
      <c r="P95" s="15" t="n"/>
    </row>
    <row r="96">
      <c r="A96" s="11" t="n">
        <v>4</v>
      </c>
      <c r="B96" s="11" t="inlineStr">
        <is>
          <t>4.05</t>
        </is>
      </c>
      <c r="C96" s="12" t="inlineStr">
        <is>
          <t>Sophia Wong gets in touch</t>
        </is>
      </c>
      <c r="D96" s="12" t="inlineStr">
        <is>
          <t>Leads</t>
        </is>
      </c>
      <c r="E96" s="13" t="inlineStr">
        <is>
          <t>Save Sophia's lead with her floor plan attached</t>
        </is>
      </c>
      <c r="F96" s="14" t="inlineStr">
        <is>
          <t>1. Change "Estimated budget (S$)" to 60,000
2. "Condition" Resale · "Key collection" in 3 months (fill any custom field your studio still has)
3. Under "Attach files (optional)" press "Attach" and pick sophia-floor-plan.pdf
4. Press "Create"</t>
        </is>
      </c>
      <c r="G96" s="14" t="inlineStr">
        <is>
          <t>"Successfully Created"; Sophia Wong tops the list in New, with a coloured band on the left and "Assign" under Members.</t>
        </is>
      </c>
      <c r="H96" s="12" t="inlineStr">
        <is>
          <t>Different from 1.0: one name field; only name and phone required</t>
        </is>
      </c>
      <c r="I96" s="11" t="inlineStr">
        <is>
          <t>Dane</t>
        </is>
      </c>
      <c r="J96" s="15" t="n"/>
      <c r="K96" s="15" t="n"/>
      <c r="L96" s="15" t="n"/>
      <c r="M96" s="16" t="n"/>
      <c r="N96" s="17" t="n"/>
      <c r="O96" s="17" t="n"/>
      <c r="P96" s="15" t="n"/>
    </row>
    <row r="97">
      <c r="A97" s="11" t="n">
        <v>4</v>
      </c>
      <c r="B97" s="11" t="inlineStr">
        <is>
          <t>4.06</t>
        </is>
      </c>
      <c r="C97" s="12" t="inlineStr">
        <is>
          <t>Leads from files</t>
        </is>
      </c>
      <c r="D97" s="12" t="inlineStr">
        <is>
          <t>Leads</t>
        </is>
      </c>
      <c r="E97" s="13" t="inlineStr">
        <is>
          <t>Upload a spreadsheet of new leads</t>
        </is>
      </c>
      <c r="F97" s="14" t="inlineStr">
        <is>
          <t>1. Click "Add Lead", then "Import from File"
2. Drop new-leads.xlsx on "Drop your file or browse"
3. Press "Next"
4. Read the column list, then press "Next" again</t>
        </is>
      </c>
      <c r="G97" s="14" t="inlineStr">
        <is>
          <t>"Success!" says "Detected 5 line(s)"; all 11 columns are tagged "Auto-matched"; the preview table lists the five rows.</t>
        </is>
      </c>
      <c r="H97" s="12" t="inlineStr">
        <is>
          <t>New in 2.0</t>
        </is>
      </c>
      <c r="I97" s="11" t="inlineStr">
        <is>
          <t>Dane</t>
        </is>
      </c>
      <c r="J97" s="15" t="n"/>
      <c r="K97" s="15" t="n"/>
      <c r="L97" s="15" t="n"/>
      <c r="M97" s="16" t="n"/>
      <c r="N97" s="17" t="n"/>
      <c r="O97" s="17" t="n"/>
      <c r="P97" s="15" t="n"/>
    </row>
    <row r="98">
      <c r="A98" s="11" t="n">
        <v>4</v>
      </c>
      <c r="B98" s="11" t="inlineStr">
        <is>
          <t>4.07</t>
        </is>
      </c>
      <c r="C98" s="12" t="inlineStr">
        <is>
          <t>Leads from files</t>
        </is>
      </c>
      <c r="D98" s="12" t="inlineStr">
        <is>
          <t>Leads</t>
        </is>
      </c>
      <c r="E98" s="13" t="inlineStr">
        <is>
          <t>Send the clean leads straight to your list</t>
        </is>
      </c>
      <c r="F98" s="14" t="inlineStr">
        <is>
          <t>1. Press "Import"
2. In "Lead routing" choose "Add to my lead listing", press "Import"
3. Read the result, press "Done"</t>
        </is>
      </c>
      <c r="G98" s="14" t="inlineStr">
        <is>
          <t>"4 of 5 records imported successfully" · "3 leads added to your listing · 1 possible duplicate sent to review"; three new leads appear.</t>
        </is>
      </c>
      <c r="H98" s="12" t="inlineStr">
        <is>
          <t>New in 2.0</t>
        </is>
      </c>
      <c r="I98" s="11" t="inlineStr">
        <is>
          <t>Dane</t>
        </is>
      </c>
      <c r="J98" s="15" t="n"/>
      <c r="K98" s="15" t="n"/>
      <c r="L98" s="15" t="n"/>
      <c r="M98" s="16" t="n"/>
      <c r="N98" s="17" t="n"/>
      <c r="O98" s="17" t="n"/>
      <c r="P98" s="15" t="n"/>
    </row>
    <row r="99">
      <c r="A99" s="11" t="n">
        <v>4</v>
      </c>
      <c r="B99" s="11" t="inlineStr">
        <is>
          <t>4.08</t>
        </is>
      </c>
      <c r="C99" s="12" t="inlineStr">
        <is>
          <t>Leads from files</t>
        </is>
      </c>
      <c r="D99" s="12" t="inlineStr">
        <is>
          <t>Leads</t>
        </is>
      </c>
      <c r="E99" s="13" t="inlineStr">
        <is>
          <t>See the import on record, with the row it skipped</t>
        </is>
      </c>
      <c r="F99" s="14" t="inlineStr">
        <is>
          <t>1. On Leads, click ⋮ ("More options"), then "Lead Import History"
2. Find new-leads.xlsx
3. Click "Download Skipped Records"</t>
        </is>
      </c>
      <c r="G99" s="14" t="inlineStr">
        <is>
          <t>The row reads 5 total, 4 imported and "1 error detected across 1 skipped lead"; the download lists the nameless row with "Missing Lead Name".</t>
        </is>
      </c>
      <c r="H99" s="12" t="inlineStr">
        <is>
          <t>New in 2.0</t>
        </is>
      </c>
      <c r="I99" s="11" t="inlineStr">
        <is>
          <t>Dane</t>
        </is>
      </c>
      <c r="J99" s="15" t="n"/>
      <c r="K99" s="15" t="n"/>
      <c r="L99" s="15" t="n"/>
      <c r="M99" s="16" t="n"/>
      <c r="N99" s="17" t="n"/>
      <c r="O99" s="17" t="n"/>
      <c r="P99" s="15" t="n"/>
    </row>
    <row r="100">
      <c r="A100" s="11" t="n">
        <v>4</v>
      </c>
      <c r="B100" s="11" t="inlineStr">
        <is>
          <t>4.09</t>
        </is>
      </c>
      <c r="C100" s="12" t="inlineStr">
        <is>
          <t>Leads from files</t>
        </is>
      </c>
      <c r="D100" s="12" t="inlineStr">
        <is>
          <t>Leads</t>
        </is>
      </c>
      <c r="E100" s="13" t="inlineStr">
        <is>
          <t>Import a PDF lead sheet to check first</t>
        </is>
      </c>
      <c r="F100" s="14" t="inlineStr">
        <is>
          <t>1. Back on Leads, click "Add Lead", then "Import from File"
2. Drop homematch-lead-sheet.pdf, press "Next" twice
3. Press "Import", choose "Review and approve manually", press "Import"
4. Press "Done"</t>
        </is>
      </c>
      <c r="G100" s="14" t="inlineStr">
        <is>
          <t>"Detected 2 line(s)"; the result reads "2 of 2 records imported successfully" and "2 leads waiting in Review imported leads"; the list itself is unchanged.</t>
        </is>
      </c>
      <c r="H100" s="12" t="inlineStr">
        <is>
          <t>New in 2.0</t>
        </is>
      </c>
      <c r="I100" s="11" t="inlineStr">
        <is>
          <t>Dane</t>
        </is>
      </c>
      <c r="J100" s="15" t="n"/>
      <c r="K100" s="15" t="n"/>
      <c r="L100" s="15" t="n"/>
      <c r="M100" s="16" t="n"/>
      <c r="N100" s="17" t="n"/>
      <c r="O100" s="17" t="n"/>
      <c r="P100" s="15" t="n"/>
    </row>
    <row r="101">
      <c r="A101" s="11" t="n">
        <v>4</v>
      </c>
      <c r="B101" s="11" t="inlineStr">
        <is>
          <t>4.10</t>
        </is>
      </c>
      <c r="C101" s="12" t="inlineStr">
        <is>
          <t>Review what came in</t>
        </is>
      </c>
      <c r="D101" s="12" t="inlineStr">
        <is>
          <t>Leads</t>
        </is>
      </c>
      <c r="E101" s="13" t="inlineStr">
        <is>
          <t>Open the review queue</t>
        </is>
      </c>
      <c r="F101" s="14" t="inlineStr">
        <is>
          <t>1. On Leads, click the "Review imported leads" bar at the bottom
2. Find Gerald Tan and your two PDF leads
3. Switch on "Show only duplicates", then off again</t>
        </is>
      </c>
      <c r="G101" s="14" t="inlineStr">
        <is>
          <t>Gerald Tan is tagged DUPLICATE with "Matches: Gerald Tan"; Vanessa Ho and Samuel Yeo are PENDING; the switch narrows the queue to duplicates.</t>
        </is>
      </c>
      <c r="H101" s="12" t="inlineStr">
        <is>
          <t>Same as 1.0</t>
        </is>
      </c>
      <c r="I101" s="11" t="inlineStr">
        <is>
          <t>Dane</t>
        </is>
      </c>
      <c r="J101" s="15" t="n"/>
      <c r="K101" s="15" t="n"/>
      <c r="L101" s="15" t="n"/>
      <c r="M101" s="16" t="n"/>
      <c r="N101" s="17" t="n"/>
      <c r="O101" s="17" t="n"/>
      <c r="P101" s="15" t="n"/>
    </row>
    <row r="102">
      <c r="A102" s="11" t="n">
        <v>4</v>
      </c>
      <c r="B102" s="11" t="inlineStr">
        <is>
          <t>4.11</t>
        </is>
      </c>
      <c r="C102" s="12" t="inlineStr">
        <is>
          <t>Review what came in</t>
        </is>
      </c>
      <c r="D102" s="12" t="inlineStr">
        <is>
          <t>Leads</t>
        </is>
      </c>
      <c r="E102" s="13" t="inlineStr">
        <is>
          <t>Merge the repeat enquiry into Gerald's lead</t>
        </is>
      </c>
      <c r="F102" s="14" t="inlineStr">
        <is>
          <t>1. On Gerald Tan's card press "View &amp; Merge"
2. In the "Budget (S$)" row, click the round button beside 120,000 (the "New" column)
3. Read the "Merged result" column
4. Press "Merge into Existing"</t>
        </is>
      </c>
      <c r="G102" s="14" t="inlineStr">
        <is>
          <t>Phone says "identical - matched on this"; Email and District fill in by themselves; "Merged into the existing lead"; Gerald's budget becomes 120,000.</t>
        </is>
      </c>
      <c r="H102" s="12" t="inlineStr">
        <is>
          <t>Different from 1.0: side by side; you pick each clashing value</t>
        </is>
      </c>
      <c r="I102" s="11" t="inlineStr">
        <is>
          <t>Dane</t>
        </is>
      </c>
      <c r="J102" s="15" t="n"/>
      <c r="K102" s="15" t="n"/>
      <c r="L102" s="15" t="n"/>
      <c r="M102" s="16" t="n"/>
      <c r="N102" s="17" t="n"/>
      <c r="O102" s="17" t="n"/>
      <c r="P102" s="15" t="n"/>
    </row>
    <row r="103">
      <c r="A103" s="11" t="n">
        <v>4</v>
      </c>
      <c r="B103" s="11" t="inlineStr">
        <is>
          <t>4.12</t>
        </is>
      </c>
      <c r="C103" s="12" t="inlineStr">
        <is>
          <t>Review what came in</t>
        </is>
      </c>
      <c r="D103" s="12" t="inlineStr">
        <is>
          <t>Leads</t>
        </is>
      </c>
      <c r="E103" s="13" t="inlineStr">
        <is>
          <t>Approve the two PDF leads</t>
        </is>
      </c>
      <c r="F103" s="14" t="inlineStr">
        <is>
          <t>1. In the queue, click the "Others (2)" chip
2. On Vanessa Ho's card press "Approve"
3. On Samuel Yeo's card press "Approve"
4. Close the queue</t>
        </is>
      </c>
      <c r="G103" s="14" t="inlineStr">
        <is>
          <t>Each press says "Lead approved and added to your leads"; both leads now show in the list in New.</t>
        </is>
      </c>
      <c r="H103" s="12" t="inlineStr">
        <is>
          <t>Same as 1.0</t>
        </is>
      </c>
      <c r="I103" s="11" t="inlineStr">
        <is>
          <t>Dane</t>
        </is>
      </c>
      <c r="J103" s="15" t="n"/>
      <c r="K103" s="15" t="n"/>
      <c r="L103" s="15" t="n"/>
      <c r="M103" s="16" t="n"/>
      <c r="N103" s="17" t="n"/>
      <c r="O103" s="17" t="n"/>
      <c r="P103" s="15" t="n"/>
    </row>
    <row r="104">
      <c r="A104" s="11" t="n">
        <v>4</v>
      </c>
      <c r="B104" s="11" t="inlineStr">
        <is>
          <t>4.13</t>
        </is>
      </c>
      <c r="C104" s="12" t="inlineStr">
        <is>
          <t>Leads that arrive by themselves</t>
        </is>
      </c>
      <c r="D104" s="12" t="inlineStr">
        <is>
          <t>Company</t>
        </is>
      </c>
      <c r="E104" s="13" t="inlineStr">
        <is>
          <t>Receive a lead from an ad form (Webhooks)</t>
        </is>
      </c>
      <c r="F104" s="14" t="inlineStr">
        <is>
          <t>1. On Leads, click "Add Lead", then "Link to Zapier"
2. In the "Webhooks" card, find the "Google Ads" row
3. Press "Simulate a POST (demo)"</t>
        </is>
      </c>
      <c r="G104" s="14" t="inlineStr">
        <is>
          <t>A message says someone "arrived via Google Ads" (new, or a known number sent to review); the counters rise and "Recent activity" gains a row.</t>
        </is>
      </c>
      <c r="H104" s="12" t="inlineStr">
        <is>
          <t>Different from 1.0: a demo POST stands in for real traffic</t>
        </is>
      </c>
      <c r="I104" s="11" t="inlineStr">
        <is>
          <t>Dane</t>
        </is>
      </c>
      <c r="J104" s="15" t="n"/>
      <c r="K104" s="15" t="n"/>
      <c r="L104" s="15" t="n"/>
      <c r="M104" s="16" t="n"/>
      <c r="N104" s="17" t="n"/>
      <c r="O104" s="17" t="n"/>
      <c r="P104" s="15" t="n"/>
    </row>
    <row r="105">
      <c r="A105" s="11" t="n">
        <v>4</v>
      </c>
      <c r="B105" s="11" t="inlineStr">
        <is>
          <t>4.14</t>
        </is>
      </c>
      <c r="C105" s="12" t="inlineStr">
        <is>
          <t>Leads that arrive by themselves</t>
        </is>
      </c>
      <c r="D105" s="12" t="inlineStr">
        <is>
          <t>Company</t>
        </is>
      </c>
      <c r="E105" s="13" t="inlineStr">
        <is>
          <t>Pick up leads from portal emails</t>
        </is>
      </c>
      <c r="F105" s="14" t="inlineStr">
        <is>
          <t>1. Scroll to the "Email lead sources" card
2. Press "Connect Gmail"
3. Press "Sync now"</t>
        </is>
      </c>
      <c r="G105" s="14" t="inlineStr">
        <is>
          <t>"Gmail connected — the platforms below are monitored"; the card turns ACTIVE; Sync now names who "enquired via @…" and EMAILS FOUND reads 1.</t>
        </is>
      </c>
      <c r="H105" s="12" t="inlineStr">
        <is>
          <t>Different from 1.0: a stand-in inbox; each sync plays one enquiry</t>
        </is>
      </c>
      <c r="I105" s="11" t="inlineStr">
        <is>
          <t>Dane</t>
        </is>
      </c>
      <c r="J105" s="15" t="n"/>
      <c r="K105" s="15" t="n"/>
      <c r="L105" s="15" t="n"/>
      <c r="M105" s="16" t="n"/>
      <c r="N105" s="17" t="n"/>
      <c r="O105" s="17" t="n"/>
      <c r="P105" s="15" t="n"/>
    </row>
    <row r="106">
      <c r="A106" s="11" t="n">
        <v>4</v>
      </c>
      <c r="B106" s="11" t="inlineStr">
        <is>
          <t>4.15</t>
        </is>
      </c>
      <c r="C106" s="12" t="inlineStr">
        <is>
          <t>Leads that arrive by themselves</t>
        </is>
      </c>
      <c r="D106" s="12" t="inlineStr">
        <is>
          <t>Leads</t>
        </is>
      </c>
      <c r="E106" s="13" t="inlineStr">
        <is>
          <t>Check the lead that came from Qanvast</t>
        </is>
      </c>
      <c r="F106" s="14" t="inlineStr">
        <is>
          <t>1. On Leads, open Hakim Salleh
2. Look at the source chip, then open ⋮ ("More options")
3. Click "Qanvast Ops" in the side navigation and find Hakim Salleh</t>
        </is>
      </c>
      <c r="G106" s="14" t="inlineStr">
        <is>
          <t>His QANVAST chip is green and the menu offers "Return Lead"; Qanvast Ops lists him with Return window "Opens in 7 days".</t>
        </is>
      </c>
      <c r="H106" s="12" t="inlineStr">
        <is>
          <t>New in 2.0</t>
        </is>
      </c>
      <c r="I106" s="11" t="inlineStr">
        <is>
          <t>Dane</t>
        </is>
      </c>
      <c r="J106" s="15" t="n"/>
      <c r="K106" s="15" t="n"/>
      <c r="L106" s="15" t="n"/>
      <c r="M106" s="16" t="n"/>
      <c r="N106" s="17" t="n"/>
      <c r="O106" s="17" t="n"/>
      <c r="P106" s="15" t="n"/>
    </row>
    <row r="107">
      <c r="A107" s="11" t="n">
        <v>4</v>
      </c>
      <c r="B107" s="11" t="inlineStr">
        <is>
          <t>4.16</t>
        </is>
      </c>
      <c r="C107" s="12" t="inlineStr">
        <is>
          <t>Find your way around the list</t>
        </is>
      </c>
      <c r="D107" s="12" t="inlineStr">
        <is>
          <t>Leads</t>
        </is>
      </c>
      <c r="E107" s="13" t="inlineStr">
        <is>
          <t>Find Sophia by part of her phone number</t>
        </is>
      </c>
      <c r="F107" s="14" t="inlineStr">
        <is>
          <t>1. On Leads, click the search box ("Search name, phone, email…")
2. Type 9765
3. Replace it with zzzz
4. Press "Clear All"</t>
        </is>
      </c>
      <c r="G107" s="14" t="inlineStr">
        <is>
          <t>9765 leaves only Sophia Wong, digits highlighted; zzzz shows "No results found"; "Clear All" brings every lead back.</t>
        </is>
      </c>
      <c r="H107" s="12" t="inlineStr">
        <is>
          <t>Different from 1.0: matches anything shown; phone at any length</t>
        </is>
      </c>
      <c r="I107" s="11" t="inlineStr">
        <is>
          <t>Dane</t>
        </is>
      </c>
      <c r="J107" s="15" t="n"/>
      <c r="K107" s="15" t="n"/>
      <c r="L107" s="15" t="n"/>
      <c r="M107" s="16" t="n"/>
      <c r="N107" s="17" t="n"/>
      <c r="O107" s="17" t="n"/>
      <c r="P107" s="15" t="n"/>
    </row>
    <row r="108">
      <c r="A108" s="11" t="n">
        <v>4</v>
      </c>
      <c r="B108" s="11" t="inlineStr">
        <is>
          <t>4.17</t>
        </is>
      </c>
      <c r="C108" s="12" t="inlineStr">
        <is>
          <t>Find your way around the list</t>
        </is>
      </c>
      <c r="D108" s="12" t="inlineStr">
        <is>
          <t>Leads</t>
        </is>
      </c>
      <c r="E108" s="13" t="inlineStr">
        <is>
          <t>Show only leads nobody owns yet</t>
        </is>
      </c>
      <c r="F108" s="14" t="inlineStr">
        <is>
          <t>1. Click the Filters icon ("Filters")
2. Open "Quick filters" and tick "Unassigned"
3. Press "Done"</t>
        </is>
      </c>
      <c r="G108" s="14" t="inlineStr">
        <is>
          <t>Only leads with "Assign" under Members remain — Sophia Wong and the new imports among them; the Filters icon shows 1.</t>
        </is>
      </c>
      <c r="H108" s="12" t="inlineStr">
        <is>
          <t>Different from 1.0: no Hot filter; Unseen added</t>
        </is>
      </c>
      <c r="I108" s="11" t="inlineStr">
        <is>
          <t>Dane</t>
        </is>
      </c>
      <c r="J108" s="15" t="n"/>
      <c r="K108" s="15" t="n"/>
      <c r="L108" s="15" t="n"/>
      <c r="M108" s="16" t="n"/>
      <c r="N108" s="17" t="n"/>
      <c r="O108" s="17" t="n"/>
      <c r="P108" s="15" t="n"/>
    </row>
    <row r="109">
      <c r="A109" s="11" t="n">
        <v>4</v>
      </c>
      <c r="B109" s="11" t="inlineStr">
        <is>
          <t>4.18</t>
        </is>
      </c>
      <c r="C109" s="12" t="inlineStr">
        <is>
          <t>Find your way around the list</t>
        </is>
      </c>
      <c r="D109" s="12" t="inlineStr">
        <is>
          <t>Leads</t>
        </is>
      </c>
      <c r="E109" s="13" t="inlineStr">
        <is>
          <t>Give two new leads to Alex in one go</t>
        </is>
      </c>
      <c r="F109" s="14" t="inlineStr">
        <is>
          <t>1. With the filter still on, tick Aaron Goh and Priscilla Low (not Sophia)
2. In the bar at the bottom press "Assign"
3. Tick "Alex", then press "Assign"</t>
        </is>
      </c>
      <c r="G109" s="14" t="inlineStr">
        <is>
          <t>The bar counts 2; "2 leads assigned to Alex" appears and both leave the Unassigned list; Sophia stays unassigned.</t>
        </is>
      </c>
      <c r="H109" s="12" t="inlineStr">
        <is>
          <t>Different from 1.0: adds members; never replaces or unassigns</t>
        </is>
      </c>
      <c r="I109" s="11" t="inlineStr">
        <is>
          <t>Dane</t>
        </is>
      </c>
      <c r="J109" s="15" t="n"/>
      <c r="K109" s="15" t="n"/>
      <c r="L109" s="15" t="n"/>
      <c r="M109" s="16" t="n"/>
      <c r="N109" s="17" t="n"/>
      <c r="O109" s="17" t="n"/>
      <c r="P109" s="15" t="n"/>
    </row>
    <row r="110">
      <c r="A110" s="11" t="n">
        <v>4</v>
      </c>
      <c r="B110" s="11" t="inlineStr">
        <is>
          <t>4.19</t>
        </is>
      </c>
      <c r="C110" s="12" t="inlineStr">
        <is>
          <t>Find your way around the list</t>
        </is>
      </c>
      <c r="D110" s="12" t="inlineStr">
        <is>
          <t>Leads</t>
        </is>
      </c>
      <c r="E110" s="13" t="inlineStr">
        <is>
          <t>Narrow the list to leads created this month</t>
        </is>
      </c>
      <c r="F110" s="14" t="inlineStr">
        <is>
          <t>1. Click "Filters", then "Date"
2. Choose "This month"
3. Press "Done"</t>
        </is>
      </c>
      <c r="G110" s="14" t="inlineStr">
        <is>
          <t>Only unassigned leads created since the 1st of this month remain, today's included; the Filters icon shows 2.</t>
        </is>
      </c>
      <c r="H110" s="12" t="inlineStr">
        <is>
          <t>Same as 1.0</t>
        </is>
      </c>
      <c r="I110" s="11" t="inlineStr">
        <is>
          <t>Dane</t>
        </is>
      </c>
      <c r="J110" s="15" t="n"/>
      <c r="K110" s="15" t="n"/>
      <c r="L110" s="15" t="n"/>
      <c r="M110" s="16" t="n"/>
      <c r="N110" s="17" t="n"/>
      <c r="O110" s="17" t="n"/>
      <c r="P110" s="15" t="n"/>
    </row>
    <row r="111">
      <c r="A111" s="11" t="n">
        <v>4</v>
      </c>
      <c r="B111" s="11" t="inlineStr">
        <is>
          <t>4.20</t>
        </is>
      </c>
      <c r="C111" s="12" t="inlineStr">
        <is>
          <t>Share and shape the list</t>
        </is>
      </c>
      <c r="D111" s="12" t="inlineStr">
        <is>
          <t>Leads</t>
        </is>
      </c>
      <c r="E111" s="13" t="inlineStr">
        <is>
          <t>Export exactly what the list shows</t>
        </is>
      </c>
      <c r="F111" s="14" t="inlineStr">
        <is>
          <t>1. Click ⋮ ("More options"), then "Export all as…"
2. Choose "What the list shows"; "Columns": As the list shows; "Choose file format": XLSX
3. Press "Export"
4. Then "Filters" › "Clear All" › "Done"</t>
        </is>
      </c>
      <c r="G111" s="14" t="inlineStr">
        <is>
          <t>The summary line counts those leads and columns; an XLSX downloads with "Exported … as XLSX"; Clear All brings every lead back.</t>
        </is>
      </c>
      <c r="H111" s="12" t="inlineStr">
        <is>
          <t>Different from 1.0: all or shown leads; four formats</t>
        </is>
      </c>
      <c r="I111" s="11" t="inlineStr">
        <is>
          <t>Dane</t>
        </is>
      </c>
      <c r="J111" s="15" t="n"/>
      <c r="K111" s="15" t="n"/>
      <c r="L111" s="15" t="n"/>
      <c r="M111" s="16" t="n"/>
      <c r="N111" s="17" t="n"/>
      <c r="O111" s="17" t="n"/>
      <c r="P111" s="15" t="n"/>
    </row>
    <row r="112">
      <c r="A112" s="11" t="n">
        <v>4</v>
      </c>
      <c r="B112" s="11" t="inlineStr">
        <is>
          <t>4.21</t>
        </is>
      </c>
      <c r="C112" s="12" t="inlineStr">
        <is>
          <t>Share and shape the list</t>
        </is>
      </c>
      <c r="D112" s="12" t="inlineStr">
        <is>
          <t>Leads</t>
        </is>
      </c>
      <c r="E112" s="13" t="inlineStr">
        <is>
          <t>Look at one stage, one source and one member</t>
        </is>
      </c>
      <c r="F112" s="14" t="inlineStr">
        <is>
          <t>1. Click "All Leads (…)" and pick "Contacted"
2. "Filters": in "Source" tick Qanvast, in "Members" tick Dane, in "Sort" pick "Oldest at the top"; "Done"
3. Read the list
4. "Filters" › "Clear All" › "Done"; then the pill › "All Leads"</t>
        </is>
      </c>
      <c r="G112" s="14" t="inlineStr">
        <is>
          <t>The pill reads "Contacted (2)" with a dot: Jasmine Lee above Gavin See; clearing both brings every lead back.</t>
        </is>
      </c>
      <c r="H112" s="12" t="inlineStr">
        <is>
          <t>Different from 1.0: stages on the pill; filters combine freely</t>
        </is>
      </c>
      <c r="I112" s="11" t="inlineStr">
        <is>
          <t>Dane</t>
        </is>
      </c>
      <c r="J112" s="15" t="n"/>
      <c r="K112" s="15" t="n"/>
      <c r="L112" s="15" t="n"/>
      <c r="M112" s="16" t="n"/>
      <c r="N112" s="17" t="n"/>
      <c r="O112" s="17" t="n"/>
      <c r="P112" s="15" t="n"/>
    </row>
    <row r="113">
      <c r="A113" s="11" t="n">
        <v>4</v>
      </c>
      <c r="B113" s="11" t="inlineStr">
        <is>
          <t>4.22</t>
        </is>
      </c>
      <c r="C113" s="12" t="inlineStr">
        <is>
          <t>Share and shape the list</t>
        </is>
      </c>
      <c r="D113" s="12" t="inlineStr">
        <is>
          <t>Leads</t>
        </is>
      </c>
      <c r="E113" s="13" t="inlineStr">
        <is>
          <t>Add the District and follow-up columns</t>
        </is>
      </c>
      <c r="F113" s="14" t="inlineStr">
        <is>
          <t>1. Click the "Column settings" icon (right of Filters)
2. Switch on "District", "Next follow-up" and "Last contact"
3. Press "Done"</t>
        </is>
      </c>
      <c r="G113" s="14" t="inlineStr">
        <is>
          <t>Three columns appear; on Sophia's row DISTRICT reads East and LAST CONTACT reads "No contact yet".</t>
        </is>
      </c>
      <c r="H113" s="12" t="inlineStr">
        <is>
          <t>New in 2.0</t>
        </is>
      </c>
      <c r="I113" s="11" t="inlineStr">
        <is>
          <t>Dane</t>
        </is>
      </c>
      <c r="J113" s="15" t="n"/>
      <c r="K113" s="15" t="n"/>
      <c r="L113" s="15" t="n"/>
      <c r="M113" s="16" t="n"/>
      <c r="N113" s="17" t="n"/>
      <c r="O113" s="17" t="n"/>
      <c r="P113" s="15" t="n"/>
    </row>
    <row r="114">
      <c r="A114" s="11" t="n">
        <v>4</v>
      </c>
      <c r="B114" s="11" t="inlineStr">
        <is>
          <t>4.23</t>
        </is>
      </c>
      <c r="C114" s="12" t="inlineStr">
        <is>
          <t>Share and shape the list</t>
        </is>
      </c>
      <c r="D114" s="12" t="inlineStr">
        <is>
          <t>Leads</t>
        </is>
      </c>
      <c r="E114" s="13" t="inlineStr">
        <is>
          <t>See the board and the owner-first rule</t>
        </is>
      </c>
      <c r="F114" s="14" t="inlineStr">
        <is>
          <t>1. Switch to the board ("Kanban view", top right of the list)
2. Drag Sophia Wong's card from New to Contacted
3. Switch back to "Table view"</t>
        </is>
      </c>
      <c r="G114" s="14" t="inlineStr">
        <is>
          <t>Seven stage columns sit under ACTIVE and INACTIVE; Sophia's card springs back with "Assign a member first".</t>
        </is>
      </c>
      <c r="H114" s="12" t="inlineStr">
        <is>
          <t>Different from 1.0: seven stage columns, not four buckets</t>
        </is>
      </c>
      <c r="I114" s="11" t="inlineStr">
        <is>
          <t>Dane</t>
        </is>
      </c>
      <c r="J114" s="15" t="n"/>
      <c r="K114" s="15" t="n"/>
      <c r="L114" s="15" t="n"/>
      <c r="M114" s="16" t="n"/>
      <c r="N114" s="17" t="n"/>
      <c r="O114" s="17" t="n"/>
      <c r="P114" s="15" t="n"/>
    </row>
    <row r="115" ht="22" customHeight="1">
      <c r="A115" s="9" t="inlineStr">
        <is>
          <t>Chapter 5 · Work your lead — Sophia Wong: assign, call, notes, tasks, files, questionnaire, meeting.</t>
        </is>
      </c>
      <c r="M115" s="10" t="n"/>
    </row>
    <row r="116">
      <c r="A116" s="11" t="n">
        <v>5</v>
      </c>
      <c r="B116" s="11" t="inlineStr">
        <is>
          <t>5.01</t>
        </is>
      </c>
      <c r="C116" s="12" t="inlineStr">
        <is>
          <t>Meet your new lead</t>
        </is>
      </c>
      <c r="D116" s="12" t="inlineStr">
        <is>
          <t>Lead details</t>
        </is>
      </c>
      <c r="E116" s="13" t="inlineStr">
        <is>
          <t>Open Sophia's lead</t>
        </is>
      </c>
      <c r="F116" s="14" t="inlineStr">
        <is>
          <t>1. On Leads, click Sophia Wong's name
2. Read the header
3. Press the back arrow, look at her row, then open her again</t>
        </is>
      </c>
      <c r="G116" s="14" t="inlineStr">
        <is>
          <t>Her "Overview" opens with chips 9765 4321 · S$ 60K · HDB 4-ROOM · REFERRAL and "Stage: New"; her row's band is gone.</t>
        </is>
      </c>
      <c r="H116" s="12" t="inlineStr">
        <is>
          <t>Different from 1.0: a full page with tabs, not a drawer</t>
        </is>
      </c>
      <c r="I116" s="11" t="inlineStr">
        <is>
          <t>Dane</t>
        </is>
      </c>
      <c r="J116" s="15" t="n"/>
      <c r="K116" s="15" t="n"/>
      <c r="L116" s="15" t="n"/>
      <c r="M116" s="16" t="n"/>
      <c r="N116" s="17" t="n"/>
      <c r="O116" s="17" t="n"/>
      <c r="P116" s="15" t="n"/>
    </row>
    <row r="117">
      <c r="A117" s="11" t="n">
        <v>5</v>
      </c>
      <c r="B117" s="11" t="inlineStr">
        <is>
          <t>5.02</t>
        </is>
      </c>
      <c r="C117" s="12" t="inlineStr">
        <is>
          <t>Meet your new lead</t>
        </is>
      </c>
      <c r="D117" s="12" t="inlineStr">
        <is>
          <t>Lead details</t>
        </is>
      </c>
      <c r="E117" s="13" t="inlineStr">
        <is>
          <t>Check her details on the left</t>
        </is>
      </c>
      <c r="F117" s="14" t="inlineStr">
        <is>
          <t>1. On her Overview, read the left column
2. Look at "Lead info", "Property info" and "Other info"</t>
        </is>
      </c>
      <c r="G117" s="14" t="inlineStr">
        <is>
          <t>Lead info: Stage New, Source Referral, Budget (S$) 60,000; Property info: HDB 4-Room, District East, Resale, in 3 months, her address.</t>
        </is>
      </c>
      <c r="H117" s="12" t="inlineStr">
        <is>
          <t>Same as 1.0</t>
        </is>
      </c>
      <c r="I117" s="11" t="inlineStr">
        <is>
          <t>Dane</t>
        </is>
      </c>
      <c r="J117" s="15" t="n"/>
      <c r="K117" s="15" t="n"/>
      <c r="L117" s="15" t="n"/>
      <c r="M117" s="16" t="n"/>
      <c r="N117" s="17" t="n"/>
      <c r="O117" s="17" t="n"/>
      <c r="P117" s="15" t="n"/>
    </row>
    <row r="118">
      <c r="A118" s="11" t="n">
        <v>5</v>
      </c>
      <c r="B118" s="11" t="inlineStr">
        <is>
          <t>5.03</t>
        </is>
      </c>
      <c r="C118" s="12" t="inlineStr">
        <is>
          <t>Meet your new lead</t>
        </is>
      </c>
      <c r="D118" s="12" t="inlineStr">
        <is>
          <t>Lead details</t>
        </is>
      </c>
      <c r="E118" s="13" t="inlineStr">
        <is>
          <t>Try to move her before anyone owns her</t>
        </is>
      </c>
      <c r="F118" s="14" t="inlineStr">
        <is>
          <t>1. Click "Stage: New" and point at "Contacted"
2. Close the menu
3. Point at, then press, "Convert to Project"</t>
        </is>
      </c>
      <c r="G118" s="14" t="inlineStr">
        <is>
          <t>Contacted is greyed with "Assign a member first"; Convert to Project wears a lock and answers "Assign a member first".</t>
        </is>
      </c>
      <c r="H118" s="12" t="inlineStr">
        <is>
          <t>Same as 1.0</t>
        </is>
      </c>
      <c r="I118" s="11" t="inlineStr">
        <is>
          <t>Dane</t>
        </is>
      </c>
      <c r="J118" s="15" t="n"/>
      <c r="K118" s="15" t="n"/>
      <c r="L118" s="15" t="n"/>
      <c r="M118" s="16" t="n"/>
      <c r="N118" s="17" t="n"/>
      <c r="O118" s="17" t="n"/>
      <c r="P118" s="15" t="n"/>
    </row>
    <row r="119">
      <c r="A119" s="11" t="n">
        <v>5</v>
      </c>
      <c r="B119" s="11" t="inlineStr">
        <is>
          <t>5.04</t>
        </is>
      </c>
      <c r="C119" s="12" t="inlineStr">
        <is>
          <t>Give her an owner</t>
        </is>
      </c>
      <c r="D119" s="12" t="inlineStr">
        <is>
          <t>Lead details</t>
        </is>
      </c>
      <c r="E119" s="13" t="inlineStr">
        <is>
          <t>Assign the member the studio suggests</t>
        </is>
      </c>
      <c r="F119" s="14" t="inlineStr">
        <is>
          <t>1. In the left column, under "Collaborators", click "Assign Member"
2. Read the "Suggested · …" box
3. Press "Assign to Sarah", then "Assign"</t>
        </is>
      </c>
      <c r="G119" s="14" t="inlineStr">
        <is>
          <t>"Suggested · Sarah" explains why (HDB 4-Room, East area); "Members updated" and Sarah shows under Collaborators.</t>
        </is>
      </c>
      <c r="H119" s="12" t="inlineStr">
        <is>
          <t>Different from 1.0: a line in Assign, scored the same way</t>
        </is>
      </c>
      <c r="I119" s="11" t="inlineStr">
        <is>
          <t>Dane</t>
        </is>
      </c>
      <c r="J119" s="15" t="n"/>
      <c r="K119" s="15" t="n"/>
      <c r="L119" s="15" t="n"/>
      <c r="M119" s="16" t="n"/>
      <c r="N119" s="17" t="n"/>
      <c r="O119" s="17" t="n"/>
      <c r="P119" s="15" t="n"/>
    </row>
    <row r="120">
      <c r="A120" s="11" t="n">
        <v>5</v>
      </c>
      <c r="B120" s="11" t="inlineStr">
        <is>
          <t>5.05</t>
        </is>
      </c>
      <c r="C120" s="12" t="inlineStr">
        <is>
          <t>Give her an owner</t>
        </is>
      </c>
      <c r="D120" s="12" t="inlineStr">
        <is>
          <t>Lead details</t>
        </is>
      </c>
      <c r="E120" s="13" t="inlineStr">
        <is>
          <t>Set a reminder to follow up tomorrow</t>
        </is>
      </c>
      <c r="F120" s="14" t="inlineStr">
        <is>
          <t>1. In the "LEAD STAGES" card click "Next follow-up" (None set)
2. In "Set a follow-up", pick tomorrow at 10:00 AM for "When"
3. Keep the "Task" name, press "Save"</t>
        </is>
      </c>
      <c r="G120" s="14" t="inlineStr">
        <is>
          <t>"Follow-up set for …" appears; Next follow-up now reads "Follow up with Sophia Wong" with tomorrow's date.</t>
        </is>
      </c>
      <c r="H120" s="12" t="inlineStr">
        <is>
          <t>Different from 1.0: the follow-up is a task, not a lead date</t>
        </is>
      </c>
      <c r="I120" s="11" t="inlineStr">
        <is>
          <t>Dane</t>
        </is>
      </c>
      <c r="J120" s="15" t="n"/>
      <c r="K120" s="15" t="n"/>
      <c r="L120" s="15" t="n"/>
      <c r="M120" s="16" t="n"/>
      <c r="N120" s="17" t="n"/>
      <c r="O120" s="17" t="n"/>
      <c r="P120" s="15" t="n"/>
    </row>
    <row r="121">
      <c r="A121" s="11" t="n">
        <v>5</v>
      </c>
      <c r="B121" s="11" t="inlineStr">
        <is>
          <t>5.06</t>
        </is>
      </c>
      <c r="C121" s="12" t="inlineStr">
        <is>
          <t>Give her an owner</t>
        </is>
      </c>
      <c r="D121" s="12" t="inlineStr">
        <is>
          <t>Lead details</t>
        </is>
      </c>
      <c r="E121" s="13" t="inlineStr">
        <is>
          <t>Add her NRIC and correct her key collection</t>
        </is>
      </c>
      <c r="F121" s="14" t="inlineStr">
        <is>
          <t>1. Open ⋮ ("More options"), then "Edit"
2. "NRIC / FIN": S8812345D · "Key collection": Collected
3. Press "Save"</t>
        </is>
      </c>
      <c r="G121" s="14" t="inlineStr">
        <is>
          <t>"Successfully Updated"; Lead info shows NRIC / FIN S8812345D and Property info shows Key collection Collected.</t>
        </is>
      </c>
      <c r="H121" s="12" t="inlineStr">
        <is>
          <t>Same as 1.0</t>
        </is>
      </c>
      <c r="I121" s="11" t="inlineStr">
        <is>
          <t>Dane</t>
        </is>
      </c>
      <c r="J121" s="15" t="n"/>
      <c r="K121" s="15" t="n"/>
      <c r="L121" s="15" t="n"/>
      <c r="M121" s="16" t="n"/>
      <c r="N121" s="17" t="n"/>
      <c r="O121" s="17" t="n"/>
      <c r="P121" s="15" t="n"/>
    </row>
    <row r="122">
      <c r="A122" s="11" t="n">
        <v>5</v>
      </c>
      <c r="B122" s="11" t="inlineStr">
        <is>
          <t>5.07</t>
        </is>
      </c>
      <c r="C122" s="12" t="inlineStr">
        <is>
          <t>Log the first call</t>
        </is>
      </c>
      <c r="D122" s="12" t="inlineStr">
        <is>
          <t>Lead details</t>
        </is>
      </c>
      <c r="E122" s="13" t="inlineStr">
        <is>
          <t>Check the call log asks for what it needs</t>
        </is>
      </c>
      <c r="F122" s="14" t="inlineStr">
        <is>
          <t>1. Click "Stage: New", then "Contacted"
2. In the "Move stage" window press "Save" without filling anything</t>
        </is>
      </c>
      <c r="G122" s="14" t="inlineStr">
        <is>
          <t>"Moving to Contacted"; red messages under the empty fields and "Unable to move. Please fill in the required fields."; channels include "In person".</t>
        </is>
      </c>
      <c r="H122" s="12" t="inlineStr">
        <is>
          <t>Different from 1.0: a screenshot is needed to log contact</t>
        </is>
      </c>
      <c r="I122" s="11" t="inlineStr">
        <is>
          <t>Dane</t>
        </is>
      </c>
      <c r="J122" s="15" t="n"/>
      <c r="K122" s="15" t="n"/>
      <c r="L122" s="15" t="n"/>
      <c r="M122" s="16" t="n"/>
      <c r="N122" s="17" t="n"/>
      <c r="O122" s="17" t="n"/>
      <c r="P122" s="15" t="n"/>
    </row>
    <row r="123">
      <c r="A123" s="11" t="n">
        <v>5</v>
      </c>
      <c r="B123" s="11" t="inlineStr">
        <is>
          <t>5.08</t>
        </is>
      </c>
      <c r="C123" s="12" t="inlineStr">
        <is>
          <t>Log the first call</t>
        </is>
      </c>
      <c r="D123" s="12" t="inlineStr">
        <is>
          <t>Lead details</t>
        </is>
      </c>
      <c r="E123" s="13" t="inlineStr">
        <is>
          <t>Log the call and pick the suggested tasks</t>
        </is>
      </c>
      <c r="F123" s="14" t="inlineStr">
        <is>
          <t>1. "Contacted via" Call · "Date &amp; Time" today, now · "Outcome" Callback requested
2. Under "Schedule a call/meeting (optional)": two days from now, 11:00 AM · "Preferred mode" Call
3. Under "Attach screenshots of your call attempts" press "Attach", then "Save"
4. In "Suggested tasks" tick the suggestion, press "Save"</t>
        </is>
      </c>
      <c r="G123" s="14" t="inlineStr">
        <is>
          <t>"Auto added" shows "Follow up with the client via Call on …"; then "Moved to Contacted" and the button reads "Stage: Contacted".</t>
        </is>
      </c>
      <c r="H123" s="12" t="inlineStr">
        <is>
          <t>Different from 1.0: a scheduled call becomes a task automatically</t>
        </is>
      </c>
      <c r="I123" s="11" t="inlineStr">
        <is>
          <t>Dane</t>
        </is>
      </c>
      <c r="J123" s="15" t="n"/>
      <c r="K123" s="15" t="n"/>
      <c r="L123" s="15" t="n"/>
      <c r="M123" s="16" t="n"/>
      <c r="N123" s="17" t="n"/>
      <c r="O123" s="17" t="n"/>
      <c r="P123" s="15" t="n"/>
    </row>
    <row r="124">
      <c r="A124" s="11" t="n">
        <v>5</v>
      </c>
      <c r="B124" s="11" t="inlineStr">
        <is>
          <t>5.09</t>
        </is>
      </c>
      <c r="C124" s="12" t="inlineStr">
        <is>
          <t>Log the first call</t>
        </is>
      </c>
      <c r="D124" s="12" t="inlineStr">
        <is>
          <t>Lead details</t>
        </is>
      </c>
      <c r="E124" s="13" t="inlineStr">
        <is>
          <t>Find the call in Notes &amp; Logs</t>
        </is>
      </c>
      <c r="F124" s="14" t="inlineStr">
        <is>
          <t>1. Open the "Notes &amp; Logs" tab
2. Click the Call contact log in the list</t>
        </is>
      </c>
      <c r="G124" s="14" t="inlineStr">
        <is>
          <t>The log shows Call · Callback requested; its header reads "Added during stage movement — view only".</t>
        </is>
      </c>
      <c r="H124" s="12" t="inlineStr">
        <is>
          <t>New in 2.0</t>
        </is>
      </c>
      <c r="I124" s="11" t="inlineStr">
        <is>
          <t>Dane</t>
        </is>
      </c>
      <c r="J124" s="15" t="n"/>
      <c r="K124" s="15" t="n"/>
      <c r="L124" s="15" t="n"/>
      <c r="M124" s="16" t="n"/>
      <c r="N124" s="17" t="n"/>
      <c r="O124" s="17" t="n"/>
      <c r="P124" s="15" t="n"/>
    </row>
    <row r="125">
      <c r="A125" s="11" t="n">
        <v>5</v>
      </c>
      <c r="B125" s="11" t="inlineStr">
        <is>
          <t>5.10</t>
        </is>
      </c>
      <c r="C125" s="12" t="inlineStr">
        <is>
          <t>Notes and tasks</t>
        </is>
      </c>
      <c r="D125" s="12" t="inlineStr">
        <is>
          <t>Lead details</t>
        </is>
      </c>
      <c r="E125" s="13" t="inlineStr">
        <is>
          <t>Write a quick note that saves itself</t>
        </is>
      </c>
      <c r="F125" s="14" t="inlineStr">
        <is>
          <t>1. In "Notes &amp; Logs" click "New", then "Note"
2. Title: Site visit prep; write a line about her kitchen
3. Click another item in the list</t>
        </is>
      </c>
      <c r="G125" s="14" t="inlineStr">
        <is>
          <t>The note stays in the list under its title — there is no Save button to press.</t>
        </is>
      </c>
      <c r="H125" s="12" t="inlineStr">
        <is>
          <t>Different from 1.0: many dated notes, not one field</t>
        </is>
      </c>
      <c r="I125" s="11" t="inlineStr">
        <is>
          <t>Dane</t>
        </is>
      </c>
      <c r="J125" s="15" t="n"/>
      <c r="K125" s="15" t="n"/>
      <c r="L125" s="15" t="n"/>
      <c r="M125" s="16" t="n"/>
      <c r="N125" s="17" t="n"/>
      <c r="O125" s="17" t="n"/>
      <c r="P125" s="15" t="n"/>
    </row>
    <row r="126">
      <c r="A126" s="11" t="n">
        <v>5</v>
      </c>
      <c r="B126" s="11" t="inlineStr">
        <is>
          <t>5.11</t>
        </is>
      </c>
      <c r="C126" s="12" t="inlineStr">
        <is>
          <t>Notes and tasks</t>
        </is>
      </c>
      <c r="D126" s="12" t="inlineStr">
        <is>
          <t>Lead details</t>
        </is>
      </c>
      <c r="E126" s="13" t="inlineStr">
        <is>
          <t>Log a WhatsApp chat with Auto Fill</t>
        </is>
      </c>
      <c r="F126" s="14" t="inlineStr">
        <is>
          <t>1. Click "New", then "Contact Log"
2. Press "Auto Fill", then "Upload"
3. In "Add tasks" press "Save"
4. Press "Save" under the log (if "Add tasks" opens again, press "Cancel")</t>
        </is>
      </c>
      <c r="G126" s="14" t="inlineStr">
        <is>
          <t>The log fills with WhatsApp · Connected and a meeting in three days; "1 task added", then "Contact log saved".</t>
        </is>
      </c>
      <c r="H126" s="12" t="inlineStr">
        <is>
          <t>Different from 1.0: a sample fill stands in for AI reading</t>
        </is>
      </c>
      <c r="I126" s="11" t="inlineStr">
        <is>
          <t>Dane</t>
        </is>
      </c>
      <c r="J126" s="15" t="n"/>
      <c r="K126" s="15" t="n"/>
      <c r="L126" s="15" t="n"/>
      <c r="M126" s="16" t="n"/>
      <c r="N126" s="17" t="n"/>
      <c r="O126" s="17" t="n"/>
      <c r="P126" s="15" t="n"/>
    </row>
    <row r="127">
      <c r="A127" s="11" t="n">
        <v>5</v>
      </c>
      <c r="B127" s="11" t="inlineStr">
        <is>
          <t>5.12</t>
        </is>
      </c>
      <c r="C127" s="12" t="inlineStr">
        <is>
          <t>Notes and tasks</t>
        </is>
      </c>
      <c r="D127" s="12" t="inlineStr">
        <is>
          <t>Lead details</t>
        </is>
      </c>
      <c r="E127" s="13" t="inlineStr">
        <is>
          <t>Tick off the follow-up you just did</t>
        </is>
      </c>
      <c r="F127" s="14" t="inlineStr">
        <is>
          <t>1. Open the "Tasks" tab
2. Find "Follow up with Sophia Wong"
3. Click its round check ("Mark as completed")</t>
        </is>
      </c>
      <c r="G127" s="14" t="inlineStr">
        <is>
          <t>The list holds your follow-ups with due dates and the suggestion; the ticked one now shows a filled check.</t>
        </is>
      </c>
      <c r="H127" s="12" t="inlineStr">
        <is>
          <t>New in 2.0</t>
        </is>
      </c>
      <c r="I127" s="11" t="inlineStr">
        <is>
          <t>Dane</t>
        </is>
      </c>
      <c r="J127" s="15" t="n"/>
      <c r="K127" s="15" t="n"/>
      <c r="L127" s="15" t="n"/>
      <c r="M127" s="16" t="n"/>
      <c r="N127" s="17" t="n"/>
      <c r="O127" s="17" t="n"/>
      <c r="P127" s="15" t="n"/>
    </row>
    <row r="128">
      <c r="A128" s="11" t="n">
        <v>5</v>
      </c>
      <c r="B128" s="11" t="inlineStr">
        <is>
          <t>5.13</t>
        </is>
      </c>
      <c r="C128" s="12" t="inlineStr">
        <is>
          <t>Notes and tasks</t>
        </is>
      </c>
      <c r="D128" s="12" t="inlineStr">
        <is>
          <t>Lead details</t>
        </is>
      </c>
      <c r="E128" s="13" t="inlineStr">
        <is>
          <t>Add a task and give it a due date</t>
        </is>
      </c>
      <c r="F128" s="14" t="inlineStr">
        <is>
          <t>1. Click "Add Task", then "Create New Task"
2. Type Send Sophia the HDB renovation checklist, press Enter
3. In its "Due date" cell click the calendar ("Set due date") and pick Friday</t>
        </is>
      </c>
      <c r="G128" s="14" t="inlineStr">
        <is>
          <t>The new task sits in the list with Friday as its due date.</t>
        </is>
      </c>
      <c r="H128" s="12" t="inlineStr">
        <is>
          <t>New in 2.0</t>
        </is>
      </c>
      <c r="I128" s="11" t="inlineStr">
        <is>
          <t>Dane</t>
        </is>
      </c>
      <c r="J128" s="15" t="n"/>
      <c r="K128" s="15" t="n"/>
      <c r="L128" s="15" t="n"/>
      <c r="M128" s="16" t="n"/>
      <c r="N128" s="17" t="n"/>
      <c r="O128" s="17" t="n"/>
      <c r="P128" s="15" t="n"/>
    </row>
    <row r="129">
      <c r="A129" s="11" t="n">
        <v>5</v>
      </c>
      <c r="B129" s="11" t="inlineStr">
        <is>
          <t>5.14</t>
        </is>
      </c>
      <c r="C129" s="12" t="inlineStr">
        <is>
          <t>Her files</t>
        </is>
      </c>
      <c r="D129" s="12" t="inlineStr">
        <is>
          <t>Lead details</t>
        </is>
      </c>
      <c r="E129" s="13" t="inlineStr">
        <is>
          <t>Find her floor plan and make a folder</t>
        </is>
      </c>
      <c r="F129" s="14" t="inlineStr">
        <is>
          <t>1. Open the "Files" tab
2. Check sophia-floor-plan.pdf is there
3. Click the "New Folder" icon, name it Site photos, press "Save"</t>
        </is>
      </c>
      <c r="G129" s="14" t="inlineStr">
        <is>
          <t>The floor plan attached when she was created is listed; "Folder created" and a Site photos folder appears.</t>
        </is>
      </c>
      <c r="H129" s="12" t="inlineStr">
        <is>
          <t>Different from 1.0: folders, trash and comments</t>
        </is>
      </c>
      <c r="I129" s="11" t="inlineStr">
        <is>
          <t>Dane</t>
        </is>
      </c>
      <c r="J129" s="15" t="n"/>
      <c r="K129" s="15" t="n"/>
      <c r="L129" s="15" t="n"/>
      <c r="M129" s="16" t="n"/>
      <c r="N129" s="17" t="n"/>
      <c r="O129" s="17" t="n"/>
      <c r="P129" s="15" t="n"/>
    </row>
    <row r="130">
      <c r="A130" s="11" t="n">
        <v>5</v>
      </c>
      <c r="B130" s="11" t="inlineStr">
        <is>
          <t>5.15</t>
        </is>
      </c>
      <c r="C130" s="12" t="inlineStr">
        <is>
          <t>Her files</t>
        </is>
      </c>
      <c r="D130" s="12" t="inlineStr">
        <is>
          <t>Lead details</t>
        </is>
      </c>
      <c r="E130" s="13" t="inlineStr">
        <is>
          <t>Upload a photo into the folder</t>
        </is>
      </c>
      <c r="F130" s="14" t="inlineStr">
        <is>
          <t>1. Click the Site photos folder to open it
2. Click "New File", then "From Local Files"
3. Pick sophia-living-room.jpg</t>
        </is>
      </c>
      <c r="G130" s="14" t="inlineStr">
        <is>
          <t>"Uploading 1 file", then "File uploaded"; a tile named sophia-living-room.jpg appears, showing her living-room photo.</t>
        </is>
      </c>
      <c r="H130" s="12" t="inlineStr">
        <is>
          <t>Same as 1.0</t>
        </is>
      </c>
      <c r="I130" s="11" t="inlineStr">
        <is>
          <t>Dane</t>
        </is>
      </c>
      <c r="J130" s="15" t="n"/>
      <c r="K130" s="15" t="n"/>
      <c r="L130" s="15" t="n"/>
      <c r="M130" s="16" t="n"/>
      <c r="N130" s="17" t="n"/>
      <c r="O130" s="17" t="n"/>
      <c r="P130" s="15" t="n"/>
    </row>
    <row r="131">
      <c r="A131" s="11" t="n">
        <v>5</v>
      </c>
      <c r="B131" s="11" t="inlineStr">
        <is>
          <t>5.16</t>
        </is>
      </c>
      <c r="C131" s="12" t="inlineStr">
        <is>
          <t>Her files</t>
        </is>
      </c>
      <c r="D131" s="12" t="inlineStr">
        <is>
          <t>Lead details</t>
        </is>
      </c>
      <c r="E131" s="13" t="inlineStr">
        <is>
          <t>Leave your team a comment on the photo</t>
        </is>
      </c>
      <c r="F131" s="14" t="inlineStr">
        <is>
          <t>1. Double-click the photo to open it
2. Click the "Comments" icon (top right)
3. Type Check the window measurements, press Enter
4. Press the back arrow ("Back to Files")</t>
        </is>
      </c>
      <c r="G131" s="14" t="inlineStr">
        <is>
          <t>Your comment appears under your name; the panel notes "Clients can’t see these comments".</t>
        </is>
      </c>
      <c r="H131" s="12" t="inlineStr">
        <is>
          <t>New in 2.0</t>
        </is>
      </c>
      <c r="I131" s="11" t="inlineStr">
        <is>
          <t>Dane</t>
        </is>
      </c>
      <c r="J131" s="15" t="n"/>
      <c r="K131" s="15" t="n"/>
      <c r="L131" s="15" t="n"/>
      <c r="M131" s="16" t="n"/>
      <c r="N131" s="17" t="n"/>
      <c r="O131" s="17" t="n"/>
      <c r="P131" s="15" t="n"/>
    </row>
    <row r="132">
      <c r="A132" s="11" t="n">
        <v>5</v>
      </c>
      <c r="B132" s="11" t="inlineStr">
        <is>
          <t>5.17</t>
        </is>
      </c>
      <c r="C132" s="12" t="inlineStr">
        <is>
          <t>What does she need?</t>
        </is>
      </c>
      <c r="D132" s="12" t="inlineStr">
        <is>
          <t>Lead details</t>
        </is>
      </c>
      <c r="E132" s="13" t="inlineStr">
        <is>
          <t>Answer one of the studio's questions</t>
        </is>
      </c>
      <c r="F132" s="14" t="inlineStr">
        <is>
          <t>1. Open the "Questionnaire" tab
2. On the first question press "Answer"
3. Type a short answer, press "Save"</t>
        </is>
      </c>
      <c r="G132" s="14" t="inlineStr">
        <is>
          <t>Her lead already holds the studio's questions (Company › Questionnaire, chapter 3's included); "Answer saved" and your answer shows after "A:".</t>
        </is>
      </c>
      <c r="H132" s="12" t="inlineStr">
        <is>
          <t>Different from 1.0: the studio answers here; clients use the portal</t>
        </is>
      </c>
      <c r="I132" s="11" t="inlineStr">
        <is>
          <t>Dane</t>
        </is>
      </c>
      <c r="J132" s="15" t="n"/>
      <c r="K132" s="15" t="n"/>
      <c r="L132" s="15" t="n"/>
      <c r="M132" s="16" t="n"/>
      <c r="N132" s="17" t="n"/>
      <c r="O132" s="17" t="n"/>
      <c r="P132" s="15" t="n"/>
    </row>
    <row r="133">
      <c r="A133" s="11" t="n">
        <v>5</v>
      </c>
      <c r="B133" s="11" t="inlineStr">
        <is>
          <t>5.18</t>
        </is>
      </c>
      <c r="C133" s="12" t="inlineStr">
        <is>
          <t>What does she need?</t>
        </is>
      </c>
      <c r="D133" s="12" t="inlineStr">
        <is>
          <t>Lead details</t>
        </is>
      </c>
      <c r="E133" s="13" t="inlineStr">
        <is>
          <t>Ask Sophia to answer the rest herself</t>
        </is>
      </c>
      <c r="F133" s="14" t="inlineStr">
        <is>
          <t>1. Press "Ask Client"
2. In "Ask the client", press "Copy" beside the portal link
3. Press "Send via WhatsApp"</t>
        </is>
      </c>
      <c r="G133" s="14" t="inlineStr">
        <is>
          <t>"Notification sent to Sophia Wong" (no WhatsApp tab opens here); the summary now reads "Client asked on" with today's date.</t>
        </is>
      </c>
      <c r="H133" s="12" t="inlineStr">
        <is>
          <t>Different from 1.0: the ask is recorded; no 5-minute limit</t>
        </is>
      </c>
      <c r="I133" s="11" t="inlineStr">
        <is>
          <t>Dane</t>
        </is>
      </c>
      <c r="J133" s="15" t="n"/>
      <c r="K133" s="15" t="n"/>
      <c r="L133" s="15" t="n"/>
      <c r="M133" s="16" t="n"/>
      <c r="N133" s="17" t="n"/>
      <c r="O133" s="17" t="n"/>
      <c r="P133" s="15" t="n"/>
    </row>
    <row r="134">
      <c r="A134" s="11" t="n">
        <v>5</v>
      </c>
      <c r="B134" s="11" t="inlineStr">
        <is>
          <t>5.19</t>
        </is>
      </c>
      <c r="C134" s="12" t="inlineStr">
        <is>
          <t>The showroom visit</t>
        </is>
      </c>
      <c r="D134" s="12" t="inlineStr">
        <is>
          <t>Lead details</t>
        </is>
      </c>
      <c r="E134" s="13" t="inlineStr">
        <is>
          <t>Record the showroom meeting</t>
        </is>
      </c>
      <c r="F134" s="14" t="inlineStr">
        <is>
          <t>1. Click "Stage: Contacted", then "Met"
2. "Where": Showroom · "Date &amp; Time": today, now
3. Press "Save"</t>
        </is>
      </c>
      <c r="G134" s="14" t="inlineStr">
        <is>
          <t>"Moved to Met"; the header button reads "Stage: Met".</t>
        </is>
      </c>
      <c r="H134" s="12" t="inlineStr">
        <is>
          <t>Different from 1.0: a meeting log with where and when</t>
        </is>
      </c>
      <c r="I134" s="11" t="inlineStr">
        <is>
          <t>Dane</t>
        </is>
      </c>
      <c r="J134" s="15" t="n"/>
      <c r="K134" s="15" t="n"/>
      <c r="L134" s="15" t="n"/>
      <c r="M134" s="16" t="n"/>
      <c r="N134" s="17" t="n"/>
      <c r="O134" s="17" t="n"/>
      <c r="P134" s="15" t="n"/>
    </row>
    <row r="135">
      <c r="A135" s="11" t="n">
        <v>5</v>
      </c>
      <c r="B135" s="11" t="inlineStr">
        <is>
          <t>5.20</t>
        </is>
      </c>
      <c r="C135" s="12" t="inlineStr">
        <is>
          <t>The showroom visit</t>
        </is>
      </c>
      <c r="D135" s="12" t="inlineStr">
        <is>
          <t>Lead details</t>
        </is>
      </c>
      <c r="E135" s="13" t="inlineStr">
        <is>
          <t>Look back at the call — stages never move back</t>
        </is>
      </c>
      <c r="F135" s="14" t="inlineStr">
        <is>
          <t>1. In the "LEAD STAGES" card, click the "Contacted" row
2. Read the window, then press "Cancel"</t>
        </is>
      </c>
      <c r="G135" s="14" t="inlineStr">
        <is>
          <t>"Contacted details" opens read-only, with "Edit" on the log and "Add Log" at the top; there is no Save button.</t>
        </is>
      </c>
      <c r="H135" s="12" t="inlineStr">
        <is>
          <t>Different from 1.0: done stages open read-only; nothing moves back</t>
        </is>
      </c>
      <c r="I135" s="11" t="inlineStr">
        <is>
          <t>Dane</t>
        </is>
      </c>
      <c r="J135" s="15" t="n"/>
      <c r="K135" s="15" t="n"/>
      <c r="L135" s="15" t="n"/>
      <c r="M135" s="16" t="n"/>
      <c r="N135" s="17" t="n"/>
      <c r="O135" s="17" t="n"/>
      <c r="P135" s="15" t="n"/>
    </row>
    <row r="136">
      <c r="A136" s="11" t="n">
        <v>5</v>
      </c>
      <c r="B136" s="11" t="inlineStr">
        <is>
          <t>5.21</t>
        </is>
      </c>
      <c r="C136" s="12" t="inlineStr">
        <is>
          <t>The showroom visit</t>
        </is>
      </c>
      <c r="D136" s="12" t="inlineStr">
        <is>
          <t>Lead details</t>
        </is>
      </c>
      <c r="E136" s="13" t="inlineStr">
        <is>
          <t>Read her journey at a glance</t>
        </is>
      </c>
      <c r="F136" s="14" t="inlineStr">
        <is>
          <t>1. On "Overview", read the "LEAD STAGES" card
2. Read the three lines under the stages</t>
        </is>
      </c>
      <c r="G136" s="14" t="inlineStr">
        <is>
          <t>New, Contacted ticked, Met current; Next follow-up shows your earliest dated task; Response time reads like "Assigned in … · First contact in …".</t>
        </is>
      </c>
      <c r="H136" s="12" t="inlineStr">
        <is>
          <t>Different from 1.0: one line instead of a Response time card</t>
        </is>
      </c>
      <c r="I136" s="11" t="inlineStr">
        <is>
          <t>Dane</t>
        </is>
      </c>
      <c r="J136" s="15" t="n"/>
      <c r="K136" s="15" t="n"/>
      <c r="L136" s="15" t="n"/>
      <c r="M136" s="16" t="n"/>
      <c r="N136" s="17" t="n"/>
      <c r="O136" s="17" t="n"/>
      <c r="P136" s="15" t="n"/>
    </row>
    <row r="137">
      <c r="A137" s="11" t="n">
        <v>5</v>
      </c>
      <c r="B137" s="11" t="inlineStr">
        <is>
          <t>5.22</t>
        </is>
      </c>
      <c r="C137" s="12" t="inlineStr">
        <is>
          <t>The day's record</t>
        </is>
      </c>
      <c r="D137" s="12" t="inlineStr">
        <is>
          <t>Lead details</t>
        </is>
      </c>
      <c r="E137" s="13" t="inlineStr">
        <is>
          <t>Read everything that happened to her lead</t>
        </is>
      </c>
      <c r="F137" s="14" t="inlineStr">
        <is>
          <t>1. Open the "Activity" tab
2. Scroll through today</t>
        </is>
      </c>
      <c r="G137" s="14" t="inlineStr">
        <is>
          <t>Among the lines: "You assigned Sarah to this lead.", "You edited the lead — …" and "You asked Sophia Wong to answer the questionnaire."</t>
        </is>
      </c>
      <c r="H137" s="12" t="inlineStr">
        <is>
          <t>Different from 1.0: built from records, plus logged edits and asks</t>
        </is>
      </c>
      <c r="I137" s="11" t="inlineStr">
        <is>
          <t>Dane</t>
        </is>
      </c>
      <c r="J137" s="15" t="n"/>
      <c r="K137" s="15" t="n"/>
      <c r="L137" s="15" t="n"/>
      <c r="M137" s="16" t="n"/>
      <c r="N137" s="17" t="n"/>
      <c r="O137" s="17" t="n"/>
      <c r="P137" s="15" t="n"/>
    </row>
    <row r="138">
      <c r="A138" s="11" t="n">
        <v>5</v>
      </c>
      <c r="B138" s="11" t="inlineStr">
        <is>
          <t>5.23</t>
        </is>
      </c>
      <c r="C138" s="12" t="inlineStr">
        <is>
          <t>The day's record</t>
        </is>
      </c>
      <c r="D138" s="12" t="inlineStr">
        <is>
          <t>Leads</t>
        </is>
      </c>
      <c r="E138" s="13" t="inlineStr">
        <is>
          <t>See Sophia's progress from the list</t>
        </is>
      </c>
      <c r="F138" s="14" t="inlineStr">
        <is>
          <t>1. Go back to "Leads"
2. Find Sophia Wong's row</t>
        </is>
      </c>
      <c r="G138" s="14" t="inlineStr">
        <is>
          <t>Stage Met, Sarah under Members, a task in Tasks, and the District, Next follow-up and Last contact columns filled in.</t>
        </is>
      </c>
      <c r="H138" s="12" t="inlineStr">
        <is>
          <t>Same as 1.0</t>
        </is>
      </c>
      <c r="I138" s="11" t="inlineStr">
        <is>
          <t>Dane</t>
        </is>
      </c>
      <c r="J138" s="15" t="n"/>
      <c r="K138" s="15" t="n"/>
      <c r="L138" s="15" t="n"/>
      <c r="M138" s="16" t="n"/>
      <c r="N138" s="17" t="n"/>
      <c r="O138" s="17" t="n"/>
      <c r="P138" s="15" t="n"/>
    </row>
    <row r="139" ht="22" customHeight="1">
      <c r="A139" s="9" t="inlineStr">
        <is>
          <t>Chapter 6 · Quote it — Sophia’s quote, from template to the client’s confirmation.</t>
        </is>
      </c>
      <c r="M139" s="10" t="n"/>
    </row>
    <row r="140">
      <c r="A140" s="11" t="n">
        <v>6</v>
      </c>
      <c r="B140" s="11" t="inlineStr">
        <is>
          <t>6.01</t>
        </is>
      </c>
      <c r="C140" s="12" t="inlineStr">
        <is>
          <t>Start Sophia’s quote</t>
        </is>
      </c>
      <c r="D140" s="12" t="inlineStr">
        <is>
          <t>Quotes</t>
        </is>
      </c>
      <c r="E140" s="13" t="inlineStr">
        <is>
          <t>Start Sophia’s quote from your default template</t>
        </is>
      </c>
      <c r="F140" s="14" t="inlineStr">
        <is>
          <t>1. Open Sophia Wong and click the "Quotes" tab
2. Click "Create Quote"
3. In "Start a quote for Sophia Wong", click the tile marked "Default" (if it is not there, click "View all")</t>
        </is>
      </c>
      <c r="G140" s="14" t="inlineStr">
        <is>
          <t>The quote editor opens as a Draft, "Version 1", titled Sophia Wong; the Template card in General Info shows your template marked "Default".</t>
        </is>
      </c>
      <c r="H140" s="12" t="inlineStr">
        <is>
          <t>Same as 1.0</t>
        </is>
      </c>
      <c r="I140" s="11" t="inlineStr">
        <is>
          <t>Dane</t>
        </is>
      </c>
      <c r="J140" s="15" t="n"/>
      <c r="K140" s="15" t="n"/>
      <c r="L140" s="15" t="n"/>
      <c r="M140" s="16" t="n"/>
      <c r="N140" s="17" t="n"/>
      <c r="O140" s="17" t="n"/>
      <c r="P140" s="15" t="n"/>
    </row>
    <row r="141">
      <c r="A141" s="11" t="n">
        <v>6</v>
      </c>
      <c r="B141" s="11" t="inlineStr">
        <is>
          <t>6.02</t>
        </is>
      </c>
      <c r="C141" s="12" t="inlineStr">
        <is>
          <t>Start Sophia’s quote</t>
        </is>
      </c>
      <c r="D141" s="12" t="inlineStr">
        <is>
          <t>Quotes</t>
        </is>
      </c>
      <c r="E141" s="13" t="inlineStr">
        <is>
          <t>Check what the quote filled in for you</t>
        </is>
      </c>
      <c r="F141" s="14" t="inlineStr">
        <is>
          <t>1. Look at "General Info"
2. Read "Client", "Property Type", "Prepared by" and "Quote Valid Until"
3. Scroll down to "Items"</t>
        </is>
      </c>
      <c r="G141" s="14" t="inlineStr">
        <is>
          <t>Client Sophia Wong, Property Type HDB 4-Room, Prepared by Dane and a valid-until date are filled; Items shows any starter sections your template has.</t>
        </is>
      </c>
      <c r="H141" s="12" t="inlineStr">
        <is>
          <t>Different from 1.0: settings belong to each quote, not the lead</t>
        </is>
      </c>
      <c r="I141" s="11" t="inlineStr">
        <is>
          <t>Dane</t>
        </is>
      </c>
      <c r="J141" s="15" t="n"/>
      <c r="K141" s="15" t="n"/>
      <c r="L141" s="15" t="n"/>
      <c r="M141" s="16" t="n"/>
      <c r="N141" s="17" t="n"/>
      <c r="O141" s="17" t="n"/>
      <c r="P141" s="15" t="n"/>
    </row>
    <row r="142">
      <c r="A142" s="11" t="n">
        <v>6</v>
      </c>
      <c r="B142" s="11" t="inlineStr">
        <is>
          <t>6.03</t>
        </is>
      </c>
      <c r="C142" s="12" t="inlineStr">
        <is>
          <t>Start Sophia’s quote</t>
        </is>
      </c>
      <c r="D142" s="12" t="inlineStr">
        <is>
          <t>Quotes</t>
        </is>
      </c>
      <c r="E142" s="13" t="inlineStr">
        <is>
          <t>Give the quote a clear name</t>
        </is>
      </c>
      <c r="F142" s="14" t="inlineStr">
        <is>
          <t>1. Click "More options" (⋮, top right of the editor)
2. Choose "Rename Quote"
3. Type "Tampines 4-room renovation" in "Quote title"
4. Click "Rename"</t>
        </is>
      </c>
      <c r="G142" s="14" t="inlineStr">
        <is>
          <t>The header title changes to Tampines 4-room renovation and the header says "Saved just now".</t>
        </is>
      </c>
      <c r="H142" s="12" t="inlineStr">
        <is>
          <t>Same as 1.0</t>
        </is>
      </c>
      <c r="I142" s="11" t="inlineStr">
        <is>
          <t>Dane</t>
        </is>
      </c>
      <c r="J142" s="15" t="n"/>
      <c r="K142" s="15" t="n"/>
      <c r="L142" s="15" t="n"/>
      <c r="M142" s="16" t="n"/>
      <c r="N142" s="17" t="n"/>
      <c r="O142" s="17" t="n"/>
      <c r="P142" s="15" t="n"/>
    </row>
    <row r="143">
      <c r="A143" s="11" t="n">
        <v>6</v>
      </c>
      <c r="B143" s="11" t="inlineStr">
        <is>
          <t>6.04</t>
        </is>
      </c>
      <c r="C143" s="12" t="inlineStr">
        <is>
          <t>Start Sophia’s quote</t>
        </is>
      </c>
      <c r="D143" s="12" t="inlineStr">
        <is>
          <t>Quotes</t>
        </is>
      </c>
      <c r="E143" s="13" t="inlineStr">
        <is>
          <t>Try to send the quote while it is still empty</t>
        </is>
      </c>
      <c r="F143" s="14" t="inlineStr">
        <is>
          <t>1. Click "Send" (top right)
2. Choose "Send for confirmation"
3. Click "Show me" on the message</t>
        </is>
      </c>
      <c r="G143" s="14" t="inlineStr">
        <is>
          <t>Nothing is sent: the message reads "Before you send: No items to price", and "Show me" takes you to Items.</t>
        </is>
      </c>
      <c r="H143" s="12" t="inlineStr">
        <is>
          <t>Different from 1.0: Send checks the quote before it goes</t>
        </is>
      </c>
      <c r="I143" s="11" t="inlineStr">
        <is>
          <t>Dane</t>
        </is>
      </c>
      <c r="J143" s="15" t="n"/>
      <c r="K143" s="15" t="n"/>
      <c r="L143" s="15" t="n"/>
      <c r="M143" s="16" t="n"/>
      <c r="N143" s="17" t="n"/>
      <c r="O143" s="17" t="n"/>
      <c r="P143" s="15" t="n"/>
    </row>
    <row r="144">
      <c r="A144" s="11" t="n">
        <v>6</v>
      </c>
      <c r="B144" s="11" t="inlineStr">
        <is>
          <t>6.05</t>
        </is>
      </c>
      <c r="C144" s="12" t="inlineStr">
        <is>
          <t>Add the work</t>
        </is>
      </c>
      <c r="D144" s="12" t="inlineStr">
        <is>
          <t>Quotes</t>
        </is>
      </c>
      <c r="E144" s="13" t="inlineStr">
        <is>
          <t>Add your fluted feature wall panel from My Items</t>
        </is>
      </c>
      <c r="F144" s="14" t="inlineStr">
        <is>
          <t>1. Make sure the button above the table reads "View by: None" (if not, click it and pick "None")
2. Click in the "Add Item" box under the table and type "Fluted"
3. Under "My Items", click "Fluted feature wall panel"</t>
        </is>
      </c>
      <c r="G144" s="14" t="inlineStr">
        <is>
          <t>A "Fluted feature wall panel" line appears with the unit and price you saved in chapter 3; the tab reads "Items (1)".</t>
        </is>
      </c>
      <c r="H144" s="12" t="inlineStr">
        <is>
          <t>Same as 1.0</t>
        </is>
      </c>
      <c r="I144" s="11" t="inlineStr">
        <is>
          <t>Dane</t>
        </is>
      </c>
      <c r="J144" s="15" t="n"/>
      <c r="K144" s="15" t="n"/>
      <c r="L144" s="15" t="n"/>
      <c r="M144" s="16" t="n"/>
      <c r="N144" s="17" t="n"/>
      <c r="O144" s="17" t="n"/>
      <c r="P144" s="15" t="n"/>
    </row>
    <row r="145">
      <c r="A145" s="11" t="n">
        <v>6</v>
      </c>
      <c r="B145" s="11" t="inlineStr">
        <is>
          <t>6.06</t>
        </is>
      </c>
      <c r="C145" s="12" t="inlineStr">
        <is>
          <t>Add the work</t>
        </is>
      </c>
      <c r="D145" s="12" t="inlineStr">
        <is>
          <t>Quotes</t>
        </is>
      </c>
      <c r="E145" s="13" t="inlineStr">
        <is>
          <t>Pick an item from the Price book window</t>
        </is>
      </c>
      <c r="F145" s="14" t="inlineStr">
        <is>
          <t>1. Click "Price book" (the link to the right of the "Add Item" box)
2. Under "My Items", tick "Design consultation and 3D drawings"
3. Click "Add 1 item"</t>
        </is>
      </c>
      <c r="G145" s="14" t="inlineStr">
        <is>
          <t>The "Price book" window closes and "Design consultation and 3D drawings" is added at the end of the table; the tab reads "Items (2)".</t>
        </is>
      </c>
      <c r="H145" s="12" t="inlineStr">
        <is>
          <t>Same as 1.0</t>
        </is>
      </c>
      <c r="I145" s="11" t="inlineStr">
        <is>
          <t>Dane</t>
        </is>
      </c>
      <c r="J145" s="15" t="n"/>
      <c r="K145" s="15" t="n"/>
      <c r="L145" s="15" t="n"/>
      <c r="M145" s="16" t="n"/>
      <c r="N145" s="17" t="n"/>
      <c r="O145" s="17" t="n"/>
      <c r="P145" s="15" t="n"/>
    </row>
    <row r="146">
      <c r="A146" s="11" t="n">
        <v>6</v>
      </c>
      <c r="B146" s="11" t="inlineStr">
        <is>
          <t>6.07</t>
        </is>
      </c>
      <c r="C146" s="12" t="inlineStr">
        <is>
          <t>Add the work</t>
        </is>
      </c>
      <c r="D146" s="12" t="inlineStr">
        <is>
          <t>Quotes</t>
        </is>
      </c>
      <c r="E146" s="13" t="inlineStr">
        <is>
          <t>Paste a block of lines copied from Excel</t>
        </is>
      </c>
      <c r="F146" s="14" t="inlineStr">
        <is>
          <t>1. Open uat-files/sophia-items-to-paste.xlsx in Excel, Numbers or Google Sheets
2. Select all 9 rows (header included) and copy them
3. Click in the "Add Item" box and paste (⌘V, or Ctrl+V on Windows)
4. In "Paste from a spreadsheet", check each column’s pick, then click "Add 8 items"</t>
        </is>
      </c>
      <c r="G146" s="14" t="inlineStr">
        <is>
          <t>The window reads "9 rows · 8 columns…" with "First row is a header" ticked; eight lines land with their qty, unit, cost and category.</t>
        </is>
      </c>
      <c r="H146" s="12" t="inlineStr">
        <is>
          <t>Different from 1.0: paste anywhere, choosing what each column becomes</t>
        </is>
      </c>
      <c r="I146" s="11" t="inlineStr">
        <is>
          <t>Dane</t>
        </is>
      </c>
      <c r="J146" s="15" t="n"/>
      <c r="K146" s="15" t="n"/>
      <c r="L146" s="15" t="n"/>
      <c r="M146" s="16" t="n"/>
      <c r="N146" s="17" t="n"/>
      <c r="O146" s="17" t="n"/>
      <c r="P146" s="15" t="n"/>
    </row>
    <row r="147">
      <c r="A147" s="11" t="n">
        <v>6</v>
      </c>
      <c r="B147" s="11" t="inlineStr">
        <is>
          <t>6.08</t>
        </is>
      </c>
      <c r="C147" s="12" t="inlineStr">
        <is>
          <t>Add the work</t>
        </is>
      </c>
      <c r="D147" s="12" t="inlineStr">
        <is>
          <t>Quotes</t>
        </is>
      </c>
      <c r="E147" s="13" t="inlineStr">
        <is>
          <t>Edit quantities with the keyboard, as in Excel</t>
        </is>
      </c>
      <c r="F147" s="14" t="inlineStr">
        <is>
          <t>1. Click the "Qty" of "Waterproofing to bathroom floors", press ⌘A (Ctrl+A), type 3 and press Enter
2. Press Tab once, then click an empty part of the page
3. Press ⌘Z (Ctrl+Z on Windows)</t>
        </is>
      </c>
      <c r="G147" s="14" t="inlineStr">
        <is>
          <t>Enter jumps down to the next line’s Qty and Tab moves one box right; ⌘Z puts Waterproofing back to 2 and its total follows.</t>
        </is>
      </c>
      <c r="H147" s="12" t="inlineStr">
        <is>
          <t>Different from 1.0: one grid with Excel keys everywhere</t>
        </is>
      </c>
      <c r="I147" s="11" t="inlineStr">
        <is>
          <t>Dane</t>
        </is>
      </c>
      <c r="J147" s="15" t="n"/>
      <c r="K147" s="15" t="n"/>
      <c r="L147" s="15" t="n"/>
      <c r="M147" s="16" t="n"/>
      <c r="N147" s="17" t="n"/>
      <c r="O147" s="17" t="n"/>
      <c r="P147" s="15" t="n"/>
    </row>
    <row r="148">
      <c r="A148" s="11" t="n">
        <v>6</v>
      </c>
      <c r="B148" s="11" t="inlineStr">
        <is>
          <t>6.09</t>
        </is>
      </c>
      <c r="C148" s="12" t="inlineStr">
        <is>
          <t>Add the work</t>
        </is>
      </c>
      <c r="D148" s="12" t="inlineStr">
        <is>
          <t>Quotes</t>
        </is>
      </c>
      <c r="E148" s="13" t="inlineStr">
        <is>
          <t>Drag a line to a new place</t>
        </is>
      </c>
      <c r="F148" s="14" t="inlineStr">
        <is>
          <t>1. Hover "Painting, whole unit"
2. Grab its handle at the left of the row ("Drag to reorder")
3. Drag it above "Lighting points" and let go</t>
        </is>
      </c>
      <c r="G148" s="14" t="inlineStr">
        <is>
          <t>Painting now sits above Lighting points and the line numbers follow the new order.</t>
        </is>
      </c>
      <c r="H148" s="12" t="inlineStr">
        <is>
          <t>Same as 1.0</t>
        </is>
      </c>
      <c r="I148" s="11" t="inlineStr">
        <is>
          <t>Dane</t>
        </is>
      </c>
      <c r="J148" s="15" t="n"/>
      <c r="K148" s="15" t="n"/>
      <c r="L148" s="15" t="n"/>
      <c r="M148" s="16" t="n"/>
      <c r="N148" s="17" t="n"/>
      <c r="O148" s="17" t="n"/>
      <c r="P148" s="15" t="n"/>
    </row>
    <row r="149">
      <c r="A149" s="11" t="n">
        <v>6</v>
      </c>
      <c r="B149" s="11" t="inlineStr">
        <is>
          <t>6.10</t>
        </is>
      </c>
      <c r="C149" s="12" t="inlineStr">
        <is>
          <t>Add the work</t>
        </is>
      </c>
      <c r="D149" s="12" t="inlineStr">
        <is>
          <t>Quotes</t>
        </is>
      </c>
      <c r="E149" s="13" t="inlineStr">
        <is>
          <t>Group the kitchen lines into a section</t>
        </is>
      </c>
      <c r="F149" s="14" t="inlineStr">
        <is>
          <t>1. Tick the boxes of "Hacking of kitchen floor and wall tiles", "Homogeneous floor tiles, supply and lay", "Kitchen top and bottom cabinets" and "Quartz countertop"
2. Click "New section" above the table
3. Type "Kitchen" over "New section" and press Enter</t>
        </is>
      </c>
      <c r="G149" s="14" t="inlineStr">
        <is>
          <t>A "Kitchen" section now holds the four lines and shows their total; the other lines stay outside it.</t>
        </is>
      </c>
      <c r="H149" s="12" t="inlineStr">
        <is>
          <t>Different from 1.0: sections belong to this quote, not the lead</t>
        </is>
      </c>
      <c r="I149" s="11" t="inlineStr">
        <is>
          <t>Dane</t>
        </is>
      </c>
      <c r="J149" s="15" t="n"/>
      <c r="K149" s="15" t="n"/>
      <c r="L149" s="15" t="n"/>
      <c r="M149" s="16" t="n"/>
      <c r="N149" s="17" t="n"/>
      <c r="O149" s="17" t="n"/>
      <c r="P149" s="15" t="n"/>
    </row>
    <row r="150">
      <c r="A150" s="11" t="n">
        <v>6</v>
      </c>
      <c r="B150" s="11" t="inlineStr">
        <is>
          <t>6.11</t>
        </is>
      </c>
      <c r="C150" s="12" t="inlineStr">
        <is>
          <t>Add the work</t>
        </is>
      </c>
      <c r="D150" s="12" t="inlineStr">
        <is>
          <t>Quotes</t>
        </is>
      </c>
      <c r="E150" s="13" t="inlineStr">
        <is>
          <t>Add a sub-section inside Kitchen</t>
        </is>
      </c>
      <c r="F150" s="14" t="inlineStr">
        <is>
          <t>1. Inside Kitchen, tick "Kitchen top and bottom cabinets" and "Quartz countertop"
2. In the bar at the bottom of the screen, click "Section"
3. Type "Cabinetry" and press Enter</t>
        </is>
      </c>
      <c r="G150" s="14" t="inlineStr">
        <is>
          <t>A "Cabinetry" sub-section sits inside Kitchen with the two lines, numbered one level down.</t>
        </is>
      </c>
      <c r="H150" s="12" t="inlineStr">
        <is>
          <t>Same as 1.0</t>
        </is>
      </c>
      <c r="I150" s="11" t="inlineStr">
        <is>
          <t>Dane</t>
        </is>
      </c>
      <c r="J150" s="15" t="n"/>
      <c r="K150" s="15" t="n"/>
      <c r="L150" s="15" t="n"/>
      <c r="M150" s="16" t="n"/>
      <c r="N150" s="17" t="n"/>
      <c r="O150" s="17" t="n"/>
      <c r="P150" s="15" t="n"/>
    </row>
    <row r="151">
      <c r="A151" s="11" t="n">
        <v>6</v>
      </c>
      <c r="B151" s="11" t="inlineStr">
        <is>
          <t>6.12</t>
        </is>
      </c>
      <c r="C151" s="12" t="inlineStr">
        <is>
          <t>Decide how each line prints</t>
        </is>
      </c>
      <c r="D151" s="12" t="inlineStr">
        <is>
          <t>Quotes</t>
        </is>
      </c>
      <c r="E151" s="13" t="inlineStr">
        <is>
          <t>Give the design work free of charge</t>
        </is>
      </c>
      <c r="F151" s="14" t="inlineStr">
        <is>
          <t>1. Hover "Design consultation and 3D drawings" and click its "More options" (⋮)
2. Choose "Print as"
3. Choose "FOC" (note "By client" is in the list too)</t>
        </is>
      </c>
      <c r="G151" s="14" t="inlineStr">
        <is>
          <t>An "FOC" tag appears beside the line, the message says it prints as FOC and is not counted, and the Subtotal drops.</t>
        </is>
      </c>
      <c r="H151" s="12" t="inlineStr">
        <is>
          <t>Same as 1.0</t>
        </is>
      </c>
      <c r="I151" s="11" t="inlineStr">
        <is>
          <t>Dane</t>
        </is>
      </c>
      <c r="J151" s="15" t="n"/>
      <c r="K151" s="15" t="n"/>
      <c r="L151" s="15" t="n"/>
      <c r="M151" s="16" t="n"/>
      <c r="N151" s="17" t="n"/>
      <c r="O151" s="17" t="n"/>
      <c r="P151" s="15" t="n"/>
    </row>
    <row r="152">
      <c r="A152" s="11" t="n">
        <v>6</v>
      </c>
      <c r="B152" s="11" t="inlineStr">
        <is>
          <t>6.13</t>
        </is>
      </c>
      <c r="C152" s="12" t="inlineStr">
        <is>
          <t>Decide how each line prints</t>
        </is>
      </c>
      <c r="D152" s="12" t="inlineStr">
        <is>
          <t>Quotes</t>
        </is>
      </c>
      <c r="E152" s="13" t="inlineStr">
        <is>
          <t>Highlight the countertop line</t>
        </is>
      </c>
      <c r="F152" s="14" t="inlineStr">
        <is>
          <t>1. Open "More options" (⋮) on "Quartz countertop"
2. Choose "Highlight"
3. Choose "Accent text"</t>
        </is>
      </c>
      <c r="G152" s="14" t="inlineStr">
        <is>
          <t>The line’s words turn your brand’s accent colour and the message says "Highlighted — Accent text".</t>
        </is>
      </c>
      <c r="H152" s="12" t="inlineStr">
        <is>
          <t>Same as 1.0</t>
        </is>
      </c>
      <c r="I152" s="11" t="inlineStr">
        <is>
          <t>Dane</t>
        </is>
      </c>
      <c r="J152" s="15" t="n"/>
      <c r="K152" s="15" t="n"/>
      <c r="L152" s="15" t="n"/>
      <c r="M152" s="16" t="n"/>
      <c r="N152" s="17" t="n"/>
      <c r="O152" s="17" t="n"/>
      <c r="P152" s="15" t="n"/>
    </row>
    <row r="153">
      <c r="A153" s="11" t="n">
        <v>6</v>
      </c>
      <c r="B153" s="11" t="inlineStr">
        <is>
          <t>6.14</t>
        </is>
      </c>
      <c r="C153" s="12" t="inlineStr">
        <is>
          <t>Decide how each line prints</t>
        </is>
      </c>
      <c r="D153" s="12" t="inlineStr">
        <is>
          <t>Quotes</t>
        </is>
      </c>
      <c r="E153" s="13" t="inlineStr">
        <is>
          <t>Offer the fluted wall as an optional extra</t>
        </is>
      </c>
      <c r="F153" s="14" t="inlineStr">
        <is>
          <t>1. Open "More options" (⋮) on "Fluted feature wall panel"
2. Choose "Mark as Optional"</t>
        </is>
      </c>
      <c r="G153" s="14" t="inlineStr">
        <is>
          <t>The message says it prints in its own section, out of the totals; the Subtotal no longer includes the panel.</t>
        </is>
      </c>
      <c r="H153" s="12" t="inlineStr">
        <is>
          <t>Different from 1.0: optional lines never count in the totals</t>
        </is>
      </c>
      <c r="I153" s="11" t="inlineStr">
        <is>
          <t>Dane</t>
        </is>
      </c>
      <c r="J153" s="15" t="n"/>
      <c r="K153" s="15" t="n"/>
      <c r="L153" s="15" t="n"/>
      <c r="M153" s="16" t="n"/>
      <c r="N153" s="17" t="n"/>
      <c r="O153" s="17" t="n"/>
      <c r="P153" s="15" t="n"/>
    </row>
    <row r="154">
      <c r="A154" s="11" t="n">
        <v>6</v>
      </c>
      <c r="B154" s="11" t="inlineStr">
        <is>
          <t>6.15</t>
        </is>
      </c>
      <c r="C154" s="12" t="inlineStr">
        <is>
          <t>Decide how each line prints</t>
        </is>
      </c>
      <c r="D154" s="12" t="inlineStr">
        <is>
          <t>Quotes</t>
        </is>
      </c>
      <c r="E154" s="13" t="inlineStr">
        <is>
          <t>See the warning when a line sells below cost</t>
        </is>
      </c>
      <c r="F154" s="14" t="inlineStr">
        <is>
          <t>1. Make sure the "Cost" column shows (turn it on in "Column settings" if not)
2. Click the "Unit Price" of "Lighting points", press ⌘A (Ctrl+A), type 40 and press Enter
3. Hover the red "Below cost" tag
4. Click "Undo" (the curved arrow above the table)</t>
        </is>
      </c>
      <c r="G154" s="14" t="inlineStr">
        <is>
          <t>A red "Below cost" tag appears; its tip says how far under cost it sells. Undo puts 65 back and the tag goes.</t>
        </is>
      </c>
      <c r="H154" s="12" t="inlineStr">
        <is>
          <t>Same as 1.0</t>
        </is>
      </c>
      <c r="I154" s="11" t="inlineStr">
        <is>
          <t>Dane</t>
        </is>
      </c>
      <c r="J154" s="15" t="n"/>
      <c r="K154" s="15" t="n"/>
      <c r="L154" s="15" t="n"/>
      <c r="M154" s="16" t="n"/>
      <c r="N154" s="17" t="n"/>
      <c r="O154" s="17" t="n"/>
      <c r="P154" s="15" t="n"/>
    </row>
    <row r="155">
      <c r="A155" s="11" t="n">
        <v>6</v>
      </c>
      <c r="B155" s="11" t="inlineStr">
        <is>
          <t>6.16</t>
        </is>
      </c>
      <c r="C155" s="12" t="inlineStr">
        <is>
          <t>Decide how each line prints</t>
        </is>
      </c>
      <c r="D155" s="12" t="inlineStr">
        <is>
          <t>Quotes</t>
        </is>
      </c>
      <c r="E155" s="13" t="inlineStr">
        <is>
          <t>Show who supplies a line and its product link</t>
        </is>
      </c>
      <c r="F155" s="14" t="inlineStr">
        <is>
          <t>1. Click "Column settings" (the sliders icon above the table), switch on "Vendor/Sub" and "Website Link", click "Done"
2. On "Kitchen top and bottom cabinets", click "Add vendor", choose "Add vendor", type "Wood Craft Carpentry", click "Save"
3. In the same line’s "Add link" box type "woodcraft.sg" and press Enter</t>
        </is>
      </c>
      <c r="G155" s="14" t="inlineStr">
        <is>
          <t>Both columns appear; the cabinets line shows vendor Wood Craft Carpentry and the link woodcraft.sg. Neither ever prints for the client.</t>
        </is>
      </c>
      <c r="H155" s="12" t="inlineStr">
        <is>
          <t>Same as 1.0</t>
        </is>
      </c>
      <c r="I155" s="11" t="inlineStr">
        <is>
          <t>Dane</t>
        </is>
      </c>
      <c r="J155" s="15" t="n"/>
      <c r="K155" s="15" t="n"/>
      <c r="L155" s="15" t="n"/>
      <c r="M155" s="16" t="n"/>
      <c r="N155" s="17" t="n"/>
      <c r="O155" s="17" t="n"/>
      <c r="P155" s="15" t="n"/>
    </row>
    <row r="156">
      <c r="A156" s="11" t="n">
        <v>6</v>
      </c>
      <c r="B156" s="11" t="inlineStr">
        <is>
          <t>6.17</t>
        </is>
      </c>
      <c r="C156" s="12" t="inlineStr">
        <is>
          <t>Get the money right</t>
        </is>
      </c>
      <c r="D156" s="12" t="inlineStr">
        <is>
          <t>Quotes</t>
        </is>
      </c>
      <c r="E156" s="13" t="inlineStr">
        <is>
          <t>Add a named discount</t>
        </is>
      </c>
      <c r="F156" s="14" t="inlineStr">
        <is>
          <t>1. In the totals card under the table, click "Add a discount"
2. Type "Opening promotion" in "Discount name"
3. Click the "%" button next to it, choose "S$", then type 500
4. Click anywhere outside the box</t>
        </is>
      </c>
      <c r="G156" s="14" t="inlineStr">
        <is>
          <t>A row "Opening promotion −S$500.00" appears above GST and the Total drops by the discount and its GST.</t>
        </is>
      </c>
      <c r="H156" s="12" t="inlineStr">
        <is>
          <t>Different from 1.0: several named discounts per quote, not one per lead</t>
        </is>
      </c>
      <c r="I156" s="11" t="inlineStr">
        <is>
          <t>Dane</t>
        </is>
      </c>
      <c r="J156" s="15" t="n"/>
      <c r="K156" s="15" t="n"/>
      <c r="L156" s="15" t="n"/>
      <c r="M156" s="16" t="n"/>
      <c r="N156" s="17" t="n"/>
      <c r="O156" s="17" t="n"/>
      <c r="P156" s="15" t="n"/>
    </row>
    <row r="157">
      <c r="A157" s="11" t="n">
        <v>6</v>
      </c>
      <c r="B157" s="11" t="inlineStr">
        <is>
          <t>6.18</t>
        </is>
      </c>
      <c r="C157" s="12" t="inlineStr">
        <is>
          <t>Get the money right</t>
        </is>
      </c>
      <c r="D157" s="12" t="inlineStr">
        <is>
          <t>Quotes</t>
        </is>
      </c>
      <c r="E157" s="13" t="inlineStr">
        <is>
          <t>Check your margin by category, then look at rounding</t>
        </is>
      </c>
      <c r="F157" s="14" t="inlineStr">
        <is>
          <t>1. In "By category" (left of the totals), click "Margin"
2. Read each category’s margin and "Margin · owners only" in the totals
3. Click "Round Prices" next to Total, look at the list, then click "Cancel"</t>
        </is>
      </c>
      <c r="G157" s="14" t="inlineStr">
        <is>
          <t>As owner you see a margin % per category; "Round selling prices" lists the lines it would change and Cancel leaves them as they are.</t>
        </is>
      </c>
      <c r="H157" s="12" t="inlineStr">
        <is>
          <t>Same as 1.0</t>
        </is>
      </c>
      <c r="I157" s="11" t="inlineStr">
        <is>
          <t>Dane</t>
        </is>
      </c>
      <c r="J157" s="15" t="n"/>
      <c r="K157" s="15" t="n"/>
      <c r="L157" s="15" t="n"/>
      <c r="M157" s="16" t="n"/>
      <c r="N157" s="17" t="n"/>
      <c r="O157" s="17" t="n"/>
      <c r="P157" s="15" t="n"/>
    </row>
    <row r="158">
      <c r="A158" s="11" t="n">
        <v>6</v>
      </c>
      <c r="B158" s="11" t="inlineStr">
        <is>
          <t>6.19</t>
        </is>
      </c>
      <c r="C158" s="12" t="inlineStr">
        <is>
          <t>Schedule, terms, files and signature</t>
        </is>
      </c>
      <c r="D158" s="12" t="inlineStr">
        <is>
          <t>Quotes</t>
        </is>
      </c>
      <c r="E158" s="13" t="inlineStr">
        <is>
          <t>Try another payment split, then undo it</t>
        </is>
      </c>
      <c r="F158" s="14" t="inlineStr">
        <is>
          <t>1. Click the "Payment Schedule" tab
2. Click the split button (it shows the current split, e.g. "Default: 10/30/30/30")
3. Choose "20/40/40"
4. Click "Undo" on the message</t>
        </is>
      </c>
      <c r="G158" s="14" t="inlineStr">
        <is>
          <t>The rows change to 20/40/40 with amounts worked out from the quote total; Undo brings the original split back.</t>
        </is>
      </c>
      <c r="H158" s="12" t="inlineStr">
        <is>
          <t>Same as 1.0</t>
        </is>
      </c>
      <c r="I158" s="11" t="inlineStr">
        <is>
          <t>Dane</t>
        </is>
      </c>
      <c r="J158" s="15" t="n"/>
      <c r="K158" s="15" t="n"/>
      <c r="L158" s="15" t="n"/>
      <c r="M158" s="16" t="n"/>
      <c r="N158" s="17" t="n"/>
      <c r="O158" s="17" t="n"/>
      <c r="P158" s="15" t="n"/>
    </row>
    <row r="159">
      <c r="A159" s="11" t="n">
        <v>6</v>
      </c>
      <c r="B159" s="11" t="inlineStr">
        <is>
          <t>6.20</t>
        </is>
      </c>
      <c r="C159" s="12" t="inlineStr">
        <is>
          <t>Schedule, terms, files and signature</t>
        </is>
      </c>
      <c r="D159" s="12" t="inlineStr">
        <is>
          <t>Quotes</t>
        </is>
      </c>
      <c r="E159" s="13" t="inlineStr">
        <is>
          <t>Add your standard Terms and Conditions</t>
        </is>
      </c>
      <c r="F159" s="14" t="inlineStr">
        <is>
          <t>1. Click the "Terms and Conditions" tab
2. Click "My Templates"
3. Click "Add" beside "Terms and Conditions for HDB Works"</t>
        </is>
      </c>
      <c r="G159" s="14" t="inlineStr">
        <is>
          <t>The terms fill the box, the message says "“Terms and Conditions for HDB Works” added", and "Show in client view" is on.</t>
        </is>
      </c>
      <c r="H159" s="12" t="inlineStr">
        <is>
          <t>Same as 1.0</t>
        </is>
      </c>
      <c r="I159" s="11" t="inlineStr">
        <is>
          <t>Dane</t>
        </is>
      </c>
      <c r="J159" s="15" t="n"/>
      <c r="K159" s="15" t="n"/>
      <c r="L159" s="15" t="n"/>
      <c r="M159" s="16" t="n"/>
      <c r="N159" s="17" t="n"/>
      <c r="O159" s="17" t="n"/>
      <c r="P159" s="15" t="n"/>
    </row>
    <row r="160">
      <c r="A160" s="11" t="n">
        <v>6</v>
      </c>
      <c r="B160" s="11" t="inlineStr">
        <is>
          <t>6.21</t>
        </is>
      </c>
      <c r="C160" s="12" t="inlineStr">
        <is>
          <t>Schedule, terms, files and signature</t>
        </is>
      </c>
      <c r="D160" s="12" t="inlineStr">
        <is>
          <t>Quotes</t>
        </is>
      </c>
      <c r="E160" s="13" t="inlineStr">
        <is>
          <t>Let Maison AI draft the Additional Notes</t>
        </is>
      </c>
      <c r="F160" s="14" t="inlineStr">
        <is>
          <t>1. Click the "Additional Notes" tab
2. Click "Write with AI"
3. Read the notes it wrote</t>
        </is>
      </c>
      <c r="G160" s="14" t="inlineStr">
        <is>
          <t>After a short "Writing…", notes about this quote appear and the message says "Maison AI wrote your additional notes", with Undo.</t>
        </is>
      </c>
      <c r="H160" s="12" t="inlineStr">
        <is>
          <t>New in 2.0</t>
        </is>
      </c>
      <c r="I160" s="11" t="inlineStr">
        <is>
          <t>Dane</t>
        </is>
      </c>
      <c r="J160" s="15" t="n"/>
      <c r="K160" s="15" t="n"/>
      <c r="L160" s="15" t="n"/>
      <c r="M160" s="16" t="n"/>
      <c r="N160" s="17" t="n"/>
      <c r="O160" s="17" t="n"/>
      <c r="P160" s="15" t="n"/>
    </row>
    <row r="161">
      <c r="A161" s="11" t="n">
        <v>6</v>
      </c>
      <c r="B161" s="11" t="inlineStr">
        <is>
          <t>6.22</t>
        </is>
      </c>
      <c r="C161" s="12" t="inlineStr">
        <is>
          <t>Schedule, terms, files and signature</t>
        </is>
      </c>
      <c r="D161" s="12" t="inlineStr">
        <is>
          <t>Quotes</t>
        </is>
      </c>
      <c r="E161" s="13" t="inlineStr">
        <is>
          <t>Share a mood-board file with the quote</t>
        </is>
      </c>
      <c r="F161" s="14" t="inlineStr">
        <is>
          <t>1. Click the "Files (0)" tab
2. Drag uat-files/kitchen-moodboard.jpg from your computer onto "Drop your file or browse"
3. Hover "Show in client view" and read its tip</t>
        </is>
      </c>
      <c r="G161" s="14" t="inlineStr">
        <is>
          <t>A tile for the file appears, the tab reads "Files (1)", and the tip says the files show on the client’s confirmation page.</t>
        </is>
      </c>
      <c r="H161" s="12" t="inlineStr">
        <is>
          <t>Same as 1.0</t>
        </is>
      </c>
      <c r="I161" s="11" t="inlineStr">
        <is>
          <t>Dane</t>
        </is>
      </c>
      <c r="J161" s="15" t="n"/>
      <c r="K161" s="15" t="n"/>
      <c r="L161" s="15" t="n"/>
      <c r="M161" s="16" t="n"/>
      <c r="N161" s="17" t="n"/>
      <c r="O161" s="17" t="n"/>
      <c r="P161" s="15" t="n"/>
    </row>
    <row r="162">
      <c r="A162" s="11" t="n">
        <v>6</v>
      </c>
      <c r="B162" s="11" t="inlineStr">
        <is>
          <t>6.23</t>
        </is>
      </c>
      <c r="C162" s="12" t="inlineStr">
        <is>
          <t>Schedule, terms, files and signature</t>
        </is>
      </c>
      <c r="D162" s="12" t="inlineStr">
        <is>
          <t>Quotes</t>
        </is>
      </c>
      <c r="E162" s="13" t="inlineStr">
        <is>
          <t>Sign the quote with a drawn signature</t>
        </is>
      </c>
      <c r="F162" s="14" t="inlineStr">
        <is>
          <t>1. Click the "Signature" tab
2. Click "Edit" beside your name
3. Under "Show signature as" pick "Draw" and draw in the box
4. Click "Save"</t>
        </is>
      </c>
      <c r="G162" s="14" t="inlineStr">
        <is>
          <t>The message says "Signature saved" and your drawing shows in the box, beside the client’s side.</t>
        </is>
      </c>
      <c r="H162" s="12" t="inlineStr">
        <is>
          <t>Same as 1.0</t>
        </is>
      </c>
      <c r="I162" s="11" t="inlineStr">
        <is>
          <t>Dane</t>
        </is>
      </c>
      <c r="J162" s="15" t="n"/>
      <c r="K162" s="15" t="n"/>
      <c r="L162" s="15" t="n"/>
      <c r="M162" s="16" t="n"/>
      <c r="N162" s="17" t="n"/>
      <c r="O162" s="17" t="n"/>
      <c r="P162" s="15" t="n"/>
    </row>
    <row r="163">
      <c r="A163" s="11" t="n">
        <v>6</v>
      </c>
      <c r="B163" s="11" t="inlineStr">
        <is>
          <t>6.24</t>
        </is>
      </c>
      <c r="C163" s="12" t="inlineStr">
        <is>
          <t>See it as Sophia will</t>
        </is>
      </c>
      <c r="D163" s="12" t="inlineStr">
        <is>
          <t>Quotes</t>
        </is>
      </c>
      <c r="E163" s="13" t="inlineStr">
        <is>
          <t>Watch the client’s view while you edit</t>
        </is>
      </c>
      <c r="F163" s="14" t="inlineStr">
        <is>
          <t>1. Click the eye icon ("Client view") in the header
2. Scroll through the pages in the pane
3. Read the note at the foot of the pane</t>
        </is>
      </c>
      <c r="G163" s="14" t="inlineStr">
        <is>
          <t>A "Client view" pane shows the quote as Sophia will get it; the note says "Redraws as you build. Cost and markup never print."</t>
        </is>
      </c>
      <c r="H163" s="12" t="inlineStr">
        <is>
          <t>New in 2.0</t>
        </is>
      </c>
      <c r="I163" s="11" t="inlineStr">
        <is>
          <t>Dane</t>
        </is>
      </c>
      <c r="J163" s="15" t="n"/>
      <c r="K163" s="15" t="n"/>
      <c r="L163" s="15" t="n"/>
      <c r="M163" s="16" t="n"/>
      <c r="N163" s="17" t="n"/>
      <c r="O163" s="17" t="n"/>
      <c r="P163" s="15" t="n"/>
    </row>
    <row r="164">
      <c r="A164" s="11" t="n">
        <v>6</v>
      </c>
      <c r="B164" s="11" t="inlineStr">
        <is>
          <t>6.25</t>
        </is>
      </c>
      <c r="C164" s="12" t="inlineStr">
        <is>
          <t>See it as Sophia will</t>
        </is>
      </c>
      <c r="D164" s="12" t="inlineStr">
        <is>
          <t>Quotes</t>
        </is>
      </c>
      <c r="E164" s="13" t="inlineStr">
        <is>
          <t>Preview the quote and choose what Sophia sees</t>
        </is>
      </c>
      <c r="F164" s="14" t="inlineStr">
        <is>
          <t>1. Click "Preview" in the header
2. Click "What your client sees" and make sure "Optional works" is on
3. Switch on "Internal copy", read the grey card, then switch it off
4. Click the back arrow ("Back to the editor")</t>
        </is>
      </c>
      <c r="G164" s="14" t="inlineStr">
        <is>
          <t>The pages match the client view; "Internal copy" adds a watermark plus "Internal — never printed for the client" with Cost, Selling and Margin.</t>
        </is>
      </c>
      <c r="H164" s="12" t="inlineStr">
        <is>
          <t>Different from 1.0: you choose, per quote, what the client sees</t>
        </is>
      </c>
      <c r="I164" s="11" t="inlineStr">
        <is>
          <t>Dane</t>
        </is>
      </c>
      <c r="J164" s="15" t="n"/>
      <c r="K164" s="15" t="n"/>
      <c r="L164" s="15" t="n"/>
      <c r="M164" s="16" t="n"/>
      <c r="N164" s="17" t="n"/>
      <c r="O164" s="17" t="n"/>
      <c r="P164" s="15" t="n"/>
    </row>
    <row r="165">
      <c r="A165" s="11" t="n">
        <v>6</v>
      </c>
      <c r="B165" s="11" t="inlineStr">
        <is>
          <t>6.26</t>
        </is>
      </c>
      <c r="C165" s="12" t="inlineStr">
        <is>
          <t>Before it goes out</t>
        </is>
      </c>
      <c r="D165" s="12" t="inlineStr">
        <is>
          <t>Quotes</t>
        </is>
      </c>
      <c r="E165" s="13" t="inlineStr">
        <is>
          <t>Save this quote’s setup as a new template</t>
        </is>
      </c>
      <c r="F165" s="14" t="inlineStr">
        <is>
          <t>1. Click "More options" (⋮) › "Save as Template"
2. Keep the name "Tampines 4-room renovation template"
3. Click "Save template"</t>
        </is>
      </c>
      <c r="G165" s="14" t="inlineStr">
        <is>
          <t>The message says it was saved as a draft template, with "Open"; it waits in Company › Templates › Quotes as a draft.</t>
        </is>
      </c>
      <c r="H165" s="12" t="inlineStr">
        <is>
          <t>Different from 1.0: keeps settings and sections, never the lines</t>
        </is>
      </c>
      <c r="I165" s="11" t="inlineStr">
        <is>
          <t>Dane</t>
        </is>
      </c>
      <c r="J165" s="15" t="n"/>
      <c r="K165" s="15" t="n"/>
      <c r="L165" s="15" t="n"/>
      <c r="M165" s="16" t="n"/>
      <c r="N165" s="17" t="n"/>
      <c r="O165" s="17" t="n"/>
      <c r="P165" s="15" t="n"/>
    </row>
    <row r="166">
      <c r="A166" s="11" t="n">
        <v>6</v>
      </c>
      <c r="B166" s="11" t="inlineStr">
        <is>
          <t>6.27</t>
        </is>
      </c>
      <c r="C166" s="12" t="inlineStr">
        <is>
          <t>Before it goes out</t>
        </is>
      </c>
      <c r="D166" s="12" t="inlineStr">
        <is>
          <t>Quotes</t>
        </is>
      </c>
      <c r="E166" s="13" t="inlineStr">
        <is>
          <t>Leave a note on a line for your team</t>
        </is>
      </c>
      <c r="F166" s="14" t="inlineStr">
        <is>
          <t>1. Open "More options" (⋮) on "Full-height wardrobe" › "Comment"
2. Type "Check hinge brand with supplier" in "Chat with your team here"
3. Click "Submit", then close the panel
4. Click the "Comments" icon in the header</t>
        </is>
      </c>
      <c r="G166" s="14" t="inlineStr">
        <is>
          <t>Your comment shows as "You" with "Clients can’t see these comments"; the line shows a comment count; the header’s Comments lists the thread.</t>
        </is>
      </c>
      <c r="H166" s="12" t="inlineStr">
        <is>
          <t>Same as 1.0</t>
        </is>
      </c>
      <c r="I166" s="11" t="inlineStr">
        <is>
          <t>Dane</t>
        </is>
      </c>
      <c r="J166" s="15" t="n"/>
      <c r="K166" s="15" t="n"/>
      <c r="L166" s="15" t="n"/>
      <c r="M166" s="16" t="n"/>
      <c r="N166" s="17" t="n"/>
      <c r="O166" s="17" t="n"/>
      <c r="P166" s="15" t="n"/>
    </row>
    <row r="167">
      <c r="A167" s="11" t="n">
        <v>6</v>
      </c>
      <c r="B167" s="11" t="inlineStr">
        <is>
          <t>6.28</t>
        </is>
      </c>
      <c r="C167" s="12" t="inlineStr">
        <is>
          <t>Send it to Sophia</t>
        </is>
      </c>
      <c r="D167" s="12" t="inlineStr">
        <is>
          <t>Quotes</t>
        </is>
      </c>
      <c r="E167" s="13" t="inlineStr">
        <is>
          <t>Send the quote to Sophia for confirmation</t>
        </is>
      </c>
      <c r="F167" s="14" t="inlineStr">
        <is>
          <t>1. Click "Send" › "Send for confirmation"
2. Check "Client name" and the phone 9765 4321
3. Click "Send via WhatsApp" — a WhatsApp tab opens: close it, do not send</t>
        </is>
      </c>
      <c r="G167" s="14" t="inlineStr">
        <is>
          <t>No approval step for you: the status turns "Sent to Client" and a banner says Sophia has version 1, with "Revise — new version".</t>
        </is>
      </c>
      <c r="H167" s="12" t="inlineStr">
        <is>
          <t>Same as 1.0</t>
        </is>
      </c>
      <c r="I167" s="11" t="inlineStr">
        <is>
          <t>Dane</t>
        </is>
      </c>
      <c r="J167" s="15" t="n"/>
      <c r="K167" s="15" t="n"/>
      <c r="L167" s="15" t="n"/>
      <c r="M167" s="16" t="n"/>
      <c r="N167" s="17" t="n"/>
      <c r="O167" s="17" t="n"/>
      <c r="P167" s="15" t="n"/>
    </row>
    <row r="168">
      <c r="A168" s="11" t="n">
        <v>6</v>
      </c>
      <c r="B168" s="11" t="inlineStr">
        <is>
          <t>6.29</t>
        </is>
      </c>
      <c r="C168" s="12" t="inlineStr">
        <is>
          <t>Send it to Sophia</t>
        </is>
      </c>
      <c r="D168" s="12" t="inlineStr">
        <is>
          <t>Quotes</t>
        </is>
      </c>
      <c r="E168" s="13" t="inlineStr">
        <is>
          <t>Open the confirmation link the way Sophia will</t>
        </is>
      </c>
      <c r="F168" s="14" t="inlineStr">
        <is>
          <t>1. In the editor click "More options" (⋮) › "Copy confirmation link"
2. Open a new browser tab, paste the link and press Enter
3. Look through the page — do not confirm yet
4. Keep this tab open for later</t>
        </is>
      </c>
      <c r="G168" s="14" t="inlineStr">
        <is>
          <t>Your studio and "Private link" on top, the quote, and "Confirm this quote" with the total, the fluted panel under "Optional works" and your file.</t>
        </is>
      </c>
      <c r="H168" s="12" t="inlineStr">
        <is>
          <t>Different from 1.0: the client confirms on a link, no code</t>
        </is>
      </c>
      <c r="I168" s="18" t="inlineStr">
        <is>
          <t>Sophia (client)</t>
        </is>
      </c>
      <c r="J168" s="15" t="n"/>
      <c r="K168" s="15" t="n"/>
      <c r="L168" s="15" t="n"/>
      <c r="M168" s="16" t="n"/>
      <c r="N168" s="17" t="n"/>
      <c r="O168" s="17" t="n"/>
      <c r="P168" s="15" t="n"/>
    </row>
    <row r="169">
      <c r="A169" s="11" t="n">
        <v>6</v>
      </c>
      <c r="B169" s="11" t="inlineStr">
        <is>
          <t>6.30</t>
        </is>
      </c>
      <c r="C169" s="12" t="inlineStr">
        <is>
          <t>Send it to Sophia</t>
        </is>
      </c>
      <c r="D169" s="12" t="inlineStr">
        <is>
          <t>Quotes</t>
        </is>
      </c>
      <c r="E169" s="13" t="inlineStr">
        <is>
          <t>Set a due date and get a follow-up task</t>
        </is>
      </c>
      <c r="F169" s="14" t="inlineStr">
        <is>
          <t>1. Back in the editor, click "Close" (✕) to return to Sophia’s "Quotes" tab
2. In the "Due" column click the calendar icon ("Set due date")
3. Pick the date three days from today
4. Click "View" on the message</t>
        </is>
      </c>
      <c r="G169" s="14" t="inlineStr">
        <is>
          <t>The message says "Due date set — follow-up task added"; the Tasks tab lists "Follow up on quote …" due that day, assigned to Dane.</t>
        </is>
      </c>
      <c r="H169" s="12" t="inlineStr">
        <is>
          <t>New in 2.0</t>
        </is>
      </c>
      <c r="I169" s="11" t="inlineStr">
        <is>
          <t>Dane</t>
        </is>
      </c>
      <c r="J169" s="15" t="n"/>
      <c r="K169" s="15" t="n"/>
      <c r="L169" s="15" t="n"/>
      <c r="M169" s="16" t="n"/>
      <c r="N169" s="17" t="n"/>
      <c r="O169" s="17" t="n"/>
      <c r="P169" s="15" t="n"/>
    </row>
    <row r="170">
      <c r="A170" s="11" t="n">
        <v>6</v>
      </c>
      <c r="B170" s="11" t="inlineStr">
        <is>
          <t>6.31</t>
        </is>
      </c>
      <c r="C170" s="12" t="inlineStr">
        <is>
          <t>Send it to Sophia</t>
        </is>
      </c>
      <c r="D170" s="12" t="inlineStr">
        <is>
          <t>Quotes</t>
        </is>
      </c>
      <c r="E170" s="13" t="inlineStr">
        <is>
          <t>See how a quote past its valid-until date is flagged</t>
        </is>
      </c>
      <c r="F170" s="14" t="inlineStr">
        <is>
          <t>1. Go back to the "Quotes" tab and click "View" on the quote
2. In General Info set "Quote Valid Until" to yesterday; read the banner
3. Close the editor and look at the quote’s row in the "Quotes" tab
4. Open the quote again and set "Quote Valid Until" to a date next month</t>
        </is>
      </c>
      <c r="G170" s="14" t="inlineStr">
        <is>
          <t>The banner adds "Its validity ended on …" and the row reads "Expired …" — nothing is blocked; the new date clears both.</t>
        </is>
      </c>
      <c r="H170" s="12" t="inlineStr">
        <is>
          <t>Different from 1.0: a passed validity date is now flagged</t>
        </is>
      </c>
      <c r="I170" s="11" t="inlineStr">
        <is>
          <t>Dane</t>
        </is>
      </c>
      <c r="J170" s="15" t="n"/>
      <c r="K170" s="15" t="n"/>
      <c r="L170" s="15" t="n"/>
      <c r="M170" s="16" t="n"/>
      <c r="N170" s="17" t="n"/>
      <c r="O170" s="17" t="n"/>
      <c r="P170" s="15" t="n"/>
    </row>
    <row r="171">
      <c r="A171" s="11" t="n">
        <v>6</v>
      </c>
      <c r="B171" s="11" t="inlineStr">
        <is>
          <t>6.32</t>
        </is>
      </c>
      <c r="C171" s="12" t="inlineStr">
        <is>
          <t>Sophia asks for two more lights</t>
        </is>
      </c>
      <c r="D171" s="12" t="inlineStr">
        <is>
          <t>Quotes</t>
        </is>
      </c>
      <c r="E171" s="13" t="inlineStr">
        <is>
          <t>Start version 2 of the quote</t>
        </is>
      </c>
      <c r="F171" s="14" t="inlineStr">
        <is>
          <t>1. In the banner, click "Revise — new version"
2. Click "Start version 2"
3. Reload Sophia’s link in the other tab</t>
        </is>
      </c>
      <c r="G171" s="14" t="inlineStr">
        <is>
          <t>The chips read "Version 2" and "Draft" ("version 1 is kept in Version History"); Sophia’s link now says "Not ready yet".</t>
        </is>
      </c>
      <c r="H171" s="12" t="inlineStr">
        <is>
          <t>Different from 1.0: versions belong to the quote, made by Revise</t>
        </is>
      </c>
      <c r="I171" s="11" t="inlineStr">
        <is>
          <t>Dane</t>
        </is>
      </c>
      <c r="J171" s="15" t="n"/>
      <c r="K171" s="15" t="n"/>
      <c r="L171" s="15" t="n"/>
      <c r="M171" s="16" t="n"/>
      <c r="N171" s="17" t="n"/>
      <c r="O171" s="17" t="n"/>
      <c r="P171" s="15" t="n"/>
    </row>
    <row r="172">
      <c r="A172" s="11" t="n">
        <v>6</v>
      </c>
      <c r="B172" s="11" t="inlineStr">
        <is>
          <t>6.33</t>
        </is>
      </c>
      <c r="C172" s="12" t="inlineStr">
        <is>
          <t>Sophia asks for two more lights</t>
        </is>
      </c>
      <c r="D172" s="12" t="inlineStr">
        <is>
          <t>Quotes</t>
        </is>
      </c>
      <c r="E172" s="13" t="inlineStr">
        <is>
          <t>Add two lighting points, then look back at version 1</t>
        </is>
      </c>
      <c r="F172" s="14" t="inlineStr">
        <is>
          <t>1. Click the "Qty" of "Lighting points", press ⌘A (Ctrl+A), type 18 and press Enter
2. Click "More options" (⋮) › "Version History"
3. Click "Open" on "Version 1"
4. Click the back arrow to return to the editor</t>
        </is>
      </c>
      <c r="G172" s="14" t="inlineStr">
        <is>
          <t>The drawer lists "Version 2 current" and "Version 1" kept by Dane; Open shows it as "Version 1 of 2 — read-only".</t>
        </is>
      </c>
      <c r="H172" s="12" t="inlineStr">
        <is>
          <t>Same as 1.0</t>
        </is>
      </c>
      <c r="I172" s="11" t="inlineStr">
        <is>
          <t>Dane</t>
        </is>
      </c>
      <c r="J172" s="15" t="n"/>
      <c r="K172" s="15" t="n"/>
      <c r="L172" s="15" t="n"/>
      <c r="M172" s="16" t="n"/>
      <c r="N172" s="17" t="n"/>
      <c r="O172" s="17" t="n"/>
      <c r="P172" s="15" t="n"/>
    </row>
    <row r="173">
      <c r="A173" s="11" t="n">
        <v>6</v>
      </c>
      <c r="B173" s="11" t="inlineStr">
        <is>
          <t>6.34</t>
        </is>
      </c>
      <c r="C173" s="12" t="inlineStr">
        <is>
          <t>Sophia asks for two more lights</t>
        </is>
      </c>
      <c r="D173" s="12" t="inlineStr">
        <is>
          <t>Quotes</t>
        </is>
      </c>
      <c r="E173" s="13" t="inlineStr">
        <is>
          <t>Bring version 1 back, then make the change again</t>
        </is>
      </c>
      <c r="F173" s="14" t="inlineStr">
        <is>
          <t>1. Open "Version History" and click "Bring back" on "Version 1"
2. Click "Bring back version 1"
3. Check "Lighting points" shows 16 again
4. Set its "Qty" to 18 again (⌘A, type 18, Enter)</t>
        </is>
      </c>
      <c r="G173" s="14" t="inlineStr">
        <is>
          <t>The page reloads with "Version 1 is back — the draft holds its lines again"; the quote is still Version 2, Draft.</t>
        </is>
      </c>
      <c r="H173" s="12" t="inlineStr">
        <is>
          <t>Different from 1.0: bringing a version back now works</t>
        </is>
      </c>
      <c r="I173" s="11" t="inlineStr">
        <is>
          <t>Dane</t>
        </is>
      </c>
      <c r="J173" s="15" t="n"/>
      <c r="K173" s="15" t="n"/>
      <c r="L173" s="15" t="n"/>
      <c r="M173" s="16" t="n"/>
      <c r="N173" s="17" t="n"/>
      <c r="O173" s="17" t="n"/>
      <c r="P173" s="15" t="n"/>
    </row>
    <row r="174">
      <c r="A174" s="11" t="n">
        <v>6</v>
      </c>
      <c r="B174" s="11" t="inlineStr">
        <is>
          <t>6.35</t>
        </is>
      </c>
      <c r="C174" s="12" t="inlineStr">
        <is>
          <t>Sophia asks for two more lights</t>
        </is>
      </c>
      <c r="D174" s="12" t="inlineStr">
        <is>
          <t>Quotes</t>
        </is>
      </c>
      <c r="E174" s="13" t="inlineStr">
        <is>
          <t>Show Sophia what changed since version 1</t>
        </is>
      </c>
      <c r="F174" s="14" t="inlineStr">
        <is>
          <t>1. Click "Preview"
2. Click "What your client sees"
3. Make sure "Show changes from version 1" is on</t>
        </is>
      </c>
      <c r="G174" s="14" t="inlineStr">
        <is>
          <t>The switch reads "0 added · 0 removed · 1 changed" and the Lighting points line is marked as changed on the page.</t>
        </is>
      </c>
      <c r="H174" s="12" t="inlineStr">
        <is>
          <t>Different from 1.0: the revision prints its own changes</t>
        </is>
      </c>
      <c r="I174" s="11" t="inlineStr">
        <is>
          <t>Dane</t>
        </is>
      </c>
      <c r="J174" s="15" t="n"/>
      <c r="K174" s="15" t="n"/>
      <c r="L174" s="15" t="n"/>
      <c r="M174" s="16" t="n"/>
      <c r="N174" s="17" t="n"/>
      <c r="O174" s="17" t="n"/>
      <c r="P174" s="15" t="n"/>
    </row>
    <row r="175">
      <c r="A175" s="11" t="n">
        <v>6</v>
      </c>
      <c r="B175" s="11" t="inlineStr">
        <is>
          <t>6.36</t>
        </is>
      </c>
      <c r="C175" s="12" t="inlineStr">
        <is>
          <t>Sophia confirms</t>
        </is>
      </c>
      <c r="D175" s="12" t="inlineStr">
        <is>
          <t>Quotes</t>
        </is>
      </c>
      <c r="E175" s="13" t="inlineStr">
        <is>
          <t>Send version 2 to Sophia</t>
        </is>
      </c>
      <c r="F175" s="14" t="inlineStr">
        <is>
          <t>1. Back in the editor, click "Send" › "Send for confirmation"
2. Click "Send via WhatsApp" — close the WhatsApp tab, do not send</t>
        </is>
      </c>
      <c r="G175" s="14" t="inlineStr">
        <is>
          <t>The status is "Sent to Client" again, now for version 2.</t>
        </is>
      </c>
      <c r="H175" s="12" t="inlineStr">
        <is>
          <t>Same as 1.0</t>
        </is>
      </c>
      <c r="I175" s="11" t="inlineStr">
        <is>
          <t>Dane</t>
        </is>
      </c>
      <c r="J175" s="15" t="n"/>
      <c r="K175" s="15" t="n"/>
      <c r="L175" s="15" t="n"/>
      <c r="M175" s="16" t="n"/>
      <c r="N175" s="17" t="n"/>
      <c r="O175" s="17" t="n"/>
      <c r="P175" s="15" t="n"/>
    </row>
    <row r="176">
      <c r="A176" s="11" t="n">
        <v>6</v>
      </c>
      <c r="B176" s="11" t="inlineStr">
        <is>
          <t>6.37</t>
        </is>
      </c>
      <c r="C176" s="12" t="inlineStr">
        <is>
          <t>Sophia confirms</t>
        </is>
      </c>
      <c r="D176" s="12" t="inlineStr">
        <is>
          <t>Quotes</t>
        </is>
      </c>
      <c r="E176" s="13" t="inlineStr">
        <is>
          <t>Confirm the quote as Sophia, adding the fluted wall</t>
        </is>
      </c>
      <c r="F176" s="14" t="inlineStr">
        <is>
          <t>1. Reload Sophia’s link in the other tab
2. Under "Optional works", tick "Fluted feature wall panel"
3. Keep "Sophia Wong" in "Your full name"
4. Click "Confirm quote"</t>
        </is>
      </c>
      <c r="G176" s="14" t="inlineStr">
        <is>
          <t>A "With your picks" total appears; after confirming, the card reads "Confirmed" by Sophia Wong and notes she asked for the fluted panel too.</t>
        </is>
      </c>
      <c r="H176" s="12" t="inlineStr">
        <is>
          <t>Different from 1.0: the client’s optional picks are kept</t>
        </is>
      </c>
      <c r="I176" s="18" t="inlineStr">
        <is>
          <t>Sophia (client)</t>
        </is>
      </c>
      <c r="J176" s="15" t="n"/>
      <c r="K176" s="15" t="n"/>
      <c r="L176" s="15" t="n"/>
      <c r="M176" s="16" t="n"/>
      <c r="N176" s="17" t="n"/>
      <c r="O176" s="17" t="n"/>
      <c r="P176" s="15" t="n"/>
    </row>
    <row r="177">
      <c r="A177" s="11" t="n">
        <v>6</v>
      </c>
      <c r="B177" s="11" t="inlineStr">
        <is>
          <t>6.38</t>
        </is>
      </c>
      <c r="C177" s="12" t="inlineStr">
        <is>
          <t>Sophia confirms</t>
        </is>
      </c>
      <c r="D177" s="12" t="inlineStr">
        <is>
          <t>Quotes</t>
        </is>
      </c>
      <c r="E177" s="13" t="inlineStr">
        <is>
          <t>See Sophia’s confirmation in the studio</t>
        </is>
      </c>
      <c r="F177" s="14" t="inlineStr">
        <is>
          <t>1. Go back to the editor tab and reload it
2. Read the status, the banner and the fluted panel’s line
3. Open the "Activity" tab</t>
        </is>
      </c>
      <c r="G177" s="14" t="inlineStr">
        <is>
          <t>Status "Confirmed"; the panel shows "Client wants it"; Activity lists "Quote approved by Dane" and Sophia’s confirmation; Send now reads "Send for signature".</t>
        </is>
      </c>
      <c r="H177" s="12" t="inlineStr">
        <is>
          <t>Different from 1.0: Confirmed comes before the signature</t>
        </is>
      </c>
      <c r="I177" s="11" t="inlineStr">
        <is>
          <t>Dane</t>
        </is>
      </c>
      <c r="J177" s="15" t="n"/>
      <c r="K177" s="15" t="n"/>
      <c r="L177" s="15" t="n"/>
      <c r="M177" s="16" t="n"/>
      <c r="N177" s="17" t="n"/>
      <c r="O177" s="17" t="n"/>
      <c r="P177" s="15" t="n"/>
    </row>
    <row r="178">
      <c r="A178" s="11" t="n">
        <v>6</v>
      </c>
      <c r="B178" s="11" t="inlineStr">
        <is>
          <t>6.39</t>
        </is>
      </c>
      <c r="C178" s="12" t="inlineStr">
        <is>
          <t>Move the lead along</t>
        </is>
      </c>
      <c r="D178" s="12" t="inlineStr">
        <is>
          <t>Lead details</t>
        </is>
      </c>
      <c r="E178" s="13" t="inlineStr">
        <is>
          <t>Move Sophia to Quote Sent yourself</t>
        </is>
      </c>
      <c r="F178" s="14" t="inlineStr">
        <is>
          <t>1. Open Sophia Wong’s "Overview"
2. Click "Stage: Met" › "Quote Sent"
3. Under "Attach approved quote" › "From System", pick "Tampines 4-room renovation"
4. Click "Save"</t>
        </is>
      </c>
      <c r="G178" s="14" t="inlineStr">
        <is>
          <t>The quote’s row shows its number, amount and "Approved on …"; after Save you see "Moved to Quote Sent".</t>
        </is>
      </c>
      <c r="H178" s="12" t="inlineStr">
        <is>
          <t>Same as 1.0</t>
        </is>
      </c>
      <c r="I178" s="11" t="inlineStr">
        <is>
          <t>Dane</t>
        </is>
      </c>
      <c r="J178" s="15" t="n"/>
      <c r="K178" s="15" t="n"/>
      <c r="L178" s="15" t="n"/>
      <c r="M178" s="16" t="n"/>
      <c r="N178" s="17" t="n"/>
      <c r="O178" s="17" t="n"/>
      <c r="P178" s="15" t="n"/>
    </row>
    <row r="179">
      <c r="A179" s="11" t="n">
        <v>6</v>
      </c>
      <c r="B179" s="11" t="inlineStr">
        <is>
          <t>6.40</t>
        </is>
      </c>
      <c r="C179" s="12" t="inlineStr">
        <is>
          <t>Move the lead along</t>
        </is>
      </c>
      <c r="D179" s="12" t="inlineStr">
        <is>
          <t>Quotes</t>
        </is>
      </c>
      <c r="E179" s="13" t="inlineStr">
        <is>
          <t>Find the quote among all the studio’s quotes</t>
        </is>
      </c>
      <c r="F179" s="14" t="inlineStr">
        <is>
          <t>1. Click "Tools" in the side navigation › "Quotes"
2. Type "Tampines" in the search box
3. Read the row</t>
        </is>
      </c>
      <c r="G179" s="14" t="inlineStr">
        <is>
          <t>The row shows Tampines 4-room renovation with its number · Shared, Client "Sophia Wong", status "Confirmed" and your due date.</t>
        </is>
      </c>
      <c r="H179" s="12" t="inlineStr">
        <is>
          <t>Same as 1.0</t>
        </is>
      </c>
      <c r="I179" s="11" t="inlineStr">
        <is>
          <t>Dane</t>
        </is>
      </c>
      <c r="J179" s="15" t="n"/>
      <c r="K179" s="15" t="n"/>
      <c r="L179" s="15" t="n"/>
      <c r="M179" s="16" t="n"/>
      <c r="N179" s="17" t="n"/>
      <c r="O179" s="17" t="n"/>
      <c r="P179" s="15" t="n"/>
    </row>
    <row r="180">
      <c r="A180" s="11" t="n">
        <v>6</v>
      </c>
      <c r="B180" s="11" t="inlineStr">
        <is>
          <t>6.41</t>
        </is>
      </c>
      <c r="C180" s="12" t="inlineStr">
        <is>
          <t>An old quote from 1.0</t>
        </is>
      </c>
      <c r="D180" s="12" t="inlineStr">
        <is>
          <t>Quotes</t>
        </is>
      </c>
      <c r="E180" s="13" t="inlineStr">
        <is>
          <t>Upload Gerald Tan’s old spreadsheet quote</t>
        </is>
      </c>
      <c r="F180" s="14" t="inlineStr">
        <is>
          <t>1. On Tools › Quotes click "Create Quote" and pick "Gerald Tan" in "Client"
2. Click "Upload a quote" and choose uat-files/kitchen-moodboard.jpg
3. Click "Choose another file" and choose uat-files/gerald-tan-old-quote.xlsx
4. Click "Create the quote"</t>
        </is>
      </c>
      <c r="G180" s="14" t="inlineStr">
        <is>
          <t>The photo is refused ("We couldn’t read…"); the sheet shows "6 lines read … · S$14,880.00"; the new quote opens with a section per trade.</t>
        </is>
      </c>
      <c r="H180" s="12" t="inlineStr">
        <is>
          <t>Different from 1.0: spreadsheets are read for real, no AI scan</t>
        </is>
      </c>
      <c r="I180" s="11" t="inlineStr">
        <is>
          <t>Dane</t>
        </is>
      </c>
      <c r="J180" s="15" t="n"/>
      <c r="K180" s="15" t="n"/>
      <c r="L180" s="15" t="n"/>
      <c r="M180" s="16" t="n"/>
      <c r="N180" s="17" t="n"/>
      <c r="O180" s="17" t="n"/>
      <c r="P180" s="15" t="n"/>
    </row>
    <row r="181">
      <c r="A181" s="11" t="n">
        <v>6</v>
      </c>
      <c r="B181" s="11" t="inlineStr">
        <is>
          <t>6.42</t>
        </is>
      </c>
      <c r="C181" s="12" t="inlineStr">
        <is>
          <t>An old quote from 1.0</t>
        </is>
      </c>
      <c r="D181" s="12" t="inlineStr">
        <is>
          <t>Quotes</t>
        </is>
      </c>
      <c r="E181" s="13" t="inlineStr">
        <is>
          <t>Delete the uploaded quote, then restore it</t>
        </is>
      </c>
      <c r="F181" s="14" t="inlineStr">
        <is>
          <t>1. In Gerald’s quote click "More options" (⋮) › "Delete", then "Yes"
2. On Tools › Quotes click "More options" (⋮, top right) › "Deleted Quotes"
3. Click "Restore" on Gerald Tan’s quote</t>
        </is>
      </c>
      <c r="G181" s="14" t="inlineStr">
        <is>
          <t>Delete says "Quote deleted — find it under Deleted Quotes"; Restore says "Quote restored" and it is back in the list.</t>
        </is>
      </c>
      <c r="H181" s="12" t="inlineStr">
        <is>
          <t>Different from 1.0: deleted quotes wait in Deleted Quotes</t>
        </is>
      </c>
      <c r="I181" s="11" t="inlineStr">
        <is>
          <t>Dane</t>
        </is>
      </c>
      <c r="J181" s="15" t="n"/>
      <c r="K181" s="15" t="n"/>
      <c r="L181" s="15" t="n"/>
      <c r="M181" s="16" t="n"/>
      <c r="N181" s="17" t="n"/>
      <c r="O181" s="17" t="n"/>
      <c r="P181" s="15" t="n"/>
    </row>
    <row r="182">
      <c r="A182" s="11" t="n">
        <v>6</v>
      </c>
      <c r="B182" s="11" t="inlineStr">
        <is>
          <t>6.43</t>
        </is>
      </c>
      <c r="C182" s="12" t="inlineStr">
        <is>
          <t>An old quote from 1.0</t>
        </is>
      </c>
      <c r="D182" s="12" t="inlineStr">
        <is>
          <t>Quotes</t>
        </is>
      </c>
      <c r="E182" s="13" t="inlineStr">
        <is>
          <t>Delete Gerald’s uploaded quote for good</t>
        </is>
      </c>
      <c r="F182" s="14" t="inlineStr">
        <is>
          <t>1. On Gerald Tan’s row click "More actions" (⋮) › "Delete", then "Yes"
2. Open "Deleted Quotes" again
3. Click "Delete Forever", then "Delete Forever" in "Delete forever?"</t>
        </is>
      </c>
      <c r="G182" s="14" t="inlineStr">
        <is>
          <t>The confirm warns it cannot be undone; then "Quote deleted forever" and the row leaves Deleted Quotes.</t>
        </is>
      </c>
      <c r="H182" s="12" t="inlineStr">
        <is>
          <t>Different from 1.0: deleted quotes wait in Deleted Quotes</t>
        </is>
      </c>
      <c r="I182" s="11" t="inlineStr">
        <is>
          <t>Dane</t>
        </is>
      </c>
      <c r="J182" s="15" t="n"/>
      <c r="K182" s="15" t="n"/>
      <c r="L182" s="15" t="n"/>
      <c r="M182" s="16" t="n"/>
      <c r="N182" s="17" t="n"/>
      <c r="O182" s="17" t="n"/>
      <c r="P182" s="15" t="n"/>
    </row>
    <row r="183" ht="22" customHeight="1">
      <c r="A183" s="9" t="inlineStr">
        <is>
          <t>Chapter 7 · A rival quote — Quote X-Ray against another studio’s quote.</t>
        </is>
      </c>
      <c r="M183" s="10" t="n"/>
    </row>
    <row r="184">
      <c r="A184" s="11" t="n">
        <v>7</v>
      </c>
      <c r="B184" s="11" t="inlineStr">
        <is>
          <t>7.01</t>
        </is>
      </c>
      <c r="C184" s="12" t="inlineStr">
        <is>
          <t>Sophia shows you another studio’s quote</t>
        </is>
      </c>
      <c r="D184" s="12" t="inlineStr">
        <is>
          <t>Quote X-Ray</t>
        </is>
      </c>
      <c r="E184" s="13" t="inlineStr">
        <is>
          <t>Open Quote X-Ray on Sophia’s quote</t>
        </is>
      </c>
      <c r="F184" s="14" t="inlineStr">
        <is>
          <t>1. Open Sophia Wong › "Quotes" tab
2. Hover the quote’s row and click "More actions" (⋮)
3. Choose "Compare with another quote"</t>
        </is>
      </c>
      <c r="G184" s="14" t="inlineStr">
        <is>
          <t>Quote X-Ray opens for Sophia Wong: the lead is fixed and "… · Tampines 4-room renovation" is already chosen, "Confirmed · 9 lines".</t>
        </is>
      </c>
      <c r="H184" s="12" t="inlineStr">
        <is>
          <t>New in 2.0</t>
        </is>
      </c>
      <c r="I184" s="11" t="inlineStr">
        <is>
          <t>Dane</t>
        </is>
      </c>
      <c r="J184" s="15" t="n"/>
      <c r="K184" s="15" t="n"/>
      <c r="L184" s="15" t="n"/>
      <c r="M184" s="16" t="n"/>
      <c r="N184" s="17" t="n"/>
      <c r="O184" s="17" t="n"/>
      <c r="P184" s="15" t="n"/>
    </row>
    <row r="185">
      <c r="A185" s="11" t="n">
        <v>7</v>
      </c>
      <c r="B185" s="11" t="inlineStr">
        <is>
          <t>7.02</t>
        </is>
      </c>
      <c r="C185" s="12" t="inlineStr">
        <is>
          <t>Sophia shows you another studio’s quote</t>
        </is>
      </c>
      <c r="D185" s="12" t="inlineStr">
        <is>
          <t>Quote X-Ray</t>
        </is>
      </c>
      <c r="E185" s="13" t="inlineStr">
        <is>
          <t>Add the rival studio’s quote</t>
        </is>
      </c>
      <c r="F185" s="14" t="inlineStr">
        <is>
          <t>1. Drop uat-files/rival-quote-urban-nest.xlsx on "The other studio’s quote" (or click it to browse)
2. Type "Urban Nest Interiors" in "Their studio’s name (optional)"</t>
        </is>
      </c>
      <c r="G185" s="14" t="inlineStr">
        <is>
          <t>Under the file it says "10 lines read · S$13,470.00" at once; the hint clears and "Compare" can be clicked.</t>
        </is>
      </c>
      <c r="H185" s="12" t="inlineStr">
        <is>
          <t>Different from 1.0: spreadsheets are read as you pick them</t>
        </is>
      </c>
      <c r="I185" s="11" t="inlineStr">
        <is>
          <t>Dane</t>
        </is>
      </c>
      <c r="J185" s="15" t="n"/>
      <c r="K185" s="15" t="n"/>
      <c r="L185" s="15" t="n"/>
      <c r="M185" s="16" t="n"/>
      <c r="N185" s="17" t="n"/>
      <c r="O185" s="17" t="n"/>
      <c r="P185" s="15" t="n"/>
    </row>
    <row r="186">
      <c r="A186" s="11" t="n">
        <v>7</v>
      </c>
      <c r="B186" s="11" t="inlineStr">
        <is>
          <t>7.03</t>
        </is>
      </c>
      <c r="C186" s="12" t="inlineStr">
        <is>
          <t>Sophia shows you another studio’s quote</t>
        </is>
      </c>
      <c r="D186" s="12" t="inlineStr">
        <is>
          <t>Quote X-Ray</t>
        </is>
      </c>
      <c r="E186" s="13" t="inlineStr">
        <is>
          <t>Run the comparison</t>
        </is>
      </c>
      <c r="F186" s="14" t="inlineStr">
        <is>
          <t>1. Click "Compare"
2. Watch the progress card until the result opens</t>
        </is>
      </c>
      <c r="G186" s="14" t="inlineStr">
        <is>
          <t>"Comparing the two quotes…" ticks through four steps, then "Sophia Wong · vs Urban Nest Interiors" opens with the date and items compared.</t>
        </is>
      </c>
      <c r="H186" s="12" t="inlineStr">
        <is>
          <t>Same as 1.0</t>
        </is>
      </c>
      <c r="I186" s="11" t="inlineStr">
        <is>
          <t>Dane</t>
        </is>
      </c>
      <c r="J186" s="15" t="n"/>
      <c r="K186" s="15" t="n"/>
      <c r="L186" s="15" t="n"/>
      <c r="M186" s="16" t="n"/>
      <c r="N186" s="17" t="n"/>
      <c r="O186" s="17" t="n"/>
      <c r="P186" s="15" t="n"/>
    </row>
    <row r="187">
      <c r="A187" s="11" t="n">
        <v>7</v>
      </c>
      <c r="B187" s="11" t="inlineStr">
        <is>
          <t>7.04</t>
        </is>
      </c>
      <c r="C187" s="12" t="inlineStr">
        <is>
          <t>Read the result</t>
        </is>
      </c>
      <c r="D187" s="12" t="inlineStr">
        <is>
          <t>Quote X-Ray</t>
        </is>
      </c>
      <c r="E187" s="13" t="inlineStr">
        <is>
          <t>Read the real price difference</t>
        </is>
      </c>
      <c r="F187" s="14" t="inlineStr">
        <is>
          <t>1. Read the sentence under the caption
2. Read the three figures
3. Read the note under them
4. Hover the quote’s name in the caption — it links to your quote</t>
        </is>
      </c>
      <c r="G187" s="14" t="inlineStr">
        <is>
          <t>About S$ 17.7K yours, S$ 13.5K theirs, "Real difference" S$ 3.8K "ours more, like-for-like"; the note says both sides are before discounts and GST.</t>
        </is>
      </c>
      <c r="H187" s="12" t="inlineStr">
        <is>
          <t>Different from 1.0: both sides compared on line totals, before GST</t>
        </is>
      </c>
      <c r="I187" s="11" t="inlineStr">
        <is>
          <t>Dane</t>
        </is>
      </c>
      <c r="J187" s="15" t="n"/>
      <c r="K187" s="15" t="n"/>
      <c r="L187" s="15" t="n"/>
      <c r="M187" s="16" t="n"/>
      <c r="N187" s="17" t="n"/>
      <c r="O187" s="17" t="n"/>
      <c r="P187" s="15" t="n"/>
    </row>
    <row r="188">
      <c r="A188" s="11" t="n">
        <v>7</v>
      </c>
      <c r="B188" s="11" t="inlineStr">
        <is>
          <t>7.05</t>
        </is>
      </c>
      <c r="C188" s="12" t="inlineStr">
        <is>
          <t>Read the result</t>
        </is>
      </c>
      <c r="D188" s="12" t="inlineStr">
        <is>
          <t>Quote X-Ray</t>
        </is>
      </c>
      <c r="E188" s="13" t="inlineStr">
        <is>
          <t>Check the item-by-item table</t>
        </is>
      </c>
      <c r="F188" s="14" t="inlineStr">
        <is>
          <t>1. Scroll to "Item by item"
2. Find "Lighting points", "Hacking of kitchen floor and wall tiles" and "Haulage and disposal of debris"</t>
        </is>
      </c>
      <c r="G188" s="14" t="inlineStr">
        <is>
          <t>Lighting shows both quantities (18 vs 16 points); hacking is "Matched" despite different words; haulage reads "No price given".</t>
        </is>
      </c>
      <c r="H188" s="12" t="inlineStr">
        <is>
          <t>Different from 1.0: rates are compared and both quantities shown</t>
        </is>
      </c>
      <c r="I188" s="11" t="inlineStr">
        <is>
          <t>Dane</t>
        </is>
      </c>
      <c r="J188" s="15" t="n"/>
      <c r="K188" s="15" t="n"/>
      <c r="L188" s="15" t="n"/>
      <c r="M188" s="16" t="n"/>
      <c r="N188" s="17" t="n"/>
      <c r="O188" s="17" t="n"/>
      <c r="P188" s="15" t="n"/>
    </row>
    <row r="189">
      <c r="A189" s="11" t="n">
        <v>7</v>
      </c>
      <c r="B189" s="11" t="inlineStr">
        <is>
          <t>7.06</t>
        </is>
      </c>
      <c r="C189" s="12" t="inlineStr">
        <is>
          <t>Put the matching right</t>
        </is>
      </c>
      <c r="D189" s="12" t="inlineStr">
        <is>
          <t>Quote X-Ray</t>
        </is>
      </c>
      <c r="E189" s="13" t="inlineStr">
        <is>
          <t>Tell X-Ray two lines are not the same item</t>
        </is>
      </c>
      <c r="F189" s="14" t="inlineStr">
        <is>
          <t>1. Hover the "Quartz countertop" row and click "More actions" (⋮)
2. Choose "Not the same item"</t>
        </is>
      </c>
      <c r="G189" s="14" t="inlineStr">
        <is>
          <t>"Marked as not the same item" (with Undo); the row splits into "Only in yours" and "Only in theirs" and the figures change.</t>
        </is>
      </c>
      <c r="H189" s="12" t="inlineStr">
        <is>
          <t>Different from 1.0: you can correct a match on the result</t>
        </is>
      </c>
      <c r="I189" s="11" t="inlineStr">
        <is>
          <t>Dane</t>
        </is>
      </c>
      <c r="J189" s="15" t="n"/>
      <c r="K189" s="15" t="n"/>
      <c r="L189" s="15" t="n"/>
      <c r="M189" s="16" t="n"/>
      <c r="N189" s="17" t="n"/>
      <c r="O189" s="17" t="n"/>
      <c r="P189" s="15" t="n"/>
    </row>
    <row r="190">
      <c r="A190" s="11" t="n">
        <v>7</v>
      </c>
      <c r="B190" s="11" t="inlineStr">
        <is>
          <t>7.07</t>
        </is>
      </c>
      <c r="C190" s="12" t="inlineStr">
        <is>
          <t>Put the matching right</t>
        </is>
      </c>
      <c r="D190" s="12" t="inlineStr">
        <is>
          <t>Quote X-Ray</t>
        </is>
      </c>
      <c r="E190" s="13" t="inlineStr">
        <is>
          <t>Pair the two countertops again by hand</t>
        </is>
      </c>
      <c r="F190" s="14" t="inlineStr">
        <is>
          <t>1. On the "Quartz countertop" row open "More actions" (⋮) › "Same item as…"
2. Pick "Laminate countertop" in the list
3. Click "Pair"</t>
        </is>
      </c>
      <c r="G190" s="14" t="inlineStr">
        <is>
          <t>The row is matched again with the status "Paired by you"; the foot of the page reads "Corrected by Dane on …".</t>
        </is>
      </c>
      <c r="H190" s="12" t="inlineStr">
        <is>
          <t>Different from 1.0: you can correct a match on the result</t>
        </is>
      </c>
      <c r="I190" s="11" t="inlineStr">
        <is>
          <t>Dane</t>
        </is>
      </c>
      <c r="J190" s="15" t="n"/>
      <c r="K190" s="15" t="n"/>
      <c r="L190" s="15" t="n"/>
      <c r="M190" s="16" t="n"/>
      <c r="N190" s="17" t="n"/>
      <c r="O190" s="17" t="n"/>
      <c r="P190" s="15" t="n"/>
    </row>
    <row r="191">
      <c r="A191" s="11" t="n">
        <v>7</v>
      </c>
      <c r="B191" s="11" t="inlineStr">
        <is>
          <t>7.08</t>
        </is>
      </c>
      <c r="C191" s="12" t="inlineStr">
        <is>
          <t>Tell Sophia</t>
        </is>
      </c>
      <c r="D191" s="12" t="inlineStr">
        <is>
          <t>Quote X-Ray</t>
        </is>
      </c>
      <c r="E191" s="13" t="inlineStr">
        <is>
          <t>See what to tell Sophia</t>
        </is>
      </c>
      <c r="F191" s="14" t="inlineStr">
        <is>
          <t>1. Read the three points under "Say this"
2. On the wardrobe point, click "Say it as a question"
3. Read "Key points you can use"</t>
        </is>
      </c>
      <c r="G191" s="14" t="inlineStr">
        <is>
          <t>Points: wardrobe priced well below ours, a laminate worktop question, missing waterproofing. Key points: Nippon Paint "Your advantage", KDK "Impact: high", Dulux checked.</t>
        </is>
      </c>
      <c r="H191" s="12" t="inlineStr">
        <is>
          <t>Different from 1.0: brand notes are curated, not searched online</t>
        </is>
      </c>
      <c r="I191" s="11" t="inlineStr">
        <is>
          <t>Dane</t>
        </is>
      </c>
      <c r="J191" s="15" t="n"/>
      <c r="K191" s="15" t="n"/>
      <c r="L191" s="15" t="n"/>
      <c r="M191" s="16" t="n"/>
      <c r="N191" s="17" t="n"/>
      <c r="O191" s="17" t="n"/>
      <c r="P191" s="15" t="n"/>
    </row>
    <row r="192">
      <c r="A192" s="11" t="n">
        <v>7</v>
      </c>
      <c r="B192" s="11" t="inlineStr">
        <is>
          <t>7.09</t>
        </is>
      </c>
      <c r="C192" s="12" t="inlineStr">
        <is>
          <t>Tell Sophia</t>
        </is>
      </c>
      <c r="D192" s="12" t="inlineStr">
        <is>
          <t>Quote X-Ray</t>
        </is>
      </c>
      <c r="E192" s="13" t="inlineStr">
        <is>
          <t>Send Sophia the summary on WhatsApp (without really sending)</t>
        </is>
      </c>
      <c r="F192" s="14" t="inlineStr">
        <is>
          <t>1. Click "Send to client"
2. Check the message never names Urban Nest Interiors, and change a word
3. Click "Open WhatsApp" — a WhatsApp tab opens: close it, do not send
4. Click "Send to client" again</t>
        </is>
      </c>
      <c r="G192" s="14" t="inlineStr">
        <is>
          <t>The wardrobe point goes as your question; the header shows "Sent …"; the dialog reopens on your edited text, with "Reset to draft".</t>
        </is>
      </c>
      <c r="H192" s="12" t="inlineStr">
        <is>
          <t>Different from 1.0: what you sent is kept and shown</t>
        </is>
      </c>
      <c r="I192" s="11" t="inlineStr">
        <is>
          <t>Dane</t>
        </is>
      </c>
      <c r="J192" s="15" t="n"/>
      <c r="K192" s="15" t="n"/>
      <c r="L192" s="15" t="n"/>
      <c r="M192" s="16" t="n"/>
      <c r="N192" s="17" t="n"/>
      <c r="O192" s="17" t="n"/>
      <c r="P192" s="15" t="n"/>
    </row>
    <row r="193">
      <c r="A193" s="11" t="n">
        <v>7</v>
      </c>
      <c r="B193" s="11" t="inlineStr">
        <is>
          <t>7.10</t>
        </is>
      </c>
      <c r="C193" s="12" t="inlineStr">
        <is>
          <t>Compare two files without a lead</t>
        </is>
      </c>
      <c r="D193" s="12" t="inlineStr">
        <is>
          <t>Quote X-Ray</t>
        </is>
      </c>
      <c r="E193" s="13" t="inlineStr">
        <is>
          <t>Compare two files with no lead attached</t>
        </is>
      </c>
      <c r="F193" s="14" t="inlineStr">
        <is>
          <t>1. Click "Tools" › "Quote X-Ray", then "Upload two quotes"
2. Drop uat-files/kitchen-moodboard.jpg on "The other studio’s quote" and read the message
3. Drop uat-files/sophia-items-to-paste.xlsx on "Your quote" and uat-files/cove-interior-quotation.pdf on "The other studio’s quote"
4. Click "Compare"</t>
        </is>
      </c>
      <c r="G193" s="14" t="inlineStr">
        <is>
          <t>The photo is refused ("We couldn’t read this one…"); the PDF reads "20 lines read from Cove Interior’s quote"; the result opens.</t>
        </is>
      </c>
      <c r="H193" s="12" t="inlineStr">
        <is>
          <t>Same as 1.0</t>
        </is>
      </c>
      <c r="I193" s="11" t="inlineStr">
        <is>
          <t>Dane</t>
        </is>
      </c>
      <c r="J193" s="15" t="n"/>
      <c r="K193" s="15" t="n"/>
      <c r="L193" s="15" t="n"/>
      <c r="M193" s="16" t="n"/>
      <c r="N193" s="17" t="n"/>
      <c r="O193" s="17" t="n"/>
      <c r="P193" s="15" t="n"/>
    </row>
    <row r="194">
      <c r="A194" s="11" t="n">
        <v>7</v>
      </c>
      <c r="B194" s="11" t="inlineStr">
        <is>
          <t>7.11</t>
        </is>
      </c>
      <c r="C194" s="12" t="inlineStr">
        <is>
          <t>Compare two files without a lead</t>
        </is>
      </c>
      <c r="D194" s="12" t="inlineStr">
        <is>
          <t>Quote X-Ray</t>
        </is>
      </c>
      <c r="E194" s="13" t="inlineStr">
        <is>
          <t>Delete that practice comparison</t>
        </is>
      </c>
      <c r="F194" s="14" t="inlineStr">
        <is>
          <t>1. On its result click "More options" (⋮) › "Delete"
2. Click "Delete" in "Delete this comparison?"</t>
        </is>
      </c>
      <c r="G194" s="14" t="inlineStr">
        <is>
          <t>It warns this can’t be undone; you land back on Quote X-Ray and it is gone from "Recent comparisons".</t>
        </is>
      </c>
      <c r="H194" s="12" t="inlineStr">
        <is>
          <t>Different from 1.0: only its maker, an Owner or an Admin deletes</t>
        </is>
      </c>
      <c r="I194" s="11" t="inlineStr">
        <is>
          <t>Dane</t>
        </is>
      </c>
      <c r="J194" s="15" t="n"/>
      <c r="K194" s="15" t="n"/>
      <c r="L194" s="15" t="n"/>
      <c r="M194" s="16" t="n"/>
      <c r="N194" s="17" t="n"/>
      <c r="O194" s="17" t="n"/>
      <c r="P194" s="15" t="n"/>
    </row>
    <row r="195">
      <c r="A195" s="11" t="n">
        <v>7</v>
      </c>
      <c r="B195" s="11" t="inlineStr">
        <is>
          <t>7.12</t>
        </is>
      </c>
      <c r="C195" s="12" t="inlineStr">
        <is>
          <t>Other leads’ readings</t>
        </is>
      </c>
      <c r="D195" s="12" t="inlineStr">
        <is>
          <t>Quote X-Ray</t>
        </is>
      </c>
      <c r="E195" s="13" t="inlineStr">
        <is>
          <t>Rerun a reading whose quote has changed since</t>
        </is>
      </c>
      <c r="F195" s="14" t="inlineStr">
        <is>
          <t>1. On Quote X-Ray, find Sophia’s reading under "Recent comparisons" (it says "Sent …")
2. Open "Olivia Martinez · vs Flo Design"
3. Click "Run again" in the banner</t>
        </is>
      </c>
      <c r="G195" s="14" t="inlineStr">
        <is>
          <t>A banner says the quote has changed since this comparison; "Run again" opens a fresh reading: "Run again — the earlier comparison is kept".</t>
        </is>
      </c>
      <c r="H195" s="12" t="inlineStr">
        <is>
          <t>Different from 1.0: it tells you when your quote changed</t>
        </is>
      </c>
      <c r="I195" s="11" t="inlineStr">
        <is>
          <t>Dane</t>
        </is>
      </c>
      <c r="J195" s="15" t="n"/>
      <c r="K195" s="15" t="n"/>
      <c r="L195" s="15" t="n"/>
      <c r="M195" s="16" t="n"/>
      <c r="N195" s="17" t="n"/>
      <c r="O195" s="17" t="n"/>
      <c r="P195" s="15" t="n"/>
    </row>
    <row r="196">
      <c r="A196" s="11" t="n">
        <v>7</v>
      </c>
      <c r="B196" s="11" t="inlineStr">
        <is>
          <t>7.13</t>
        </is>
      </c>
      <c r="C196" s="12" t="inlineStr">
        <is>
          <t>Other leads’ readings</t>
        </is>
      </c>
      <c r="D196" s="12" t="inlineStr">
        <is>
          <t>Lead details</t>
        </is>
      </c>
      <c r="E196" s="13" t="inlineStr">
        <is>
          <t>Mark a lost lead with the competitor from X-Ray</t>
        </is>
      </c>
      <c r="F196" s="14" t="inlineStr">
        <is>
          <t>1. Open Vivien Lee from the Leads list
2. Click "Stage: Quote Sent" › "Lost"
3. Keep the reason "Went with another firm" and read "Competitor (optional)"
4. Click "Save &amp; Move"</t>
        </is>
      </c>
      <c r="G196" s="14" t="inlineStr">
        <is>
          <t>Competitor already reads "Flo Design", noted "From the Quote X-Ray of …"; after saving, "Moved to Lost" and Vivien Lee shows Lost.</t>
        </is>
      </c>
      <c r="H196" s="12" t="inlineStr">
        <is>
          <t>Different from 1.0: the competitor comes from the lead’s X-Ray</t>
        </is>
      </c>
      <c r="I196" s="11" t="inlineStr">
        <is>
          <t>Dane</t>
        </is>
      </c>
      <c r="J196" s="15" t="n"/>
      <c r="K196" s="15" t="n"/>
      <c r="L196" s="15" t="n"/>
      <c r="M196" s="16" t="n"/>
      <c r="N196" s="17" t="n"/>
      <c r="O196" s="17" t="n"/>
      <c r="P196" s="15" t="n"/>
    </row>
    <row r="197" ht="22" customHeight="1">
      <c r="A197" s="9" t="inlineStr">
        <is>
          <t>Chapter 8 · Sign the deal — Sophia’s contract, sent and signed.</t>
        </is>
      </c>
      <c r="M197" s="10" t="n"/>
    </row>
    <row r="198">
      <c r="A198" s="11" t="n">
        <v>8</v>
      </c>
      <c r="B198" s="11" t="inlineStr">
        <is>
          <t>8.01</t>
        </is>
      </c>
      <c r="C198" s="12" t="inlineStr">
        <is>
          <t>Raise Sophia’s contract</t>
        </is>
      </c>
      <c r="D198" s="12" t="inlineStr">
        <is>
          <t>Contracts</t>
        </is>
      </c>
      <c r="E198" s="13" t="inlineStr">
        <is>
          <t>Start Sophia’s contract from her confirmed quote</t>
        </is>
      </c>
      <c r="F198" s="14" t="inlineStr">
        <is>
          <t>1. Open Sophia Wong › "Quotes" and open her quote
2. Click "Send for signature" (or the ⋮ "More options" menu › "Create contract from this quote")</t>
        </is>
      </c>
      <c r="G198" s="14" t="inlineStr">
        <is>
          <t>"Choose a contract template" opens with "Interior Design Service Agreement" marked "Default" and already picked, beside the "Agreements" and "Variations" folders</t>
        </is>
      </c>
      <c r="H198" s="12" t="inlineStr">
        <is>
          <t>Different from 1.0: started only from the lead drawer</t>
        </is>
      </c>
      <c r="I198" s="11" t="inlineStr">
        <is>
          <t>Dane</t>
        </is>
      </c>
      <c r="J198" s="15" t="n"/>
      <c r="K198" s="15" t="n"/>
      <c r="L198" s="15" t="n"/>
      <c r="M198" s="16" t="n"/>
      <c r="N198" s="17" t="n"/>
      <c r="O198" s="17" t="n"/>
      <c r="P198" s="15" t="n"/>
    </row>
    <row r="199">
      <c r="A199" s="11" t="n">
        <v>8</v>
      </c>
      <c r="B199" s="11" t="inlineStr">
        <is>
          <t>8.02</t>
        </is>
      </c>
      <c r="C199" s="12" t="inlineStr">
        <is>
          <t>Raise Sophia’s contract</t>
        </is>
      </c>
      <c r="D199" s="12" t="inlineStr">
        <is>
          <t>Contracts</t>
        </is>
      </c>
      <c r="E199" s="13" t="inlineStr">
        <is>
          <t>Use the studio’s service agreement template</t>
        </is>
      </c>
      <c r="F199" s="14" t="inlineStr">
        <is>
          <t>1. Keep "Interior Design Service Agreement" (marked "Default") picked
2. Click "Use template"</t>
        </is>
      </c>
      <c r="G199" s="14" t="inlineStr">
        <is>
          <t>The contract opens as a Draft with a "From template" chip; the top row shows Sophia Wong · 9765 4321 and her quote’s number and total</t>
        </is>
      </c>
      <c r="H199" s="12" t="inlineStr">
        <is>
          <t>Different from 1.0: 1.0 kept no contract record</t>
        </is>
      </c>
      <c r="I199" s="11" t="inlineStr">
        <is>
          <t>Dane</t>
        </is>
      </c>
      <c r="J199" s="15" t="n"/>
      <c r="K199" s="15" t="n"/>
      <c r="L199" s="15" t="n"/>
      <c r="M199" s="16" t="n"/>
      <c r="N199" s="17" t="n"/>
      <c r="O199" s="17" t="n"/>
      <c r="P199" s="15" t="n"/>
    </row>
    <row r="200">
      <c r="A200" s="11" t="n">
        <v>8</v>
      </c>
      <c r="B200" s="11" t="inlineStr">
        <is>
          <t>8.03</t>
        </is>
      </c>
      <c r="C200" s="12" t="inlineStr">
        <is>
          <t>Raise Sophia’s contract</t>
        </is>
      </c>
      <c r="D200" s="12" t="inlineStr">
        <is>
          <t>Contracts</t>
        </is>
      </c>
      <c r="E200" s="13" t="inlineStr">
        <is>
          <t>Add the quote’s validity date with Smart Text</t>
        </is>
      </c>
      <c r="F200" s="14" t="inlineStr">
        <is>
          <t>1. Click at the end of clause 2’s paragraph ("2. Contract sum")
2. Click "Smart Text" › "Studio" and find "GST reg. no.", then click "‹ Studio" to go back
3. Click "Quote" and then "Quote valid until"</t>
        </is>
      </c>
      <c r="G200" s="14" t="inlineStr">
        <is>
          <t>Each record shows what it prints for Sophia (or "Empty"); Studio lists "GST reg. no."; a "Quote valid until" chip appears where you clicked</t>
        </is>
      </c>
      <c r="H200" s="12" t="inlineStr">
        <is>
          <t>Different from 1.0: more records, each showing its value</t>
        </is>
      </c>
      <c r="I200" s="11" t="inlineStr">
        <is>
          <t>Dane</t>
        </is>
      </c>
      <c r="J200" s="15" t="n"/>
      <c r="K200" s="15" t="n"/>
      <c r="L200" s="15" t="n"/>
      <c r="M200" s="16" t="n"/>
      <c r="N200" s="17" t="n"/>
      <c r="O200" s="17" t="n"/>
      <c r="P200" s="15" t="n"/>
    </row>
    <row r="201">
      <c r="A201" s="11" t="n">
        <v>8</v>
      </c>
      <c r="B201" s="11" t="inlineStr">
        <is>
          <t>8.04</t>
        </is>
      </c>
      <c r="C201" s="12" t="inlineStr">
        <is>
          <t>Raise Sophia’s contract</t>
        </is>
      </c>
      <c r="D201" s="12" t="inlineStr">
        <is>
          <t>Contracts</t>
        </is>
      </c>
      <c r="E201" s="13" t="inlineStr">
        <is>
          <t>Jump to a clause from the Outline</t>
        </is>
      </c>
      <c r="F201" s="14" t="inlineStr">
        <is>
          <t>1. Look at the "Outline" list left of the page (if hidden, click the list icon "Show outline")
2. Click "8. Defects liability"</t>
        </is>
      </c>
      <c r="G201" s="14" t="inlineStr">
        <is>
          <t>The Outline lists every heading of the agreement; clicking one scrolls the page straight to that clause</t>
        </is>
      </c>
      <c r="H201" s="12" t="inlineStr">
        <is>
          <t>New in 2.0</t>
        </is>
      </c>
      <c r="I201" s="11" t="inlineStr">
        <is>
          <t>Dane</t>
        </is>
      </c>
      <c r="J201" s="15" t="n"/>
      <c r="K201" s="15" t="n"/>
      <c r="L201" s="15" t="n"/>
      <c r="M201" s="16" t="n"/>
      <c r="N201" s="17" t="n"/>
      <c r="O201" s="17" t="n"/>
      <c r="P201" s="15" t="n"/>
    </row>
    <row r="202">
      <c r="A202" s="11" t="n">
        <v>8</v>
      </c>
      <c r="B202" s="11" t="inlineStr">
        <is>
          <t>8.05</t>
        </is>
      </c>
      <c r="C202" s="12" t="inlineStr">
        <is>
          <t>Get it ready to send</t>
        </is>
      </c>
      <c r="D202" s="12" t="inlineStr">
        <is>
          <t>Contracts</t>
        </is>
      </c>
      <c r="E202" s="13" t="inlineStr">
        <is>
          <t>Make Sophia read to the end and tick before signing</t>
        </is>
      </c>
      <c r="F202" s="14" t="inlineStr">
        <is>
          <t>1. Click "eSignatures" in the toolbar
2. Under "Before the client signs", switch on "Read to the end" and "Tick to accept"
3. In "The words they tick", type: I have read and agree to the service agreement.
4. Close the panel</t>
        </is>
      </c>
      <c r="G202" s="14" t="inlineStr">
        <is>
          <t>The panel lists four fillable fields (Studio / Client signature and initial); both switches stay on and your words are kept</t>
        </is>
      </c>
      <c r="H202" s="12" t="inlineStr">
        <is>
          <t>Different from 1.0: only library documents had these checks</t>
        </is>
      </c>
      <c r="I202" s="11" t="inlineStr">
        <is>
          <t>Dane</t>
        </is>
      </c>
      <c r="J202" s="15" t="n"/>
      <c r="K202" s="15" t="n"/>
      <c r="L202" s="15" t="n"/>
      <c r="M202" s="16" t="n"/>
      <c r="N202" s="17" t="n"/>
      <c r="O202" s="17" t="n"/>
      <c r="P202" s="15" t="n"/>
    </row>
    <row r="203">
      <c r="A203" s="11" t="n">
        <v>8</v>
      </c>
      <c r="B203" s="11" t="inlineStr">
        <is>
          <t>8.06</t>
        </is>
      </c>
      <c r="C203" s="12" t="inlineStr">
        <is>
          <t>Get it ready to send</t>
        </is>
      </c>
      <c r="D203" s="12" t="inlineStr">
        <is>
          <t>Contracts</t>
        </is>
      </c>
      <c r="E203" s="13" t="inlineStr">
        <is>
          <t>Ask for a follow-up and a thank-you reminder</t>
        </is>
      </c>
      <c r="F203" s="14" t="inlineStr">
        <is>
          <t>1. Click the bell icon in the contract’s header (tooltip "Automation")
2. Switch on "Remind me to follow up"
3. Switch on "Remind me to thank the client"</t>
        </is>
      </c>
      <c r="G203" s="14" t="inlineStr">
        <is>
          <t>Both switches stay on, each explaining the task it adds, and the bell icon stays highlighted</t>
        </is>
      </c>
      <c r="H203" s="12" t="inlineStr">
        <is>
          <t>New in 2.0</t>
        </is>
      </c>
      <c r="I203" s="11" t="inlineStr">
        <is>
          <t>Dane</t>
        </is>
      </c>
      <c r="J203" s="15" t="n"/>
      <c r="K203" s="15" t="n"/>
      <c r="L203" s="15" t="n"/>
      <c r="M203" s="16" t="n"/>
      <c r="N203" s="17" t="n"/>
      <c r="O203" s="17" t="n"/>
      <c r="P203" s="15" t="n"/>
    </row>
    <row r="204">
      <c r="A204" s="11" t="n">
        <v>8</v>
      </c>
      <c r="B204" s="11" t="inlineStr">
        <is>
          <t>8.07</t>
        </is>
      </c>
      <c r="C204" s="12" t="inlineStr">
        <is>
          <t>Get it ready to send</t>
        </is>
      </c>
      <c r="D204" s="12" t="inlineStr">
        <is>
          <t>Contracts</t>
        </is>
      </c>
      <c r="E204" s="13" t="inlineStr">
        <is>
          <t>Send the contract and copy Sophia’s signing link</t>
        </is>
      </c>
      <c r="F204" s="14" t="inlineStr">
        <is>
          <t>1. Click "Send"
2. Check "Client name" and "Client phone (for the code)"
3. Click "Copy link" (not WhatsApp), then close the window with ✕</t>
        </is>
      </c>
      <c r="G204" s="14" t="inlineStr">
        <is>
          <t>Sophia Wong and 9765 4321 are filled in; after "Copy link" the status reads "Sent to Client" and a banner says "not opened yet"</t>
        </is>
      </c>
      <c r="H204" s="12" t="inlineStr">
        <is>
          <t>Different from 1.0: sent on WhatsApp or a copied link, not SMS</t>
        </is>
      </c>
      <c r="I204" s="11" t="inlineStr">
        <is>
          <t>Dane</t>
        </is>
      </c>
      <c r="J204" s="15" t="n"/>
      <c r="K204" s="15" t="n"/>
      <c r="L204" s="15" t="n"/>
      <c r="M204" s="16" t="n"/>
      <c r="N204" s="17" t="n"/>
      <c r="O204" s="17" t="n"/>
      <c r="P204" s="15" t="n"/>
    </row>
    <row r="205">
      <c r="A205" s="11" t="n">
        <v>8</v>
      </c>
      <c r="B205" s="11" t="inlineStr">
        <is>
          <t>8.08</t>
        </is>
      </c>
      <c r="C205" s="12" t="inlineStr">
        <is>
          <t>Sophia signs online</t>
        </is>
      </c>
      <c r="D205" s="12" t="inlineStr">
        <is>
          <t>Contracts</t>
        </is>
      </c>
      <c r="E205" s="13" t="inlineStr">
        <is>
          <t>Open the signing link as Sophia would</t>
        </is>
      </c>
      <c r="F205" s="14" t="inlineStr">
        <is>
          <t>1. Open a new browser tab
2. Paste the copied link into the address bar and press Enter</t>
        </is>
      </c>
      <c r="G205" s="14" t="inlineStr">
        <is>
          <t>Studio name and "Secure signing" on top; the agreement carries Sophia’s name and quote total; the card says "Hi Sophia", phone masked except 4321</t>
        </is>
      </c>
      <c r="H205" s="12" t="inlineStr">
        <is>
          <t>Different from 1.0: she reads first, then gets the code</t>
        </is>
      </c>
      <c r="I205" s="18" t="inlineStr">
        <is>
          <t>Sophia Wong (client)</t>
        </is>
      </c>
      <c r="J205" s="15" t="n"/>
      <c r="K205" s="15" t="n"/>
      <c r="L205" s="15" t="n"/>
      <c r="M205" s="16" t="n"/>
      <c r="N205" s="17" t="n"/>
      <c r="O205" s="17" t="n"/>
      <c r="P205" s="15" t="n"/>
    </row>
    <row r="206">
      <c r="A206" s="11" t="n">
        <v>8</v>
      </c>
      <c r="B206" s="11" t="inlineStr">
        <is>
          <t>8.09</t>
        </is>
      </c>
      <c r="C206" s="12" t="inlineStr">
        <is>
          <t>Sophia signs online</t>
        </is>
      </c>
      <c r="D206" s="12" t="inlineStr">
        <is>
          <t>Contracts</t>
        </is>
      </c>
      <c r="E206" s="13" t="inlineStr">
        <is>
          <t>Check the quote this agreement signs</t>
        </is>
      </c>
      <c r="F206" s="14" t="inlineStr">
        <is>
          <t>1. In the card, click "It signs quotation … — view the quote"
2. Look it over, then close that tab</t>
        </is>
      </c>
      <c r="G206" s="14" t="inlineStr">
        <is>
          <t>Sophia’s quote opens in its own tab as the client sees it, with "Back to the agreement"; nothing on it can be changed</t>
        </is>
      </c>
      <c r="H206" s="12" t="inlineStr">
        <is>
          <t>Different from 1.0: the quote opens beside, not as a step</t>
        </is>
      </c>
      <c r="I206" s="18" t="inlineStr">
        <is>
          <t>Sophia Wong (client)</t>
        </is>
      </c>
      <c r="J206" s="15" t="n"/>
      <c r="K206" s="15" t="n"/>
      <c r="L206" s="15" t="n"/>
      <c r="M206" s="16" t="n"/>
      <c r="N206" s="17" t="n"/>
      <c r="O206" s="17" t="n"/>
      <c r="P206" s="15" t="n"/>
    </row>
    <row r="207">
      <c r="A207" s="11" t="n">
        <v>8</v>
      </c>
      <c r="B207" s="11" t="inlineStr">
        <is>
          <t>8.10</t>
        </is>
      </c>
      <c r="C207" s="12" t="inlineStr">
        <is>
          <t>Sophia signs online</t>
        </is>
      </c>
      <c r="D207" s="12" t="inlineStr">
        <is>
          <t>Contracts</t>
        </is>
      </c>
      <c r="E207" s="13" t="inlineStr">
        <is>
          <t>Read to the end and accept the terms</t>
        </is>
      </c>
      <c r="F207" s="14" t="inlineStr">
        <is>
          <t>1. Note that "Send code" is greyed out
2. Scroll to the very end of the agreement
3. Tick "I have read and agree to the service agreement."</t>
        </is>
      </c>
      <c r="G207" s="14" t="inlineStr">
        <is>
          <t>The card changes to "You’ve read to the end"; after the tick "Send code" can be pressed</t>
        </is>
      </c>
      <c r="H207" s="12" t="inlineStr">
        <is>
          <t>Same as 1.0</t>
        </is>
      </c>
      <c r="I207" s="18" t="inlineStr">
        <is>
          <t>Sophia Wong (client)</t>
        </is>
      </c>
      <c r="J207" s="15" t="n"/>
      <c r="K207" s="15" t="n"/>
      <c r="L207" s="15" t="n"/>
      <c r="M207" s="16" t="n"/>
      <c r="N207" s="17" t="n"/>
      <c r="O207" s="17" t="n"/>
      <c r="P207" s="15" t="n"/>
    </row>
    <row r="208">
      <c r="A208" s="11" t="n">
        <v>8</v>
      </c>
      <c r="B208" s="11" t="inlineStr">
        <is>
          <t>8.11</t>
        </is>
      </c>
      <c r="C208" s="12" t="inlineStr">
        <is>
          <t>Sophia signs online</t>
        </is>
      </c>
      <c r="D208" s="12" t="inlineStr">
        <is>
          <t>Contracts</t>
        </is>
      </c>
      <c r="E208" s="13" t="inlineStr">
        <is>
          <t>Change the contract while Sophia is signing</t>
        </is>
      </c>
      <c r="F208" s="14" t="inlineStr">
        <is>
          <t>1. Click "Send code", type any six digits (e.g. 123456 — stands in for the SMS code), click "Verify"
2. Switch to the studio tab, type a word into clause 1 and wait for "Saved just now"
3. Back in Sophia’s tab, click "Sign agreement"</t>
        </is>
      </c>
      <c r="G208" s="14" t="inlineStr">
        <is>
          <t>A message says the agreement was updated while she was reading; the page goes back to the start with the new text</t>
        </is>
      </c>
      <c r="H208" s="12" t="inlineStr">
        <is>
          <t>Same as 1.0</t>
        </is>
      </c>
      <c r="I208" s="18" t="inlineStr">
        <is>
          <t>Sophia Wong (client)</t>
        </is>
      </c>
      <c r="J208" s="15" t="n"/>
      <c r="K208" s="15" t="n"/>
      <c r="L208" s="15" t="n"/>
      <c r="M208" s="16" t="n"/>
      <c r="N208" s="17" t="n"/>
      <c r="O208" s="17" t="n"/>
      <c r="P208" s="15" t="n"/>
    </row>
    <row r="209">
      <c r="A209" s="11" t="n">
        <v>8</v>
      </c>
      <c r="B209" s="11" t="inlineStr">
        <is>
          <t>8.12</t>
        </is>
      </c>
      <c r="C209" s="12" t="inlineStr">
        <is>
          <t>Sophia signs online</t>
        </is>
      </c>
      <c r="D209" s="12" t="inlineStr">
        <is>
          <t>Contracts</t>
        </is>
      </c>
      <c r="E209" s="13" t="inlineStr">
        <is>
          <t>Sign by drawing, with an NRIC</t>
        </is>
      </c>
      <c r="F209" s="14" t="inlineStr">
        <is>
          <t>1. Scroll to the end, tick, click "Send code", type 123456, click "Verify"
2. Choose "Draw" and sign on the pad with the mouse
3. Type S1234567A in "NRIC / FIN (optional)"
4. Click "Sign agreement"</t>
        </is>
      </c>
      <c r="G209" s="14" t="inlineStr">
        <is>
          <t>Under the NRIC it reads "Kept as •••••567A"; the sentence above names the agreement and her quote; the card then shows "Signed"</t>
        </is>
      </c>
      <c r="H209" s="12" t="inlineStr">
        <is>
          <t>Different from 1.0: type or draw; NRIC optional, kept masked</t>
        </is>
      </c>
      <c r="I209" s="18" t="inlineStr">
        <is>
          <t>Sophia Wong (client)</t>
        </is>
      </c>
      <c r="J209" s="15" t="n"/>
      <c r="K209" s="15" t="n"/>
      <c r="L209" s="15" t="n"/>
      <c r="M209" s="16" t="n"/>
      <c r="N209" s="17" t="n"/>
      <c r="O209" s="17" t="n"/>
      <c r="P209" s="15" t="n"/>
    </row>
    <row r="210">
      <c r="A210" s="11" t="n">
        <v>8</v>
      </c>
      <c r="B210" s="11" t="inlineStr">
        <is>
          <t>8.13</t>
        </is>
      </c>
      <c r="C210" s="12" t="inlineStr">
        <is>
          <t>Sophia signs online</t>
        </is>
      </c>
      <c r="D210" s="12" t="inlineStr">
        <is>
          <t>Contracts</t>
        </is>
      </c>
      <c r="E210" s="13" t="inlineStr">
        <is>
          <t>Look at the proof of signing</t>
        </is>
      </c>
      <c r="F210" s="14" t="inlineStr">
        <is>
          <t>1. Scroll below the agreement to "Signing record"
2. Click "Download a copy" in the card, then cancel the print</t>
        </is>
      </c>
      <c r="G210" s="14" t="inlineStr">
        <is>
          <t>The record lists Sophia Wong, "Drawn by hand", •••••567A, the masked phone, device, times and a fingerprint; the print shows letterhead and signatures</t>
        </is>
      </c>
      <c r="H210" s="12" t="inlineStr">
        <is>
          <t>Different from 1.0: on the page, not a PDF certificate</t>
        </is>
      </c>
      <c r="I210" s="18" t="inlineStr">
        <is>
          <t>Sophia Wong (client)</t>
        </is>
      </c>
      <c r="J210" s="15" t="n"/>
      <c r="K210" s="15" t="n"/>
      <c r="L210" s="15" t="n"/>
      <c r="M210" s="16" t="n"/>
      <c r="N210" s="17" t="n"/>
      <c r="O210" s="17" t="n"/>
      <c r="P210" s="15" t="n"/>
    </row>
    <row r="211">
      <c r="A211" s="11" t="n">
        <v>8</v>
      </c>
      <c r="B211" s="11" t="inlineStr">
        <is>
          <t>8.14</t>
        </is>
      </c>
      <c r="C211" s="12" t="inlineStr">
        <is>
          <t>Back at the studio</t>
        </is>
      </c>
      <c r="D211" s="12" t="inlineStr">
        <is>
          <t>Contracts</t>
        </is>
      </c>
      <c r="E211" s="13" t="inlineStr">
        <is>
          <t>See the signed contract locked in the studio</t>
        </is>
      </c>
      <c r="F211" s="14" t="inlineStr">
        <is>
          <t>1. Go back to the studio tab and refresh the page
2. Try to type in the agreement or change the title
3. Click "Signing record" in the banner</t>
        </is>
      </c>
      <c r="G211" s="14" t="inlineStr">
        <is>
          <t>Status "Signed" with a signed-date chip; the banner says Sophia signed online and it stays signed; nothing edits; the record matches hers</t>
        </is>
      </c>
      <c r="H211" s="12" t="inlineStr">
        <is>
          <t>Same as 1.0</t>
        </is>
      </c>
      <c r="I211" s="11" t="inlineStr">
        <is>
          <t>Dane</t>
        </is>
      </c>
      <c r="J211" s="15" t="n"/>
      <c r="K211" s="15" t="n"/>
      <c r="L211" s="15" t="n"/>
      <c r="M211" s="16" t="n"/>
      <c r="N211" s="17" t="n"/>
      <c r="O211" s="17" t="n"/>
      <c r="P211" s="15" t="n"/>
    </row>
    <row r="212">
      <c r="A212" s="11" t="n">
        <v>8</v>
      </c>
      <c r="B212" s="11" t="inlineStr">
        <is>
          <t>8.15</t>
        </is>
      </c>
      <c r="C212" s="12" t="inlineStr">
        <is>
          <t>Back at the studio</t>
        </is>
      </c>
      <c r="D212" s="12" t="inlineStr">
        <is>
          <t>Quotes</t>
        </is>
      </c>
      <c r="E212" s="13" t="inlineStr">
        <is>
          <t>Check her quote is now signed</t>
        </is>
      </c>
      <c r="F212" s="14" t="inlineStr">
        <is>
          <t>1. Close the contract with ✕ — you land back on her quote
2. Look at the status and the chips beside the title
3. Click the "Contract · Signed" chip</t>
        </is>
      </c>
      <c r="G212" s="14" t="inlineStr">
        <is>
          <t>The quote reads "Signed"; a "Contract · Signed" chip sits by the title and opens the contract</t>
        </is>
      </c>
      <c r="H212" s="12" t="inlineStr">
        <is>
          <t>Same as 1.0</t>
        </is>
      </c>
      <c r="I212" s="11" t="inlineStr">
        <is>
          <t>Dane</t>
        </is>
      </c>
      <c r="J212" s="15" t="n"/>
      <c r="K212" s="15" t="n"/>
      <c r="L212" s="15" t="n"/>
      <c r="M212" s="16" t="n"/>
      <c r="N212" s="17" t="n"/>
      <c r="O212" s="17" t="n"/>
      <c r="P212" s="15" t="n"/>
    </row>
    <row r="213">
      <c r="A213" s="11" t="n">
        <v>8</v>
      </c>
      <c r="B213" s="11" t="inlineStr">
        <is>
          <t>8.16</t>
        </is>
      </c>
      <c r="C213" s="12" t="inlineStr">
        <is>
          <t>Back at the studio</t>
        </is>
      </c>
      <c r="D213" s="12" t="inlineStr">
        <is>
          <t>Lead details</t>
        </is>
      </c>
      <c r="E213" s="13" t="inlineStr">
        <is>
          <t>Check the two reminders became tasks</t>
        </is>
      </c>
      <c r="F213" s="14" t="inlineStr">
        <is>
          <t>1. Open Sophia Wong › "Tasks"</t>
        </is>
      </c>
      <c r="G213" s="14" t="inlineStr">
        <is>
          <t>"Follow up on “Interior Design Service Agreement” — not signed yet" is completed; "Thank Sophia Wong for signing “Interior Design Service Agreement”" is due today</t>
        </is>
      </c>
      <c r="H213" s="12" t="inlineStr">
        <is>
          <t>New in 2.0</t>
        </is>
      </c>
      <c r="I213" s="11" t="inlineStr">
        <is>
          <t>Dane</t>
        </is>
      </c>
      <c r="J213" s="15" t="n"/>
      <c r="K213" s="15" t="n"/>
      <c r="L213" s="15" t="n"/>
      <c r="M213" s="16" t="n"/>
      <c r="N213" s="17" t="n"/>
      <c r="O213" s="17" t="n"/>
      <c r="P213" s="15" t="n"/>
    </row>
    <row r="214">
      <c r="A214" s="11" t="n">
        <v>8</v>
      </c>
      <c r="B214" s="11" t="inlineStr">
        <is>
          <t>8.17</t>
        </is>
      </c>
      <c r="C214" s="12" t="inlineStr">
        <is>
          <t>Back at the studio</t>
        </is>
      </c>
      <c r="D214" s="12" t="inlineStr">
        <is>
          <t>Notifications</t>
        </is>
      </c>
      <c r="E214" s="13" t="inlineStr">
        <is>
          <t>See the studio was told she signed</t>
        </is>
      </c>
      <c r="F214" s="14" t="inlineStr">
        <is>
          <t>1. Click "Notifications" (the bell) in the side navigation</t>
        </is>
      </c>
      <c r="G214" s="14" t="inlineStr">
        <is>
          <t>The newest notice reads "Sophia Wong signed Interior Design Service Agreement" and opens her Contracts tab</t>
        </is>
      </c>
      <c r="H214" s="12" t="inlineStr">
        <is>
          <t>Same as 1.0</t>
        </is>
      </c>
      <c r="I214" s="11" t="inlineStr">
        <is>
          <t>Dane</t>
        </is>
      </c>
      <c r="J214" s="15" t="n"/>
      <c r="K214" s="15" t="n"/>
      <c r="L214" s="15" t="n"/>
      <c r="M214" s="16" t="n"/>
      <c r="N214" s="17" t="n"/>
      <c r="O214" s="17" t="n"/>
      <c r="P214" s="15" t="n"/>
    </row>
    <row r="215">
      <c r="A215" s="11" t="n">
        <v>8</v>
      </c>
      <c r="B215" s="11" t="inlineStr">
        <is>
          <t>8.18</t>
        </is>
      </c>
      <c r="C215" s="12" t="inlineStr">
        <is>
          <t>Back at the studio</t>
        </is>
      </c>
      <c r="D215" s="12" t="inlineStr">
        <is>
          <t>Contracts</t>
        </is>
      </c>
      <c r="E215" s="13" t="inlineStr">
        <is>
          <t>Read the contract’s row and try to un-sign it</t>
        </is>
      </c>
      <c r="F215" s="14" t="inlineStr">
        <is>
          <t>1. Open Sophia Wong › "Contracts"
2. Look at the "Signed Copy" and "Sent" columns
3. Click the status "Signed" and try "Draft"</t>
        </is>
      </c>
      <c r="G215" s="14" t="inlineStr">
        <is>
          <t>Signed Copy names the signed-online file; Sent shows "Viewed" with a date; "Draft" and "Sent to Client" say "signed by the client" and do nothing</t>
        </is>
      </c>
      <c r="H215" s="12" t="inlineStr">
        <is>
          <t>Different from 1.0: Viewed is a date, not a status</t>
        </is>
      </c>
      <c r="I215" s="11" t="inlineStr">
        <is>
          <t>Dane</t>
        </is>
      </c>
      <c r="J215" s="15" t="n"/>
      <c r="K215" s="15" t="n"/>
      <c r="L215" s="15" t="n"/>
      <c r="M215" s="16" t="n"/>
      <c r="N215" s="17" t="n"/>
      <c r="O215" s="17" t="n"/>
      <c r="P215" s="15" t="n"/>
    </row>
    <row r="216">
      <c r="A216" s="11" t="n">
        <v>8</v>
      </c>
      <c r="B216" s="11" t="inlineStr">
        <is>
          <t>8.19</t>
        </is>
      </c>
      <c r="C216" s="12" t="inlineStr">
        <is>
          <t>Gerald Tan: paper and a pair of documents</t>
        </is>
      </c>
      <c r="D216" s="12" t="inlineStr">
        <is>
          <t>Contracts</t>
        </is>
      </c>
      <c r="E216" s="13" t="inlineStr">
        <is>
          <t>Record Gerald Tan’s contract signed on paper</t>
        </is>
      </c>
      <c r="F216" s="14" t="inlineStr">
        <is>
          <t>1. Open Gerald Tan › "Contracts" › "New Contract" › "Import from File"
2. Type "Signed paper contract" in "Contract title" and upload the PDF
3. Switch on "This copy is already signed"
4. Click "Import"</t>
        </is>
      </c>
      <c r="G216" s="14" t="inlineStr">
        <is>
          <t>"Signed contract imported"; it opens with "Signed …" and "Uploaded PDF" chips and a banner "Marked signed on …"</t>
        </is>
      </c>
      <c r="H216" s="12" t="inlineStr">
        <is>
          <t>Different from 1.0: the upload becomes a contract, not a lead flag</t>
        </is>
      </c>
      <c r="I216" s="11" t="inlineStr">
        <is>
          <t>Dane</t>
        </is>
      </c>
      <c r="J216" s="15" t="n"/>
      <c r="K216" s="15" t="n"/>
      <c r="L216" s="15" t="n"/>
      <c r="M216" s="16" t="n"/>
      <c r="N216" s="17" t="n"/>
      <c r="O216" s="17" t="n"/>
      <c r="P216" s="15" t="n"/>
    </row>
    <row r="217">
      <c r="A217" s="11" t="n">
        <v>8</v>
      </c>
      <c r="B217" s="11" t="inlineStr">
        <is>
          <t>8.20</t>
        </is>
      </c>
      <c r="C217" s="12" t="inlineStr">
        <is>
          <t>Gerald Tan: paper and a pair of documents</t>
        </is>
      </c>
      <c r="D217" s="12" t="inlineStr">
        <is>
          <t>Contracts</t>
        </is>
      </c>
      <c r="E217" s="13" t="inlineStr">
        <is>
          <t>Take back a signing recorded by mistake</t>
        </is>
      </c>
      <c r="F217" s="14" t="inlineStr">
        <is>
          <t>1. Click the status "Signed" › "Draft"
2. Read the question, then click "Move back"</t>
        </is>
      </c>
      <c r="G217" s="14" t="inlineStr">
        <is>
          <t>"Move back to Draft?" says the signed date and copies are cleared; then the status reads "Draft" and the Signed chip is gone</t>
        </is>
      </c>
      <c r="H217" s="12" t="inlineStr">
        <is>
          <t>Different from 1.0: 1.0 never reopened a signed contract</t>
        </is>
      </c>
      <c r="I217" s="11" t="inlineStr">
        <is>
          <t>Dane</t>
        </is>
      </c>
      <c r="J217" s="15" t="n"/>
      <c r="K217" s="15" t="n"/>
      <c r="L217" s="15" t="n"/>
      <c r="M217" s="16" t="n"/>
      <c r="N217" s="17" t="n"/>
      <c r="O217" s="17" t="n"/>
      <c r="P217" s="15" t="n"/>
    </row>
    <row r="218">
      <c r="A218" s="11" t="n">
        <v>8</v>
      </c>
      <c r="B218" s="11" t="inlineStr">
        <is>
          <t>8.21</t>
        </is>
      </c>
      <c r="C218" s="12" t="inlineStr">
        <is>
          <t>Gerald Tan: paper and a pair of documents</t>
        </is>
      </c>
      <c r="D218" s="12" t="inlineStr">
        <is>
          <t>Contracts</t>
        </is>
      </c>
      <c r="E218" s="13" t="inlineStr">
        <is>
          <t>Mark it signed again with today’s date</t>
        </is>
      </c>
      <c r="F218" s="14" t="inlineStr">
        <is>
          <t>1. Click the status "Draft" › "Signed"
2. Keep today in "Signed on" (attaching a copy is optional)
3. Click "Mark as signed"</t>
        </is>
      </c>
      <c r="G218" s="14" t="inlineStr">
        <is>
          <t>"Contract marked Signed"; the banner says it was marked signed today and an Owner or an Admin can move it back</t>
        </is>
      </c>
      <c r="H218" s="12" t="inlineStr">
        <is>
          <t>Same as 1.0</t>
        </is>
      </c>
      <c r="I218" s="11" t="inlineStr">
        <is>
          <t>Dane</t>
        </is>
      </c>
      <c r="J218" s="15" t="n"/>
      <c r="K218" s="15" t="n"/>
      <c r="L218" s="15" t="n"/>
      <c r="M218" s="16" t="n"/>
      <c r="N218" s="17" t="n"/>
      <c r="O218" s="17" t="n"/>
      <c r="P218" s="15" t="n"/>
    </row>
    <row r="219">
      <c r="A219" s="11" t="n">
        <v>8</v>
      </c>
      <c r="B219" s="11" t="inlineStr">
        <is>
          <t>8.22</t>
        </is>
      </c>
      <c r="C219" s="12" t="inlineStr">
        <is>
          <t>Gerald Tan: paper and a pair of documents</t>
        </is>
      </c>
      <c r="D219" s="12" t="inlineStr">
        <is>
          <t>Contracts</t>
        </is>
      </c>
      <c r="E219" s="13" t="inlineStr">
        <is>
          <t>Try sending a variation order with nowhere to sign</t>
        </is>
      </c>
      <c r="F219" s="14" t="inlineStr">
        <is>
          <t>1. Close with ✕, then "New Contract" › "From Template" › "Variations" › "Variation Order" › "Use template"
2. Click "Send"
3. Click "Show me" on the message (or "eSignatures"), then "Insert" beside "Client signature"
4. Close the contract with ✕</t>
        </is>
      </c>
      <c r="G219" s="14" t="inlineStr">
        <is>
          <t>Send refuses: "Before you send: There’s no Client signature field — insert one from eSignatures"; after Insert a Client signature box ends the document</t>
        </is>
      </c>
      <c r="H219" s="12" t="inlineStr">
        <is>
          <t>Different from 1.0: 1.0 only checked for an empty page</t>
        </is>
      </c>
      <c r="I219" s="11" t="inlineStr">
        <is>
          <t>Dane</t>
        </is>
      </c>
      <c r="J219" s="15" t="n"/>
      <c r="K219" s="15" t="n"/>
      <c r="L219" s="15" t="n"/>
      <c r="M219" s="16" t="n"/>
      <c r="N219" s="17" t="n"/>
      <c r="O219" s="17" t="n"/>
      <c r="P219" s="15" t="n"/>
    </row>
    <row r="220">
      <c r="A220" s="11" t="n">
        <v>8</v>
      </c>
      <c r="B220" s="11" t="inlineStr">
        <is>
          <t>8.23</t>
        </is>
      </c>
      <c r="C220" s="12" t="inlineStr">
        <is>
          <t>Gerald Tan: paper and a pair of documents</t>
        </is>
      </c>
      <c r="D220" s="12" t="inlineStr">
        <is>
          <t>Contracts</t>
        </is>
      </c>
      <c r="E220" s="13" t="inlineStr">
        <is>
          <t>Send Gerald two documents under one link</t>
        </is>
      </c>
      <c r="F220" s="14" t="inlineStr">
        <is>
          <t>1. "New Contract" › "From the studio agreement", then close it with ✕
2. Click ⋮ "More options" › "Send together for signature"
3. Click "Copy link"
4. Click "Send via WhatsApp" — a WhatsApp tab opens; close it, do not send</t>
        </is>
      </c>
      <c r="G220" s="14" t="inlineStr">
        <is>
          <t>Both documents are ticked and numbered in reading order; afterwards both rows read "Sent to Client" and "2 documents sent under one link" shows</t>
        </is>
      </c>
      <c r="H220" s="12" t="inlineStr">
        <is>
          <t>Different from 1.0: contracts go together; the quote signs through them</t>
        </is>
      </c>
      <c r="I220" s="11" t="inlineStr">
        <is>
          <t>Dane</t>
        </is>
      </c>
      <c r="J220" s="15" t="n"/>
      <c r="K220" s="15" t="n"/>
      <c r="L220" s="15" t="n"/>
      <c r="M220" s="16" t="n"/>
      <c r="N220" s="17" t="n"/>
      <c r="O220" s="17" t="n"/>
      <c r="P220" s="15" t="n"/>
    </row>
    <row r="221">
      <c r="A221" s="11" t="n">
        <v>8</v>
      </c>
      <c r="B221" s="11" t="inlineStr">
        <is>
          <t>8.24</t>
        </is>
      </c>
      <c r="C221" s="12" t="inlineStr">
        <is>
          <t>Gerald Tan: paper and a pair of documents</t>
        </is>
      </c>
      <c r="D221" s="12" t="inlineStr">
        <is>
          <t>Contracts</t>
        </is>
      </c>
      <c r="E221" s="13" t="inlineStr">
        <is>
          <t>Sign both documents once, as Gerald</t>
        </is>
      </c>
      <c r="F221" s="14" t="inlineStr">
        <is>
          <t>1. Paste the copied link into a new tab
2. Read each document; where asked, scroll to the end and tick, then "Continue" / "Continue to sign"
3. Type 123456, click "Verify"
4. Click "Sign 2 documents"</t>
        </is>
      </c>
      <c r="G221" s="14" t="inlineStr">
        <is>
          <t>One document per screen ("Document 1 of 2", progress bar); the final sentence names both; the card ends "All 2 documents signed by Gerald Tan"</t>
        </is>
      </c>
      <c r="H221" s="12" t="inlineStr">
        <is>
          <t>Same as 1.0</t>
        </is>
      </c>
      <c r="I221" s="18" t="inlineStr">
        <is>
          <t>Gerald Tan (client)</t>
        </is>
      </c>
      <c r="J221" s="15" t="n"/>
      <c r="K221" s="15" t="n"/>
      <c r="L221" s="15" t="n"/>
      <c r="M221" s="16" t="n"/>
      <c r="N221" s="17" t="n"/>
      <c r="O221" s="17" t="n"/>
      <c r="P221" s="15" t="n"/>
    </row>
    <row r="222">
      <c r="A222" s="11" t="n">
        <v>8</v>
      </c>
      <c r="B222" s="11" t="inlineStr">
        <is>
          <t>8.25</t>
        </is>
      </c>
      <c r="C222" s="12" t="inlineStr">
        <is>
          <t>Keeping track</t>
        </is>
      </c>
      <c r="D222" s="12" t="inlineStr">
        <is>
          <t>Contracts</t>
        </is>
      </c>
      <c r="E222" s="13" t="inlineStr">
        <is>
          <t>Find Gerald’s contracts studio-wide and delete one</t>
        </is>
      </c>
      <c r="F222" s="14" t="inlineStr">
        <is>
          <t>1. Side navigation "Tools" › "Contracts"
2. Type Gerald in the search box
3. On "Signed paper contract": ⋮ "More actions" › "Copy Link", then ⋮ › "Delete" › "Yes"</t>
        </is>
      </c>
      <c r="G222" s="14" t="inlineStr">
        <is>
          <t>Only Gerald Tan’s contracts show, with a "Lead" column; "Contract deleted" appears and the row disappears</t>
        </is>
      </c>
      <c r="H222" s="12" t="inlineStr">
        <is>
          <t>New in 2.0</t>
        </is>
      </c>
      <c r="I222" s="11" t="inlineStr">
        <is>
          <t>Dane</t>
        </is>
      </c>
      <c r="J222" s="15" t="n"/>
      <c r="K222" s="15" t="n"/>
      <c r="L222" s="15" t="n"/>
      <c r="M222" s="16" t="n"/>
      <c r="N222" s="17" t="n"/>
      <c r="O222" s="17" t="n"/>
      <c r="P222" s="15" t="n"/>
    </row>
    <row r="223">
      <c r="A223" s="11" t="n">
        <v>8</v>
      </c>
      <c r="B223" s="11" t="inlineStr">
        <is>
          <t>8.26</t>
        </is>
      </c>
      <c r="C223" s="12" t="inlineStr">
        <is>
          <t>Keeping track</t>
        </is>
      </c>
      <c r="D223" s="12" t="inlineStr">
        <is>
          <t>Contracts</t>
        </is>
      </c>
      <c r="E223" s="13" t="inlineStr">
        <is>
          <t>Check the deleted contract’s link is dead, then restore it</t>
        </is>
      </c>
      <c r="F223" s="14" t="inlineStr">
        <is>
          <t>1. Paste the copied link into a new tab
2. Back in Tools › Contracts, click ⋮ "More options" › "Deleted Contracts"
3. Click "Restore" on "Signed paper contract"</t>
        </is>
      </c>
      <c r="G223" s="14" t="inlineStr">
        <is>
          <t>The link reads "This link is no longer active"; the list shows Lead Gerald Tan, Deleted by Dane; Restore puts it back</t>
        </is>
      </c>
      <c r="H223" s="12" t="inlineStr">
        <is>
          <t>Different from 1.0: deleted contracts can be restored</t>
        </is>
      </c>
      <c r="I223" s="11" t="inlineStr">
        <is>
          <t>Dane</t>
        </is>
      </c>
      <c r="J223" s="15" t="n"/>
      <c r="K223" s="15" t="n"/>
      <c r="L223" s="15" t="n"/>
      <c r="M223" s="16" t="n"/>
      <c r="N223" s="17" t="n"/>
      <c r="O223" s="17" t="n"/>
      <c r="P223" s="15" t="n"/>
    </row>
    <row r="224" ht="22" customHeight="1">
      <c r="A224" s="9" t="inlineStr">
        <is>
          <t>Chapter 9 · Win, park or lose — Won, On Hold, Lost, Resume, Return, Delete.</t>
        </is>
      </c>
      <c r="M224" s="10" t="n"/>
    </row>
    <row r="225">
      <c r="A225" s="11" t="n">
        <v>9</v>
      </c>
      <c r="B225" s="11" t="inlineStr">
        <is>
          <t>9.01</t>
        </is>
      </c>
      <c r="C225" s="12" t="inlineStr">
        <is>
          <t>Win Sophia</t>
        </is>
      </c>
      <c r="D225" s="12" t="inlineStr">
        <is>
          <t>Lead details</t>
        </is>
      </c>
      <c r="E225" s="13" t="inlineStr">
        <is>
          <t>Check Sophia is ready to be won</t>
        </is>
      </c>
      <c r="F225" s="14" t="inlineStr">
        <is>
          <t>1. Open Sophia Wong
2. Read the stage button and the "LEAD STAGES" card
3. Open the "Quotes" tab, then the "Contracts" tab</t>
        </is>
      </c>
      <c r="G225" s="14" t="inlineStr">
        <is>
          <t>"Stage: Quote Sent" with New, Contacted and Met ticked; her quote and her contract both read Signed (chapters 6 and 8).</t>
        </is>
      </c>
      <c r="H225" s="12" t="inlineStr">
        <is>
          <t>Different from 1.0: signing doesn't move the lead by itself</t>
        </is>
      </c>
      <c r="I225" s="11" t="inlineStr">
        <is>
          <t>Dane</t>
        </is>
      </c>
      <c r="J225" s="15" t="n"/>
      <c r="K225" s="15" t="n"/>
      <c r="L225" s="15" t="n"/>
      <c r="M225" s="16" t="n"/>
      <c r="N225" s="17" t="n"/>
      <c r="O225" s="17" t="n"/>
      <c r="P225" s="15" t="n"/>
    </row>
    <row r="226">
      <c r="A226" s="11" t="n">
        <v>9</v>
      </c>
      <c r="B226" s="11" t="inlineStr">
        <is>
          <t>9.02</t>
        </is>
      </c>
      <c r="C226" s="12" t="inlineStr">
        <is>
          <t>Win Sophia</t>
        </is>
      </c>
      <c r="D226" s="12" t="inlineStr">
        <is>
          <t>Lead details</t>
        </is>
      </c>
      <c r="E226" s="13" t="inlineStr">
        <is>
          <t>Open the Won step from Convert to Project</t>
        </is>
      </c>
      <c r="F226" s="14" t="inlineStr">
        <is>
          <t>1. Point at, then press, "Convert to Project"
2. Read "Attach client signed quote" and "Attach client signed contract"</t>
        </is>
      </c>
      <c r="G226" s="14" t="inlineStr">
        <is>
          <t>"Moving to Won" opens with her signed quote (OM-… · Signed on …) and her signed contract already picked under "From System".</t>
        </is>
      </c>
      <c r="H226" s="12" t="inlineStr">
        <is>
          <t>Different from 1.0: the Won step checks quote, contract and split</t>
        </is>
      </c>
      <c r="I226" s="11" t="inlineStr">
        <is>
          <t>Dane</t>
        </is>
      </c>
      <c r="J226" s="15" t="n"/>
      <c r="K226" s="15" t="n"/>
      <c r="L226" s="15" t="n"/>
      <c r="M226" s="16" t="n"/>
      <c r="N226" s="17" t="n"/>
      <c r="O226" s="17" t="n"/>
      <c r="P226" s="15" t="n"/>
    </row>
    <row r="227">
      <c r="A227" s="11" t="n">
        <v>9</v>
      </c>
      <c r="B227" s="11" t="inlineStr">
        <is>
          <t>9.03</t>
        </is>
      </c>
      <c r="C227" s="12" t="inlineStr">
        <is>
          <t>Win Sophia</t>
        </is>
      </c>
      <c r="D227" s="12" t="inlineStr">
        <is>
          <t>Lead details</t>
        </is>
      </c>
      <c r="E227" s="13" t="inlineStr">
        <is>
          <t>Check the payment split must add up to 100%</t>
        </is>
      </c>
      <c r="F227" s="14" t="inlineStr">
        <is>
          <t>1. Under "Payment milestone" read the four rows
2. Change Deposit from 10 to 20
3. Press "Save &amp; Convert to Project"
4. Press "Reset to default"</t>
        </is>
      </c>
      <c r="G227" s="14" t="inlineStr">
        <is>
          <t>The split is 10/30/30/30% of her quote total; at 20 the tag reads 110% and "Milestones must add up to 100%"; Reset restores 100%.</t>
        </is>
      </c>
      <c r="H227" s="12" t="inlineStr">
        <is>
          <t>New in 2.0</t>
        </is>
      </c>
      <c r="I227" s="11" t="inlineStr">
        <is>
          <t>Dane</t>
        </is>
      </c>
      <c r="J227" s="15" t="n"/>
      <c r="K227" s="15" t="n"/>
      <c r="L227" s="15" t="n"/>
      <c r="M227" s="16" t="n"/>
      <c r="N227" s="17" t="n"/>
      <c r="O227" s="17" t="n"/>
      <c r="P227" s="15" t="n"/>
    </row>
    <row r="228">
      <c r="A228" s="11" t="n">
        <v>9</v>
      </c>
      <c r="B228" s="11" t="inlineStr">
        <is>
          <t>9.04</t>
        </is>
      </c>
      <c r="C228" s="12" t="inlineStr">
        <is>
          <t>Win Sophia</t>
        </is>
      </c>
      <c r="D228" s="12" t="inlineStr">
        <is>
          <t>Lead details</t>
        </is>
      </c>
      <c r="E228" s="13" t="inlineStr">
        <is>
          <t>Win Sophia and convert her to a project</t>
        </is>
      </c>
      <c r="F228" s="14" t="inlineStr">
        <is>
          <t>1. Leave "Project type" on Whole-home renovation
2. Press "Save &amp; Convert to Project"
3. Press "Convert to Project" again</t>
        </is>
      </c>
      <c r="G228" s="14" t="inlineStr">
        <is>
          <t>"Project created for Sophia Wong · OM-…"; "Stage: Won" with every stage ticked; the second press says "Coming soon in OpenMaison 2.0".</t>
        </is>
      </c>
      <c r="H228" s="12" t="inlineStr">
        <is>
          <t>Different from 1.0: no draft project is created yet</t>
        </is>
      </c>
      <c r="I228" s="11" t="inlineStr">
        <is>
          <t>Dane</t>
        </is>
      </c>
      <c r="J228" s="15" t="n"/>
      <c r="K228" s="15" t="n"/>
      <c r="L228" s="15" t="n"/>
      <c r="M228" s="16" t="n"/>
      <c r="N228" s="17" t="n"/>
      <c r="O228" s="17" t="n"/>
      <c r="P228" s="15" t="n"/>
    </row>
    <row r="229">
      <c r="A229" s="11" t="n">
        <v>9</v>
      </c>
      <c r="B229" s="11" t="inlineStr">
        <is>
          <t>9.05</t>
        </is>
      </c>
      <c r="C229" s="12" t="inlineStr">
        <is>
          <t>Park and resume</t>
        </is>
      </c>
      <c r="D229" s="12" t="inlineStr">
        <is>
          <t>Leads</t>
        </is>
      </c>
      <c r="E229" s="13" t="inlineStr">
        <is>
          <t>Put a lead on hold until a date you choose</t>
        </is>
      </c>
      <c r="F229" s="14" t="inlineStr">
        <is>
          <t>1. On Leads, click Priya Nair's Stage cell, then "On Hold"
2. "Reason": Client not ready; under "Duration" choose "Custom"
3. "Follow up on": a date about two months away
4. Press "Save &amp; Move"</t>
        </is>
      </c>
      <c r="G229" s="14" t="inlineStr">
        <is>
          <t>The helper reads "Next follow up date will be" your date; "Moved to On Hold" (with Undo); her row adds "On hold till:" that date.</t>
        </is>
      </c>
      <c r="H229" s="12" t="inlineStr">
        <is>
          <t>Different from 1.0: reason plus date; a reminder comes that day</t>
        </is>
      </c>
      <c r="I229" s="11" t="inlineStr">
        <is>
          <t>Dane</t>
        </is>
      </c>
      <c r="J229" s="15" t="n"/>
      <c r="K229" s="15" t="n"/>
      <c r="L229" s="15" t="n"/>
      <c r="M229" s="16" t="n"/>
      <c r="N229" s="17" t="n"/>
      <c r="O229" s="17" t="n"/>
      <c r="P229" s="15" t="n"/>
    </row>
    <row r="230">
      <c r="A230" s="11" t="n">
        <v>9</v>
      </c>
      <c r="B230" s="11" t="inlineStr">
        <is>
          <t>9.06</t>
        </is>
      </c>
      <c r="C230" s="12" t="inlineStr">
        <is>
          <t>Park and resume</t>
        </is>
      </c>
      <c r="D230" s="12" t="inlineStr">
        <is>
          <t>Lead details</t>
        </is>
      </c>
      <c r="E230" s="13" t="inlineStr">
        <is>
          <t>Resume a lead that was on hold</t>
        </is>
      </c>
      <c r="F230" s="14" t="inlineStr">
        <is>
          <t>1. Open Mei Ling Tan
2. Read her "On Hold" row in "LEAD STAGES"
3. Click "Stage: On Hold", then "Contacted"
4. Press "Resume"</t>
        </is>
      </c>
      <c r="G230" s="14" t="inlineStr">
        <is>
          <t>Her row shows the till-date and "Property delay"; "Resume at Contacted?" asks first; then "Moved to Contacted".</t>
        </is>
      </c>
      <c r="H230" s="12" t="inlineStr">
        <is>
          <t>Different from 1.0: resume at any stage, after a confirm</t>
        </is>
      </c>
      <c r="I230" s="11" t="inlineStr">
        <is>
          <t>Dane</t>
        </is>
      </c>
      <c r="J230" s="15" t="n"/>
      <c r="K230" s="15" t="n"/>
      <c r="L230" s="15" t="n"/>
      <c r="M230" s="16" t="n"/>
      <c r="N230" s="17" t="n"/>
      <c r="O230" s="17" t="n"/>
      <c r="P230" s="15" t="n"/>
    </row>
    <row r="231">
      <c r="A231" s="11" t="n">
        <v>9</v>
      </c>
      <c r="B231" s="11" t="inlineStr">
        <is>
          <t>9.07</t>
        </is>
      </c>
      <c r="C231" s="12" t="inlineStr">
        <is>
          <t>When a lead goes cold</t>
        </is>
      </c>
      <c r="D231" s="12" t="inlineStr">
        <is>
          <t>Lead details</t>
        </is>
      </c>
      <c r="E231" s="13" t="inlineStr">
        <is>
          <t>See the hint before marking a lead lost</t>
        </is>
      </c>
      <c r="F231" s="14" t="inlineStr">
        <is>
          <t>1. Open Jonathan Teo
2. Click "Stage: Contacted", then "Lost"
3. Set "Reason" to Unresponsive</t>
        </is>
      </c>
      <c r="G231" s="14" t="inlineStr">
        <is>
          <t>A hint under Reason counts his logged contacts, like "1 of 3 contacts logged — this reason usually follows 3"; it never blocks saving.</t>
        </is>
      </c>
      <c r="H231" s="12" t="inlineStr">
        <is>
          <t>Different from 1.0: a hint only, never a block</t>
        </is>
      </c>
      <c r="I231" s="11" t="inlineStr">
        <is>
          <t>Dane</t>
        </is>
      </c>
      <c r="J231" s="15" t="n"/>
      <c r="K231" s="15" t="n"/>
      <c r="L231" s="15" t="n"/>
      <c r="M231" s="16" t="n"/>
      <c r="N231" s="17" t="n"/>
      <c r="O231" s="17" t="n"/>
      <c r="P231" s="15" t="n"/>
    </row>
    <row r="232">
      <c r="A232" s="11" t="n">
        <v>9</v>
      </c>
      <c r="B232" s="11" t="inlineStr">
        <is>
          <t>9.08</t>
        </is>
      </c>
      <c r="C232" s="12" t="inlineStr">
        <is>
          <t>When a lead goes cold</t>
        </is>
      </c>
      <c r="D232" s="12" t="inlineStr">
        <is>
          <t>Lead details</t>
        </is>
      </c>
      <c r="E232" s="13" t="inlineStr">
        <is>
          <t>Mark him lost as postponed, with a restart date</t>
        </is>
      </c>
      <c r="F232" s="14" t="inlineStr">
        <is>
          <t>1. Change "Reason" to Project postponed
2. "Expected restart (optional)": a date about three months away
3. Press "Save &amp; Move"</t>
        </is>
      </c>
      <c r="G232" s="14" t="inlineStr">
        <is>
          <t>"Under 6 months away — consider On Hold instead." appears; then "Moved to Lost" with an "Undo" button.</t>
        </is>
      </c>
      <c r="H232" s="12" t="inlineStr">
        <is>
          <t>Same as 1.0</t>
        </is>
      </c>
      <c r="I232" s="11" t="inlineStr">
        <is>
          <t>Dane</t>
        </is>
      </c>
      <c r="J232" s="15" t="n"/>
      <c r="K232" s="15" t="n"/>
      <c r="L232" s="15" t="n"/>
      <c r="M232" s="16" t="n"/>
      <c r="N232" s="17" t="n"/>
      <c r="O232" s="17" t="n"/>
      <c r="P232" s="15" t="n"/>
    </row>
    <row r="233">
      <c r="A233" s="11" t="n">
        <v>9</v>
      </c>
      <c r="B233" s="11" t="inlineStr">
        <is>
          <t>9.09</t>
        </is>
      </c>
      <c r="C233" s="12" t="inlineStr">
        <is>
          <t>When a lead goes cold</t>
        </is>
      </c>
      <c r="D233" s="12" t="inlineStr">
        <is>
          <t>Lead details</t>
        </is>
      </c>
      <c r="E233" s="13" t="inlineStr">
        <is>
          <t>Take the Lost move back</t>
        </is>
      </c>
      <c r="F233" s="14" t="inlineStr">
        <is>
          <t>1. Press "Undo" in the message straight away
2. Read the stage button and the "LEAD STAGES" card</t>
        </is>
      </c>
      <c r="G233" s="14" t="inlineStr">
        <is>
          <t>Jonathan is back at "Stage: Contacted" and the card has no Lost row.</t>
        </is>
      </c>
      <c r="H233" s="12" t="inlineStr">
        <is>
          <t>Same as 1.0</t>
        </is>
      </c>
      <c r="I233" s="11" t="inlineStr">
        <is>
          <t>Dane</t>
        </is>
      </c>
      <c r="J233" s="15" t="n"/>
      <c r="K233" s="15" t="n"/>
      <c r="L233" s="15" t="n"/>
      <c r="M233" s="16" t="n"/>
      <c r="N233" s="17" t="n"/>
      <c r="O233" s="17" t="n"/>
      <c r="P233" s="15" t="n"/>
    </row>
    <row r="234">
      <c r="A234" s="11" t="n">
        <v>9</v>
      </c>
      <c r="B234" s="11" t="inlineStr">
        <is>
          <t>9.10</t>
        </is>
      </c>
      <c r="C234" s="12" t="inlineStr">
        <is>
          <t>Send Qanvast leads back</t>
        </is>
      </c>
      <c r="D234" s="12" t="inlineStr">
        <is>
          <t>Leads</t>
        </is>
      </c>
      <c r="E234" s="13" t="inlineStr">
        <is>
          <t>Return a Qanvast lead, then undo it</t>
        </is>
      </c>
      <c r="F234" s="14" t="inlineStr">
        <is>
          <t>1. On Leads, open ⋮ on Gavin See's row, then "Return Lead"
2. Read the info line and point at "Rules"; "Select a reason": Lead not contactable, a first-outreach date, attempts 3
3. Press "Next", then "Confirm"
4. Press "Undo" in the message</t>
        </is>
      </c>
      <c r="G234" s="14" t="inlineStr">
        <is>
          <t>The line shows his return window and "0 of 2 returns used"; "Lead returned successfully"; after Undo he is back in Contacted.</t>
        </is>
      </c>
      <c r="H234" s="12" t="inlineStr">
        <is>
          <t>Different from 1.0: any stage; the wizard parks it Lost</t>
        </is>
      </c>
      <c r="I234" s="11" t="inlineStr">
        <is>
          <t>Dane</t>
        </is>
      </c>
      <c r="J234" s="15" t="n"/>
      <c r="K234" s="15" t="n"/>
      <c r="L234" s="15" t="n"/>
      <c r="M234" s="16" t="n"/>
      <c r="N234" s="17" t="n"/>
      <c r="O234" s="17" t="n"/>
      <c r="P234" s="15" t="n"/>
    </row>
    <row r="235">
      <c r="A235" s="11" t="n">
        <v>9</v>
      </c>
      <c r="B235" s="11" t="inlineStr">
        <is>
          <t>9.11</t>
        </is>
      </c>
      <c r="C235" s="12" t="inlineStr">
        <is>
          <t>Send Qanvast leads back</t>
        </is>
      </c>
      <c r="D235" s="12" t="inlineStr">
        <is>
          <t>Lead details</t>
        </is>
      </c>
      <c r="E235" s="13" t="inlineStr">
        <is>
          <t>Return another Qanvast lead for good</t>
        </is>
      </c>
      <c r="F235" s="14" t="inlineStr">
        <is>
          <t>1. Open Jasmine Lee, then ⋮ ("More options") › "Return Lead"
2. "Lead refused to meet up"; tick "Changed mind about renovation"; add the date and attempts
3. Press "Next", read "Term of service", press "Confirm"</t>
        </is>
      </c>
      <c r="G235" s="14" t="inlineStr">
        <is>
          <t>"Lead returned successfully"; her header shows RETURN PROCESSING, the stage is Lost, a "LEAD RETURNED" card appears and a "Respond to Qanvast team" task.</t>
        </is>
      </c>
      <c r="H235" s="12" t="inlineStr">
        <is>
          <t>Same as 1.0</t>
        </is>
      </c>
      <c r="I235" s="11" t="inlineStr">
        <is>
          <t>Dane</t>
        </is>
      </c>
      <c r="J235" s="15" t="n"/>
      <c r="K235" s="15" t="n"/>
      <c r="L235" s="15" t="n"/>
      <c r="M235" s="16" t="n"/>
      <c r="N235" s="17" t="n"/>
      <c r="O235" s="17" t="n"/>
      <c r="P235" s="15" t="n"/>
    </row>
    <row r="236">
      <c r="A236" s="11" t="n">
        <v>9</v>
      </c>
      <c r="B236" s="11" t="inlineStr">
        <is>
          <t>9.12</t>
        </is>
      </c>
      <c r="C236" s="12" t="inlineStr">
        <is>
          <t>Send Qanvast leads back</t>
        </is>
      </c>
      <c r="D236" s="12" t="inlineStr">
        <is>
          <t>Leads</t>
        </is>
      </c>
      <c r="E236" s="13" t="inlineStr">
        <is>
          <t>Track returns in Qanvast Ops and export them</t>
        </is>
      </c>
      <c r="F236" s="14" t="inlineStr">
        <is>
          <t>1. Click "Qanvast Ops" in the side navigation
2. Click "All Leads (…)", then "Return Processing"
3. Open ⋮ ("More options") › "Export all as…", press "Export"</t>
        </is>
      </c>
      <c r="G236" s="14" t="inlineStr">
        <is>
          <t>Jasmine Lee is listed RETURN PROCESSING with her Return window; a file downloads.</t>
        </is>
      </c>
      <c r="H236" s="12" t="inlineStr">
        <is>
          <t>Different from 1.0: the return window is shown, not enforced</t>
        </is>
      </c>
      <c r="I236" s="11" t="inlineStr">
        <is>
          <t>Dane</t>
        </is>
      </c>
      <c r="J236" s="15" t="n"/>
      <c r="K236" s="15" t="n"/>
      <c r="L236" s="15" t="n"/>
      <c r="M236" s="16" t="n"/>
      <c r="N236" s="17" t="n"/>
      <c r="O236" s="17" t="n"/>
      <c r="P236" s="15" t="n"/>
    </row>
    <row r="237">
      <c r="A237" s="11" t="n">
        <v>9</v>
      </c>
      <c r="B237" s="11" t="inlineStr">
        <is>
          <t>9.13</t>
        </is>
      </c>
      <c r="C237" s="12" t="inlineStr">
        <is>
          <t>Portal and tidy-up</t>
        </is>
      </c>
      <c r="D237" s="12" t="inlineStr">
        <is>
          <t>Lead details</t>
        </is>
      </c>
      <c r="E237" s="13" t="inlineStr">
        <is>
          <t>Invite a client to the homeowner portal</t>
        </is>
      </c>
      <c r="F237" s="14" t="inlineStr">
        <is>
          <t>1. Open Gerald Tan, then ⋮ ("More options") › "Invite to Portal"
2. Check the name and phone, press "Send via WhatsApp"
3. A WhatsApp tab opens — close it, do not send</t>
        </is>
      </c>
      <c r="G237" s="14" t="inlineStr">
        <is>
          <t>"WhatsApp opened with the invite"; the left column's "Portal" row reads "Invited" with today's date.</t>
        </is>
      </c>
      <c r="H237" s="12" t="inlineStr">
        <is>
          <t>Different from 1.0: sent by WhatsApp; the invite is recorded</t>
        </is>
      </c>
      <c r="I237" s="11" t="inlineStr">
        <is>
          <t>Dane</t>
        </is>
      </c>
      <c r="J237" s="15" t="n"/>
      <c r="K237" s="15" t="n"/>
      <c r="L237" s="15" t="n"/>
      <c r="M237" s="16" t="n"/>
      <c r="N237" s="17" t="n"/>
      <c r="O237" s="17" t="n"/>
      <c r="P237" s="15" t="n"/>
    </row>
    <row r="238">
      <c r="A238" s="11" t="n">
        <v>9</v>
      </c>
      <c r="B238" s="11" t="inlineStr">
        <is>
          <t>9.14</t>
        </is>
      </c>
      <c r="C238" s="12" t="inlineStr">
        <is>
          <t>Portal and tidy-up</t>
        </is>
      </c>
      <c r="D238" s="12" t="inlineStr">
        <is>
          <t>Leads</t>
        </is>
      </c>
      <c r="E238" s="13" t="inlineStr">
        <is>
          <t>Delete a lead you don't need</t>
        </is>
      </c>
      <c r="F238" s="14" t="inlineStr">
        <is>
          <t>1. On Leads, open ⋮ on Cheryl Lim's row, then "Delete"
2. "Reason": Duplicate
3. Press "Delete"</t>
        </is>
      </c>
      <c r="G238" s="14" t="inlineStr">
        <is>
          <t>"Delete this lead?" says she is deleted for good in 30 days; "Lead deleted" (with Undo) and she leaves the list.</t>
        </is>
      </c>
      <c r="H238" s="12" t="inlineStr">
        <is>
          <t>Different from 1.0: Delete with a reason replaces Archive</t>
        </is>
      </c>
      <c r="I238" s="11" t="inlineStr">
        <is>
          <t>Dane</t>
        </is>
      </c>
      <c r="J238" s="15" t="n"/>
      <c r="K238" s="15" t="n"/>
      <c r="L238" s="15" t="n"/>
      <c r="M238" s="16" t="n"/>
      <c r="N238" s="17" t="n"/>
      <c r="O238" s="17" t="n"/>
      <c r="P238" s="15" t="n"/>
    </row>
    <row r="239">
      <c r="A239" s="11" t="n">
        <v>9</v>
      </c>
      <c r="B239" s="11" t="inlineStr">
        <is>
          <t>9.15</t>
        </is>
      </c>
      <c r="C239" s="12" t="inlineStr">
        <is>
          <t>Portal and tidy-up</t>
        </is>
      </c>
      <c r="D239" s="12" t="inlineStr">
        <is>
          <t>Leads</t>
        </is>
      </c>
      <c r="E239" s="13" t="inlineStr">
        <is>
          <t>Bring the deleted lead back</t>
        </is>
      </c>
      <c r="F239" s="14" t="inlineStr">
        <is>
          <t>1. Click ⋮ ("More options"), then "Deleted Leads"
2. On Cheryl Lim's row press "Restore"
3. Close the sheet</t>
        </is>
      </c>
      <c r="G239" s="14" t="inlineStr">
        <is>
          <t>"Lead restored"; Cheryl Lim is back in the list at Contacted.</t>
        </is>
      </c>
      <c r="H239" s="12" t="inlineStr">
        <is>
          <t>Different from 1.0: Deleted Leads replaces Archived Leads</t>
        </is>
      </c>
      <c r="I239" s="11" t="inlineStr">
        <is>
          <t>Dane</t>
        </is>
      </c>
      <c r="J239" s="15" t="n"/>
      <c r="K239" s="15" t="n"/>
      <c r="L239" s="15" t="n"/>
      <c r="M239" s="16" t="n"/>
      <c r="N239" s="17" t="n"/>
      <c r="O239" s="17" t="n"/>
      <c r="P239" s="15" t="n"/>
    </row>
    <row r="240" ht="22" customHeight="1">
      <c r="A240" s="9" t="inlineStr">
        <is>
          <t>Chapter 10 · A designer’s day — View as Sarah, James and Hui Min — what each role sees and may do.</t>
        </is>
      </c>
      <c r="M240" s="10" t="n"/>
    </row>
    <row r="241">
      <c r="A241" s="11" t="n">
        <v>10</v>
      </c>
      <c r="B241" s="11" t="inlineStr">
        <is>
          <t>10.01</t>
        </is>
      </c>
      <c r="C241" s="12" t="inlineStr">
        <is>
          <t>Set the team rule</t>
        </is>
      </c>
      <c r="D241" s="12" t="inlineStr">
        <is>
          <t>Settings</t>
        </is>
      </c>
      <c r="E241" s="13" t="inlineStr">
        <is>
          <t>Let each person see only the leads they work on</t>
        </is>
      </c>
      <c r="F241" s="14" t="inlineStr">
        <is>
          <t>1. Side navigation "Settings" › "Lead management"
2. Under "Who sees leads", pick "Only the leads assigned to them"
3. Open the "Studio" tab and find "Who may do what"</t>
        </is>
      </c>
      <c r="G241" s="14" t="inlineStr">
        <is>
          <t>The choice stays picked; in "Who may do what", "See leads" reads "Their team’s" for Manager and "Their own" for Designer</t>
        </is>
      </c>
      <c r="H241" s="12" t="inlineStr">
        <is>
          <t>Different from 1.0: a studio rule, checked everywhere</t>
        </is>
      </c>
      <c r="I241" s="11" t="inlineStr">
        <is>
          <t>Dane</t>
        </is>
      </c>
      <c r="J241" s="15" t="n"/>
      <c r="K241" s="15" t="n"/>
      <c r="L241" s="15" t="n"/>
      <c r="M241" s="16" t="n"/>
      <c r="N241" s="17" t="n"/>
      <c r="O241" s="17" t="n"/>
      <c r="P241" s="15" t="n"/>
    </row>
    <row r="242">
      <c r="A242" s="11" t="n">
        <v>10</v>
      </c>
      <c r="B242" s="11" t="inlineStr">
        <is>
          <t>10.02</t>
        </is>
      </c>
      <c r="C242" s="12" t="inlineStr">
        <is>
          <t>A day as Sarah, designer</t>
        </is>
      </c>
      <c r="D242" s="12" t="inlineStr">
        <is>
          <t>Shell</t>
        </is>
      </c>
      <c r="E242" s="13" t="inlineStr">
        <is>
          <t>Switch to Sarah, a designer on James’s team</t>
        </is>
      </c>
      <c r="F242" s="14" t="inlineStr">
        <is>
          <t>1. Click the "Demo Studio" block at the bottom of the side navigation
2. In the "View as" menu, click "Sarah"</t>
        </is>
      </c>
      <c r="G242" s="14" t="inlineStr">
        <is>
          <t>The menu is tagged "Demo only" and lists the team with roles ("Designer · reports to James"); the block then reads "Viewing as Sarah"</t>
        </is>
      </c>
      <c r="H242" s="12" t="inlineStr">
        <is>
          <t>New in 2.0</t>
        </is>
      </c>
      <c r="I242" s="18" t="inlineStr">
        <is>
          <t>Sarah</t>
        </is>
      </c>
      <c r="J242" s="15" t="n"/>
      <c r="K242" s="15" t="n"/>
      <c r="L242" s="15" t="n"/>
      <c r="M242" s="16" t="n"/>
      <c r="N242" s="17" t="n"/>
      <c r="O242" s="17" t="n"/>
      <c r="P242" s="15" t="n"/>
    </row>
    <row r="243">
      <c r="A243" s="11" t="n">
        <v>10</v>
      </c>
      <c r="B243" s="11" t="inlineStr">
        <is>
          <t>10.03</t>
        </is>
      </c>
      <c r="C243" s="12" t="inlineStr">
        <is>
          <t>A day as Sarah, designer</t>
        </is>
      </c>
      <c r="D243" s="12" t="inlineStr">
        <is>
          <t>Leads</t>
        </is>
      </c>
      <c r="E243" s="13" t="inlineStr">
        <is>
          <t>Check Sarah sees only her own leads</t>
        </is>
      </c>
      <c r="F243" s="14" t="inlineStr">
        <is>
          <t>1. Open "Leads"
2. Read the list and the count on the "All Leads" pill</t>
        </is>
      </c>
      <c r="G243" s="14" t="inlineStr">
        <is>
          <t>Only her leads, e.g. Farah Ahmad, Grace Lim, Harpreet Kaur, Kenji Sato (and Sophia Wong if hers); no Gerald Tan or Serena Koh</t>
        </is>
      </c>
      <c r="H243" s="12" t="inlineStr">
        <is>
          <t>Different from 1.0: 1.0 hid other leads only on screen</t>
        </is>
      </c>
      <c r="I243" s="18" t="inlineStr">
        <is>
          <t>Sarah</t>
        </is>
      </c>
      <c r="J243" s="15" t="n"/>
      <c r="K243" s="15" t="n"/>
      <c r="L243" s="15" t="n"/>
      <c r="M243" s="16" t="n"/>
      <c r="N243" s="17" t="n"/>
      <c r="O243" s="17" t="n"/>
      <c r="P243" s="15" t="n"/>
    </row>
    <row r="244">
      <c r="A244" s="11" t="n">
        <v>10</v>
      </c>
      <c r="B244" s="11" t="inlineStr">
        <is>
          <t>10.04</t>
        </is>
      </c>
      <c r="C244" s="12" t="inlineStr">
        <is>
          <t>A day as Sarah, designer</t>
        </is>
      </c>
      <c r="D244" s="12" t="inlineStr">
        <is>
          <t>Leads</t>
        </is>
      </c>
      <c r="E244" s="13" t="inlineStr">
        <is>
          <t>Try to hand one of her leads to someone else</t>
        </is>
      </c>
      <c r="F244" s="14" t="inlineStr">
        <is>
          <t>1. On Harpreet Kaur’s row, click the person-plus icon ("Assign members") in "Members"
2. Try to tick another member</t>
        </is>
      </c>
      <c r="G244" s="14" t="inlineStr">
        <is>
          <t>"Assign Member" opens but nothing can be ticked; it says "Designers keep the leads assigned to them. Ask your manager to reassign."</t>
        </is>
      </c>
      <c r="H244" s="12" t="inlineStr">
        <is>
          <t>Different from 1.0: designers could reassign in 1.0</t>
        </is>
      </c>
      <c r="I244" s="18" t="inlineStr">
        <is>
          <t>Sarah</t>
        </is>
      </c>
      <c r="J244" s="15" t="n"/>
      <c r="K244" s="15" t="n"/>
      <c r="L244" s="15" t="n"/>
      <c r="M244" s="16" t="n"/>
      <c r="N244" s="17" t="n"/>
      <c r="O244" s="17" t="n"/>
      <c r="P244" s="15" t="n"/>
    </row>
    <row r="245">
      <c r="A245" s="11" t="n">
        <v>10</v>
      </c>
      <c r="B245" s="11" t="inlineStr">
        <is>
          <t>10.05</t>
        </is>
      </c>
      <c r="C245" s="12" t="inlineStr">
        <is>
          <t>A day as Sarah, designer</t>
        </is>
      </c>
      <c r="D245" s="12" t="inlineStr">
        <is>
          <t>Price book</t>
        </is>
      </c>
      <c r="E245" s="13" t="inlineStr">
        <is>
          <t>Propose a new item for the price book</t>
        </is>
      </c>
      <c r="F245" s="14" t="inlineStr">
        <is>
          <t>1. Side navigation "Company" › "Price book" › "New" › "Propose an item"
2. "Item name": Rattan wardrobe door · "Unit": Pieces · "Cost (S$)": 180 · "Markup (S$)": 70 · "Category": Carpentry
3. Click "Propose"</t>
        </is>
      </c>
      <c r="G245" s="14" t="inlineStr">
        <is>
          <t>"Rattan wardrobe door proposed — it’s on your quotes now; an Owner or an Admin approves it for the studio"; the item wears a "Proposed" chip</t>
        </is>
      </c>
      <c r="H245" s="12" t="inlineStr">
        <is>
          <t>Different from 1.0: 1.0’s pending items were live for everyone</t>
        </is>
      </c>
      <c r="I245" s="18" t="inlineStr">
        <is>
          <t>Sarah</t>
        </is>
      </c>
      <c r="J245" s="15" t="n"/>
      <c r="K245" s="15" t="n"/>
      <c r="L245" s="15" t="n"/>
      <c r="M245" s="16" t="n"/>
      <c r="N245" s="17" t="n"/>
      <c r="O245" s="17" t="n"/>
      <c r="P245" s="15" t="n"/>
    </row>
    <row r="246">
      <c r="A246" s="11" t="n">
        <v>10</v>
      </c>
      <c r="B246" s="11" t="inlineStr">
        <is>
          <t>10.06</t>
        </is>
      </c>
      <c r="C246" s="12" t="inlineStr">
        <is>
          <t>A day as Sarah, designer</t>
        </is>
      </c>
      <c r="D246" s="12" t="inlineStr">
        <is>
          <t>Templates</t>
        </is>
      </c>
      <c r="E246" s="13" t="inlineStr">
        <is>
          <t>Design a quote template and submit it for approval</t>
        </is>
      </c>
      <c r="F246" s="14" t="inlineStr">
        <is>
          <t>1. "Company" › "Templates" › "Quotes" › "New" › "Use a ready-made design"
2. Pick "Scope", type Sarah Scope in "Template name", click "Create template"
3. Click "Submit for approval", write a note in "What changed", click "Submit"</t>
        </is>
      </c>
      <c r="G246" s="14" t="inlineStr">
        <is>
          <t>"Submitted for approval"; a bar says Sarah submitted it and "Awaiting an Owner or Admin", and the design is locked</t>
        </is>
      </c>
      <c r="H246" s="12" t="inlineStr">
        <is>
          <t>Different from 1.0: any role could change templates</t>
        </is>
      </c>
      <c r="I246" s="18" t="inlineStr">
        <is>
          <t>Sarah</t>
        </is>
      </c>
      <c r="J246" s="15" t="n"/>
      <c r="K246" s="15" t="n"/>
      <c r="L246" s="15" t="n"/>
      <c r="M246" s="16" t="n"/>
      <c r="N246" s="17" t="n"/>
      <c r="O246" s="17" t="n"/>
      <c r="P246" s="15" t="n"/>
    </row>
    <row r="247">
      <c r="A247" s="11" t="n">
        <v>10</v>
      </c>
      <c r="B247" s="11" t="inlineStr">
        <is>
          <t>10.07</t>
        </is>
      </c>
      <c r="C247" s="12" t="inlineStr">
        <is>
          <t>A day as Sarah, designer</t>
        </is>
      </c>
      <c r="D247" s="12" t="inlineStr">
        <is>
          <t>Quotes</t>
        </is>
      </c>
      <c r="E247" s="13" t="inlineStr">
        <is>
          <t>Revise Harpreet Kaur’s quote and send it for approval</t>
        </is>
      </c>
      <c r="F247" s="14" t="inlineStr">
        <is>
          <t>1. Open Harpreet Kaur › "Quotes" and open her quote
2. Click ⋮ "More options" › "Revise — new version", then "Start version …"
3. Click "Send"</t>
        </is>
      </c>
      <c r="G247" s="14" t="inlineStr">
        <is>
          <t>The status becomes "Sent for Approval"; a bar says Sarah sent it for approval, "Waiting for an Owner, an Admin or the backup approver"</t>
        </is>
      </c>
      <c r="H247" s="12" t="inlineStr">
        <is>
          <t>Same as 1.0</t>
        </is>
      </c>
      <c r="I247" s="18" t="inlineStr">
        <is>
          <t>Sarah</t>
        </is>
      </c>
      <c r="J247" s="15" t="n"/>
      <c r="K247" s="15" t="n"/>
      <c r="L247" s="15" t="n"/>
      <c r="M247" s="16" t="n"/>
      <c r="N247" s="17" t="n"/>
      <c r="O247" s="17" t="n"/>
      <c r="P247" s="15" t="n"/>
    </row>
    <row r="248">
      <c r="A248" s="11" t="n">
        <v>10</v>
      </c>
      <c r="B248" s="11" t="inlineStr">
        <is>
          <t>10.08</t>
        </is>
      </c>
      <c r="C248" s="12" t="inlineStr">
        <is>
          <t>A day as Sarah, designer</t>
        </is>
      </c>
      <c r="D248" s="12" t="inlineStr">
        <is>
          <t>Settings</t>
        </is>
      </c>
      <c r="E248" s="13" t="inlineStr">
        <is>
          <t>Open Settings as a designer</t>
        </is>
      </c>
      <c r="F248" s="14" t="inlineStr">
        <is>
          <t>1. Side navigation "Settings" › "Lead management"
2. Try to change a choice or a switch</t>
        </is>
      </c>
      <c r="G248" s="14" t="inlineStr">
        <is>
          <t>Every value shows but nothing changes; a lock line under the title reads "Only Owners and Admins change these."</t>
        </is>
      </c>
      <c r="H248" s="12" t="inlineStr">
        <is>
          <t>Different from 1.0: 1.0 let almost anyone change settings</t>
        </is>
      </c>
      <c r="I248" s="18" t="inlineStr">
        <is>
          <t>Sarah</t>
        </is>
      </c>
      <c r="J248" s="15" t="n"/>
      <c r="K248" s="15" t="n"/>
      <c r="L248" s="15" t="n"/>
      <c r="M248" s="16" t="n"/>
      <c r="N248" s="17" t="n"/>
      <c r="O248" s="17" t="n"/>
      <c r="P248" s="15" t="n"/>
    </row>
    <row r="249">
      <c r="A249" s="11" t="n">
        <v>10</v>
      </c>
      <c r="B249" s="11" t="inlineStr">
        <is>
          <t>10.09</t>
        </is>
      </c>
      <c r="C249" s="12" t="inlineStr">
        <is>
          <t>James, the manager</t>
        </is>
      </c>
      <c r="D249" s="12" t="inlineStr">
        <is>
          <t>Leads</t>
        </is>
      </c>
      <c r="E249" s="13" t="inlineStr">
        <is>
          <t>Switch to James and see his team’s leads</t>
        </is>
      </c>
      <c r="F249" s="14" t="inlineStr">
        <is>
          <t>1. "Demo Studio" block › "View as" › "James"
2. Open "Leads"</t>
        </is>
      </c>
      <c r="G249" s="14" t="inlineStr">
        <is>
          <t>His own and his designers’ leads — e.g. Arjun Mehta, Harpreet Kaur (Sarah’s), Aisha Rahman (Michelle’s) — but not Serena Koh or Jonathan Teo</t>
        </is>
      </c>
      <c r="H249" s="12" t="inlineStr">
        <is>
          <t>Different from 1.0: managers were a one-studio add-on</t>
        </is>
      </c>
      <c r="I249" s="18" t="inlineStr">
        <is>
          <t>James</t>
        </is>
      </c>
      <c r="J249" s="15" t="n"/>
      <c r="K249" s="15" t="n"/>
      <c r="L249" s="15" t="n"/>
      <c r="M249" s="16" t="n"/>
      <c r="N249" s="17" t="n"/>
      <c r="O249" s="17" t="n"/>
      <c r="P249" s="15" t="n"/>
    </row>
    <row r="250">
      <c r="A250" s="11" t="n">
        <v>10</v>
      </c>
      <c r="B250" s="11" t="inlineStr">
        <is>
          <t>10.10</t>
        </is>
      </c>
      <c r="C250" s="12" t="inlineStr">
        <is>
          <t>James, the manager</t>
        </is>
      </c>
      <c r="D250" s="12" t="inlineStr">
        <is>
          <t>Leads</t>
        </is>
      </c>
      <c r="E250" s="13" t="inlineStr">
        <is>
          <t>Reassign a lead within James’s team only</t>
        </is>
      </c>
      <c r="F250" s="14" t="inlineStr">
        <is>
          <t>1. On Grace Lim’s row, click the person-plus icon ("Assign members")
2. See who can be ticked, then close without saving</t>
        </is>
      </c>
      <c r="G250" s="14" t="inlineStr">
        <is>
          <t>Only James, Sarah and Michelle can be ticked; every other member is greyed out</t>
        </is>
      </c>
      <c r="H250" s="12" t="inlineStr">
        <is>
          <t>Same as 1.0</t>
        </is>
      </c>
      <c r="I250" s="18" t="inlineStr">
        <is>
          <t>James</t>
        </is>
      </c>
      <c r="J250" s="15" t="n"/>
      <c r="K250" s="15" t="n"/>
      <c r="L250" s="15" t="n"/>
      <c r="M250" s="16" t="n"/>
      <c r="N250" s="17" t="n"/>
      <c r="O250" s="17" t="n"/>
      <c r="P250" s="15" t="n"/>
    </row>
    <row r="251">
      <c r="A251" s="11" t="n">
        <v>10</v>
      </c>
      <c r="B251" s="11" t="inlineStr">
        <is>
          <t>10.11</t>
        </is>
      </c>
      <c r="C251" s="12" t="inlineStr">
        <is>
          <t>Back to Dane: answer the team</t>
        </is>
      </c>
      <c r="D251" s="12" t="inlineStr">
        <is>
          <t>Notifications</t>
        </is>
      </c>
      <c r="E251" s="13" t="inlineStr">
        <is>
          <t>Return to Dane and see what is waiting</t>
        </is>
      </c>
      <c r="F251" s="14" t="inlineStr">
        <is>
          <t>1. "Demo Studio" block › "View as" › "Dane"
2. Click "Notifications" (the bell)
3. Close it and click "Company" in the side navigation</t>
        </is>
      </c>
      <c r="G251" s="14" t="inlineStr">
        <is>
          <t>The bell has "Quote OM-10006 needs your approval" and "Sarah proposed “Rattan wardrobe door” for My Items"; Company shows awaiting and proposed counts</t>
        </is>
      </c>
      <c r="H251" s="12" t="inlineStr">
        <is>
          <t>Different from 1.0: bell notices instead of approval tasks</t>
        </is>
      </c>
      <c r="I251" s="11" t="inlineStr">
        <is>
          <t>Dane</t>
        </is>
      </c>
      <c r="J251" s="15" t="n"/>
      <c r="K251" s="15" t="n"/>
      <c r="L251" s="15" t="n"/>
      <c r="M251" s="16" t="n"/>
      <c r="N251" s="17" t="n"/>
      <c r="O251" s="17" t="n"/>
      <c r="P251" s="15" t="n"/>
    </row>
    <row r="252">
      <c r="A252" s="11" t="n">
        <v>10</v>
      </c>
      <c r="B252" s="11" t="inlineStr">
        <is>
          <t>10.12</t>
        </is>
      </c>
      <c r="C252" s="12" t="inlineStr">
        <is>
          <t>Back to Dane: answer the team</t>
        </is>
      </c>
      <c r="D252" s="12" t="inlineStr">
        <is>
          <t>Quotes</t>
        </is>
      </c>
      <c r="E252" s="13" t="inlineStr">
        <is>
          <t>Approve Sarah’s quote</t>
        </is>
      </c>
      <c r="F252" s="14" t="inlineStr">
        <is>
          <t>1. In the bell, click "Quote OM-10006 needs your approval"
2. Click "Approve" in the bar under the tabs</t>
        </is>
      </c>
      <c r="G252" s="14" t="inlineStr">
        <is>
          <t>The bar named Sarah as the sender; after Approve, "Quote approved — Sarah can send it to the client" and the status reads "Approved"</t>
        </is>
      </c>
      <c r="H252" s="12" t="inlineStr">
        <is>
          <t>Same as 1.0</t>
        </is>
      </c>
      <c r="I252" s="11" t="inlineStr">
        <is>
          <t>Dane</t>
        </is>
      </c>
      <c r="J252" s="15" t="n"/>
      <c r="K252" s="15" t="n"/>
      <c r="L252" s="15" t="n"/>
      <c r="M252" s="16" t="n"/>
      <c r="N252" s="17" t="n"/>
      <c r="O252" s="17" t="n"/>
      <c r="P252" s="15" t="n"/>
    </row>
    <row r="253">
      <c r="A253" s="11" t="n">
        <v>10</v>
      </c>
      <c r="B253" s="11" t="inlineStr">
        <is>
          <t>10.13</t>
        </is>
      </c>
      <c r="C253" s="12" t="inlineStr">
        <is>
          <t>Back to Dane: answer the team</t>
        </is>
      </c>
      <c r="D253" s="12" t="inlineStr">
        <is>
          <t>Price book</t>
        </is>
      </c>
      <c r="E253" s="13" t="inlineStr">
        <is>
          <t>Send Sarah’s price-book item back with a note</t>
        </is>
      </c>
      <c r="F253" s="14" t="inlineStr">
        <is>
          <t>1. "Company" › "Price book", click the "Proposed" filter
2. Open "Rattan wardrobe door"
3. Click "Send back…", write what should change, click "Send back"</t>
        </is>
      </c>
      <c r="G253" s="14" t="inlineStr">
        <is>
          <t>The item showed "Sarah proposed this item …" with "Send back…" and "Approve"; once sent back it leaves My Items</t>
        </is>
      </c>
      <c r="H253" s="12" t="inlineStr">
        <is>
          <t>Different from 1.0: the note reaches the bell, not e-mail</t>
        </is>
      </c>
      <c r="I253" s="11" t="inlineStr">
        <is>
          <t>Dane</t>
        </is>
      </c>
      <c r="J253" s="15" t="n"/>
      <c r="K253" s="15" t="n"/>
      <c r="L253" s="15" t="n"/>
      <c r="M253" s="16" t="n"/>
      <c r="N253" s="17" t="n"/>
      <c r="O253" s="17" t="n"/>
      <c r="P253" s="15" t="n"/>
    </row>
    <row r="254">
      <c r="A254" s="11" t="n">
        <v>10</v>
      </c>
      <c r="B254" s="11" t="inlineStr">
        <is>
          <t>10.14</t>
        </is>
      </c>
      <c r="C254" s="12" t="inlineStr">
        <is>
          <t>Back to Dane: answer the team</t>
        </is>
      </c>
      <c r="D254" s="12" t="inlineStr">
        <is>
          <t>Templates</t>
        </is>
      </c>
      <c r="E254" s="13" t="inlineStr">
        <is>
          <t>Approve and publish Sarah’s template</t>
        </is>
      </c>
      <c r="F254" s="14" t="inlineStr">
        <is>
          <t>1. "Company" › "Templates" › "Quotes", open "Sarah Scope" (marked "Awaiting approval")
2. Click "Approve and publish" in the bar
3. Click "Approve and publish" in the window</t>
        </is>
      </c>
      <c r="G254" s="14" t="inlineStr">
        <is>
          <t>"Sarah Scope approved and published"; its card no longer says "Awaiting approval"</t>
        </is>
      </c>
      <c r="H254" s="12" t="inlineStr">
        <is>
          <t>New in 2.0</t>
        </is>
      </c>
      <c r="I254" s="11" t="inlineStr">
        <is>
          <t>Dane</t>
        </is>
      </c>
      <c r="J254" s="15" t="n"/>
      <c r="K254" s="15" t="n"/>
      <c r="L254" s="15" t="n"/>
      <c r="M254" s="16" t="n"/>
      <c r="N254" s="17" t="n"/>
      <c r="O254" s="17" t="n"/>
      <c r="P254" s="15" t="n"/>
    </row>
    <row r="255">
      <c r="A255" s="11" t="n">
        <v>10</v>
      </c>
      <c r="B255" s="11" t="inlineStr">
        <is>
          <t>10.15</t>
        </is>
      </c>
      <c r="C255" s="12" t="inlineStr">
        <is>
          <t>An Admin’s view</t>
        </is>
      </c>
      <c r="D255" s="12" t="inlineStr">
        <is>
          <t>Settings</t>
        </is>
      </c>
      <c r="E255" s="13" t="inlineStr">
        <is>
          <t>Switch to Hui Min, the Admin, and reopen every lead</t>
        </is>
      </c>
      <c r="F255" s="14" t="inlineStr">
        <is>
          <t>1. "Demo Studio" block › "View as" › "Hui Min"
2. Open "Leads" and look for Gerald Tan
3. "Settings" › "Lead management" › "Who sees leads" › "Everyone sees every lead"</t>
        </is>
      </c>
      <c r="G255" s="14" t="inlineStr">
        <is>
          <t>Hui Min sees every lead, and Settings has no lock line; the rule goes back to everyone</t>
        </is>
      </c>
      <c r="H255" s="12" t="inlineStr">
        <is>
          <t>Same as 1.0</t>
        </is>
      </c>
      <c r="I255" s="18" t="inlineStr">
        <is>
          <t>Hui Min</t>
        </is>
      </c>
      <c r="J255" s="15" t="n"/>
      <c r="K255" s="15" t="n"/>
      <c r="L255" s="15" t="n"/>
      <c r="M255" s="16" t="n"/>
      <c r="N255" s="17" t="n"/>
      <c r="O255" s="17" t="n"/>
      <c r="P255" s="15" t="n"/>
    </row>
    <row r="256">
      <c r="A256" s="11" t="n">
        <v>10</v>
      </c>
      <c r="B256" s="11" t="inlineStr">
        <is>
          <t>10.16</t>
        </is>
      </c>
      <c r="C256" s="12" t="inlineStr">
        <is>
          <t>An Admin’s view</t>
        </is>
      </c>
      <c r="D256" s="12" t="inlineStr">
        <is>
          <t>Shell</t>
        </is>
      </c>
      <c r="E256" s="13" t="inlineStr">
        <is>
          <t>Go back to being Dane</t>
        </is>
      </c>
      <c r="F256" s="14" t="inlineStr">
        <is>
          <t>1. "Demo Studio" block › "View as" › "Dane"</t>
        </is>
      </c>
      <c r="G256" s="14" t="inlineStr">
        <is>
          <t>The block reads "Dane Bruce Lee" again and the Leads list shows every lead</t>
        </is>
      </c>
      <c r="H256" s="12" t="inlineStr">
        <is>
          <t>New in 2.0</t>
        </is>
      </c>
      <c r="I256" s="11" t="inlineStr">
        <is>
          <t>Dane</t>
        </is>
      </c>
      <c r="J256" s="15" t="n"/>
      <c r="K256" s="15" t="n"/>
      <c r="L256" s="15" t="n"/>
      <c r="M256" s="16" t="n"/>
      <c r="N256" s="17" t="n"/>
      <c r="O256" s="17" t="n"/>
      <c r="P256" s="15" t="n"/>
    </row>
    <row r="257" ht="22" customHeight="1">
      <c r="A257" s="9" t="inlineStr">
        <is>
          <t>Chapter 11 · The owner’s week — Tasks, the bell, Insights and the studio-wide lists.</t>
        </is>
      </c>
      <c r="M257" s="10" t="n"/>
    </row>
    <row r="258">
      <c r="A258" s="11" t="n">
        <v>11</v>
      </c>
      <c r="B258" s="11" t="inlineStr">
        <is>
          <t>11.01</t>
        </is>
      </c>
      <c r="C258" s="12" t="inlineStr">
        <is>
          <t>Monday morning: what needs doing</t>
        </is>
      </c>
      <c r="D258" s="12" t="inlineStr">
        <is>
          <t>Tasks</t>
        </is>
      </c>
      <c r="E258" s="13" t="inlineStr">
        <is>
          <t>See every task in the studio in one list</t>
        </is>
      </c>
      <c r="F258" s="14" t="inlineStr">
        <is>
          <t>1. Click "Tasks" in the side navigation</t>
        </is>
      </c>
      <c r="G258" s="14" t="inlineStr">
        <is>
          <t>"Tasks" lists every lead's tasks and the studio's own, with a "Lead" column; the side navigation's Tasks item counts the overdue ones.</t>
        </is>
      </c>
      <c r="H258" s="12" t="inlineStr">
        <is>
          <t>Same as 1.0</t>
        </is>
      </c>
      <c r="I258" s="11" t="inlineStr">
        <is>
          <t>Dane</t>
        </is>
      </c>
      <c r="J258" s="15" t="n"/>
      <c r="K258" s="15" t="n"/>
      <c r="L258" s="15" t="n"/>
      <c r="M258" s="16" t="n"/>
      <c r="N258" s="17" t="n"/>
      <c r="O258" s="17" t="n"/>
      <c r="P258" s="15" t="n"/>
    </row>
    <row r="259">
      <c r="A259" s="11" t="n">
        <v>11</v>
      </c>
      <c r="B259" s="11" t="inlineStr">
        <is>
          <t>11.02</t>
        </is>
      </c>
      <c r="C259" s="12" t="inlineStr">
        <is>
          <t>Monday morning: what needs doing</t>
        </is>
      </c>
      <c r="D259" s="12" t="inlineStr">
        <is>
          <t>Tasks</t>
        </is>
      </c>
      <c r="E259" s="13" t="inlineStr">
        <is>
          <t>Add a studio chore that belongs to no lead</t>
        </is>
      </c>
      <c r="F259" s="14" t="inlineStr">
        <is>
          <t>1. Click "Add Task" › "Create New Task"
2. Type Order new sample boards for the showroom, leave the Lead cell on "Studio", press Enter, then Esc
3. Click the "All Tasks" chip › "Studio Tasks"</t>
        </is>
      </c>
      <c r="G259" s="14" t="inlineStr">
        <is>
          <t>"Task added"; Studio Tasks lists it with the studio's other chores (e.g. "Update the showroom price list for Q4"), each reading "Studio" as its Lead.</t>
        </is>
      </c>
      <c r="H259" s="12" t="inlineStr">
        <is>
          <t>Same as 1.0</t>
        </is>
      </c>
      <c r="I259" s="11" t="inlineStr">
        <is>
          <t>Dane</t>
        </is>
      </c>
      <c r="J259" s="15" t="n"/>
      <c r="K259" s="15" t="n"/>
      <c r="L259" s="15" t="n"/>
      <c r="M259" s="16" t="n"/>
      <c r="N259" s="17" t="n"/>
      <c r="O259" s="17" t="n"/>
      <c r="P259" s="15" t="n"/>
    </row>
    <row r="260">
      <c r="A260" s="11" t="n">
        <v>11</v>
      </c>
      <c r="B260" s="11" t="inlineStr">
        <is>
          <t>11.03</t>
        </is>
      </c>
      <c r="C260" s="12" t="inlineStr">
        <is>
          <t>Monday morning: what needs doing</t>
        </is>
      </c>
      <c r="D260" s="12" t="inlineStr">
        <is>
          <t>Tasks</t>
        </is>
      </c>
      <c r="E260" s="13" t="inlineStr">
        <is>
          <t>Show only Sophia Wong's tasks</t>
        </is>
      </c>
      <c r="F260" s="14" t="inlineStr">
        <is>
          <t>1. Switch the chip back to "All Tasks"
2. Click the "Filters" icon, open "Lead" and tick Sophia Wong
3. Click "Done"</t>
        </is>
      </c>
      <c r="G260" s="14" t="inlineStr">
        <is>
          <t>Only Sophia Wong's tasks from the earlier chapters remain; the Filters icon shows 1.</t>
        </is>
      </c>
      <c r="H260" s="12" t="inlineStr">
        <is>
          <t>Same as 1.0</t>
        </is>
      </c>
      <c r="I260" s="11" t="inlineStr">
        <is>
          <t>Dane</t>
        </is>
      </c>
      <c r="J260" s="15" t="n"/>
      <c r="K260" s="15" t="n"/>
      <c r="L260" s="15" t="n"/>
      <c r="M260" s="16" t="n"/>
      <c r="N260" s="17" t="n"/>
      <c r="O260" s="17" t="n"/>
      <c r="P260" s="15" t="n"/>
    </row>
    <row r="261">
      <c r="A261" s="11" t="n">
        <v>11</v>
      </c>
      <c r="B261" s="11" t="inlineStr">
        <is>
          <t>11.04</t>
        </is>
      </c>
      <c r="C261" s="12" t="inlineStr">
        <is>
          <t>What happened this week</t>
        </is>
      </c>
      <c r="D261" s="12" t="inlineStr">
        <is>
          <t>Notifications</t>
        </is>
      </c>
      <c r="E261" s="13" t="inlineStr">
        <is>
          <t>Catch up on the week in the bell</t>
        </is>
      </c>
      <c r="F261" s="14" t="inlineStr">
        <is>
          <t>1. Click "Notifications" (the bell) in the side navigation
2. Read the list</t>
        </is>
      </c>
      <c r="G261" s="14" t="inlineStr">
        <is>
          <t>Newest first: the week's notices, e.g. Sarah's proposed item and her quote for approval; follow-ups such as "… has had no contact yet" read "Due".</t>
        </is>
      </c>
      <c r="H261" s="12" t="inlineStr">
        <is>
          <t>Different from 1.0: follow-ups due are listed, not scheduled</t>
        </is>
      </c>
      <c r="I261" s="11" t="inlineStr">
        <is>
          <t>Dane</t>
        </is>
      </c>
      <c r="J261" s="15" t="n"/>
      <c r="K261" s="15" t="n"/>
      <c r="L261" s="15" t="n"/>
      <c r="M261" s="16" t="n"/>
      <c r="N261" s="17" t="n"/>
      <c r="O261" s="17" t="n"/>
      <c r="P261" s="15" t="n"/>
    </row>
    <row r="262">
      <c r="A262" s="11" t="n">
        <v>11</v>
      </c>
      <c r="B262" s="11" t="inlineStr">
        <is>
          <t>11.05</t>
        </is>
      </c>
      <c r="C262" s="12" t="inlineStr">
        <is>
          <t>What happened this week</t>
        </is>
      </c>
      <c r="D262" s="12" t="inlineStr">
        <is>
          <t>Notifications</t>
        </is>
      </c>
      <c r="E262" s="13" t="inlineStr">
        <is>
          <t>Open a notice and land on its record</t>
        </is>
      </c>
      <c r="F262" s="14" t="inlineStr">
        <is>
          <t>1. In the bell, click a row that has a dot
2. Note where you land
3. Open the bell again</t>
        </is>
      </c>
      <c r="G262" s="14" t="inlineStr">
        <is>
          <t>The notice's record opens (a lead, a quote or My Items); back in the bell, that row has lost its dot.</t>
        </is>
      </c>
      <c r="H262" s="12" t="inlineStr">
        <is>
          <t>Same as 1.0</t>
        </is>
      </c>
      <c r="I262" s="11" t="inlineStr">
        <is>
          <t>Dane</t>
        </is>
      </c>
      <c r="J262" s="15" t="n"/>
      <c r="K262" s="15" t="n"/>
      <c r="L262" s="15" t="n"/>
      <c r="M262" s="16" t="n"/>
      <c r="N262" s="17" t="n"/>
      <c r="O262" s="17" t="n"/>
      <c r="P262" s="15" t="n"/>
    </row>
    <row r="263">
      <c r="A263" s="11" t="n">
        <v>11</v>
      </c>
      <c r="B263" s="11" t="inlineStr">
        <is>
          <t>11.06</t>
        </is>
      </c>
      <c r="C263" s="12" t="inlineStr">
        <is>
          <t>What happened this week</t>
        </is>
      </c>
      <c r="D263" s="12" t="inlineStr">
        <is>
          <t>Notifications</t>
        </is>
      </c>
      <c r="E263" s="13" t="inlineStr">
        <is>
          <t>Clear the unread notices in one go</t>
        </is>
      </c>
      <c r="F263" s="14" t="inlineStr">
        <is>
          <t>1. In the bell, click "Mark all as read" (the ✓ at the top)
2. Read the message at the bottom</t>
        </is>
      </c>
      <c r="G263" s="14" t="inlineStr">
        <is>
          <t>Every dot goes; the message says "All caught up" or that the follow-ups due stay until done; the "Due" rows remain.</t>
        </is>
      </c>
      <c r="H263" s="12" t="inlineStr">
        <is>
          <t>Different from 1.0: a follow-up stays until the work is done</t>
        </is>
      </c>
      <c r="I263" s="11" t="inlineStr">
        <is>
          <t>Dane</t>
        </is>
      </c>
      <c r="J263" s="15" t="n"/>
      <c r="K263" s="15" t="n"/>
      <c r="L263" s="15" t="n"/>
      <c r="M263" s="16" t="n"/>
      <c r="N263" s="17" t="n"/>
      <c r="O263" s="17" t="n"/>
      <c r="P263" s="15" t="n"/>
    </row>
    <row r="264">
      <c r="A264" s="11" t="n">
        <v>11</v>
      </c>
      <c r="B264" s="11" t="inlineStr">
        <is>
          <t>11.07</t>
        </is>
      </c>
      <c r="C264" s="12" t="inlineStr">
        <is>
          <t>What happened this week</t>
        </is>
      </c>
      <c r="D264" s="12" t="inlineStr">
        <is>
          <t>Notifications</t>
        </is>
      </c>
      <c r="E264" s="13" t="inlineStr">
        <is>
          <t>Jump from the bell to the notification rules and back</t>
        </is>
      </c>
      <c r="F264" s="14" t="inlineStr">
        <is>
          <t>1. In the bell, click "Notification settings"
2. Read "Follow-ups"
3. Click the back arrow, top left</t>
        </is>
      </c>
      <c r="G264" s="14" t="inlineStr">
        <is>
          <t>Settings opens on "Notifications": untouched leads raised after "30 minutes", no follow-ups once Won, Lost or On Hold; Back returns you.</t>
        </is>
      </c>
      <c r="H264" s="12" t="inlineStr">
        <is>
          <t>Different from 1.0: set per event, with a follow-up delay</t>
        </is>
      </c>
      <c r="I264" s="11" t="inlineStr">
        <is>
          <t>Dane</t>
        </is>
      </c>
      <c r="J264" s="15" t="n"/>
      <c r="K264" s="15" t="n"/>
      <c r="L264" s="15" t="n"/>
      <c r="M264" s="16" t="n"/>
      <c r="N264" s="17" t="n"/>
      <c r="O264" s="17" t="n"/>
      <c r="P264" s="15" t="n"/>
    </row>
    <row r="265">
      <c r="A265" s="11" t="n">
        <v>11</v>
      </c>
      <c r="B265" s="11" t="inlineStr">
        <is>
          <t>11.08</t>
        </is>
      </c>
      <c r="C265" s="12" t="inlineStr">
        <is>
          <t>How the team is doing</t>
        </is>
      </c>
      <c r="D265" s="12" t="inlineStr">
        <is>
          <t>Insights</t>
        </is>
      </c>
      <c r="E265" s="13" t="inlineStr">
        <is>
          <t>See how fast the team answers and wins leads</t>
        </is>
      </c>
      <c r="F265" s="14" t="inlineStr">
        <is>
          <t>1. Open Leads and click "Insights"
2. Read the three tiles and "By team member"
3. Click "All time"</t>
        </is>
      </c>
      <c r="G265" s="14" t="inlineStr">
        <is>
          <t>Tiles "Creation → Assignment", "Assignment → First outreach", "First outreach → Won" show medians; "All time" updates the "… leads in range" count.</t>
        </is>
      </c>
      <c r="H265" s="12" t="inlineStr">
        <is>
          <t>Different from 1.0: its own page; Won instead of Signed</t>
        </is>
      </c>
      <c r="I265" s="11" t="inlineStr">
        <is>
          <t>Dane</t>
        </is>
      </c>
      <c r="J265" s="15" t="n"/>
      <c r="K265" s="15" t="n"/>
      <c r="L265" s="15" t="n"/>
      <c r="M265" s="16" t="n"/>
      <c r="N265" s="17" t="n"/>
      <c r="O265" s="17" t="n"/>
      <c r="P265" s="15" t="n"/>
    </row>
    <row r="266">
      <c r="A266" s="11" t="n">
        <v>11</v>
      </c>
      <c r="B266" s="11" t="inlineStr">
        <is>
          <t>11.09</t>
        </is>
      </c>
      <c r="C266" s="12" t="inlineStr">
        <is>
          <t>How the team is doing</t>
        </is>
      </c>
      <c r="D266" s="12" t="inlineStr">
        <is>
          <t>Lead details</t>
        </is>
      </c>
      <c r="E266" s="13" t="inlineStr">
        <is>
          <t>See how quickly Sophia Wong was handled</t>
        </is>
      </c>
      <c r="F266" s="14" t="inlineStr">
        <is>
          <t>1. Open Sophia Wong
2. In the "Lead stages" card read "Response time"
3. Click it</t>
        </is>
      </c>
      <c r="G266" s="14" t="inlineStr">
        <is>
          <t>It reads like "Assigned in … · First contact in … · Won in …"; clicking it opens Insights.</t>
        </is>
      </c>
      <c r="H266" s="12" t="inlineStr">
        <is>
          <t>Different from 1.0: one line instead of a separate card</t>
        </is>
      </c>
      <c r="I266" s="11" t="inlineStr">
        <is>
          <t>Dane</t>
        </is>
      </c>
      <c r="J266" s="15" t="n"/>
      <c r="K266" s="15" t="n"/>
      <c r="L266" s="15" t="n"/>
      <c r="M266" s="16" t="n"/>
      <c r="N266" s="17" t="n"/>
      <c r="O266" s="17" t="n"/>
      <c r="P266" s="15" t="n"/>
    </row>
    <row r="267">
      <c r="A267" s="11" t="n">
        <v>11</v>
      </c>
      <c r="B267" s="11" t="inlineStr">
        <is>
          <t>11.10</t>
        </is>
      </c>
      <c r="C267" s="12" t="inlineStr">
        <is>
          <t>How the team is doing</t>
        </is>
      </c>
      <c r="D267" s="12" t="inlineStr">
        <is>
          <t>Lead details</t>
        </is>
      </c>
      <c r="E267" s="13" t="inlineStr">
        <is>
          <t>Read Sophia Wong's whole story on one timeline</t>
        </is>
      </c>
      <c r="F267" s="14" t="inlineStr">
        <is>
          <t>1. On Sophia Wong click the "Activity" tab
2. Scroll the list
3. Type contract in the search box</t>
        </is>
      </c>
      <c r="G267" s="14" t="inlineStr">
        <is>
          <t>"All Activities", newest first: created, assigned, contacted, quoted, contract, Won — each line dated; the search leaves only the contract lines.</t>
        </is>
      </c>
      <c r="H267" s="12" t="inlineStr">
        <is>
          <t>Different from 1.0: built from the records, and searchable</t>
        </is>
      </c>
      <c r="I267" s="11" t="inlineStr">
        <is>
          <t>Dane</t>
        </is>
      </c>
      <c r="J267" s="15" t="n"/>
      <c r="K267" s="15" t="n"/>
      <c r="L267" s="15" t="n"/>
      <c r="M267" s="16" t="n"/>
      <c r="N267" s="17" t="n"/>
      <c r="O267" s="17" t="n"/>
      <c r="P267" s="15" t="n"/>
    </row>
    <row r="268">
      <c r="A268" s="11" t="n">
        <v>11</v>
      </c>
      <c r="B268" s="11" t="inlineStr">
        <is>
          <t>11.11</t>
        </is>
      </c>
      <c r="C268" s="12" t="inlineStr">
        <is>
          <t>The paperwork across the studio</t>
        </is>
      </c>
      <c r="D268" s="12" t="inlineStr">
        <is>
          <t>Quotes</t>
        </is>
      </c>
      <c r="E268" s="13" t="inlineStr">
        <is>
          <t>Find Sophia's quote among all the studio's quotes</t>
        </is>
      </c>
      <c r="F268" s="14" t="inlineStr">
        <is>
          <t>1. Click "Tools" › "Quotes"
2. Type Sophia in the search box</t>
        </is>
      </c>
      <c r="G268" s="14" t="inlineStr">
        <is>
          <t>"Quotes" lists every lead's quotes with a "Client" column; Sophia Wong's quote shows its number, status and total.</t>
        </is>
      </c>
      <c r="H268" s="12" t="inlineStr">
        <is>
          <t>Same as 1.0</t>
        </is>
      </c>
      <c r="I268" s="11" t="inlineStr">
        <is>
          <t>Dane</t>
        </is>
      </c>
      <c r="J268" s="15" t="n"/>
      <c r="K268" s="15" t="n"/>
      <c r="L268" s="15" t="n"/>
      <c r="M268" s="16" t="n"/>
      <c r="N268" s="17" t="n"/>
      <c r="O268" s="17" t="n"/>
      <c r="P268" s="15" t="n"/>
    </row>
    <row r="269">
      <c r="A269" s="11" t="n">
        <v>11</v>
      </c>
      <c r="B269" s="11" t="inlineStr">
        <is>
          <t>11.12</t>
        </is>
      </c>
      <c r="C269" s="12" t="inlineStr">
        <is>
          <t>The paperwork across the studio</t>
        </is>
      </c>
      <c r="D269" s="12" t="inlineStr">
        <is>
          <t>Contracts</t>
        </is>
      </c>
      <c r="E269" s="13" t="inlineStr">
        <is>
          <t>Find Sophia's signed contract among all contracts</t>
        </is>
      </c>
      <c r="F269" s="14" t="inlineStr">
        <is>
          <t>1. Click "Tools" › "Contracts"
2. Type Sophia in the search box</t>
        </is>
      </c>
      <c r="G269" s="14" t="inlineStr">
        <is>
          <t>"Contracts" lists the studio's contracts with a "Lead" column; Sophia Wong's contract reads "Signed".</t>
        </is>
      </c>
      <c r="H269" s="12" t="inlineStr">
        <is>
          <t>New in 2.0</t>
        </is>
      </c>
      <c r="I269" s="11" t="inlineStr">
        <is>
          <t>Dane</t>
        </is>
      </c>
      <c r="J269" s="15" t="n"/>
      <c r="K269" s="15" t="n"/>
      <c r="L269" s="15" t="n"/>
      <c r="M269" s="16" t="n"/>
      <c r="N269" s="17" t="n"/>
      <c r="O269" s="17" t="n"/>
      <c r="P269" s="15" t="n"/>
    </row>
    <row r="270">
      <c r="A270" s="11" t="n">
        <v>11</v>
      </c>
      <c r="B270" s="11" t="inlineStr">
        <is>
          <t>11.13</t>
        </is>
      </c>
      <c r="C270" s="12" t="inlineStr">
        <is>
          <t>The paperwork across the studio</t>
        </is>
      </c>
      <c r="D270" s="12" t="inlineStr">
        <is>
          <t>Quote X-Ray</t>
        </is>
      </c>
      <c r="E270" s="13" t="inlineStr">
        <is>
          <t>Find last week's rival-quote comparison again</t>
        </is>
      </c>
      <c r="F270" s="14" t="inlineStr">
        <is>
          <t>1. Click "Tools" › "Quote X-Ray"
2. Look at "Recent comparisons"
3. Click the Sophia Wong row</t>
        </is>
      </c>
      <c r="G270" s="14" t="inlineStr">
        <is>
          <t>A row "Sophia Wong · vs …" (the rival from chapter 7) with its date; it opens the saved comparison.</t>
        </is>
      </c>
      <c r="H270" s="12" t="inlineStr">
        <is>
          <t>Different from 1.0: every comparison kept, not just the last five</t>
        </is>
      </c>
      <c r="I270" s="11" t="inlineStr">
        <is>
          <t>Dane</t>
        </is>
      </c>
      <c r="J270" s="15" t="n"/>
      <c r="K270" s="15" t="n"/>
      <c r="L270" s="15" t="n"/>
      <c r="M270" s="16" t="n"/>
      <c r="N270" s="17" t="n"/>
      <c r="O270" s="17" t="n"/>
      <c r="P270" s="15" t="n"/>
    </row>
    <row r="271" ht="22" customHeight="1">
      <c r="A271" s="9" t="inlineStr">
        <is>
          <t>Chapter 12 · On your phone — The key tasks again, on a phone.</t>
        </is>
      </c>
      <c r="M271" s="10" t="n"/>
    </row>
    <row r="272">
      <c r="A272" s="11" t="n">
        <v>12</v>
      </c>
      <c r="B272" s="11" t="inlineStr">
        <is>
          <t>12.01</t>
        </is>
      </c>
      <c r="C272" s="12" t="inlineStr">
        <is>
          <t>Pick up your phone</t>
        </is>
      </c>
      <c r="D272" s="12" t="inlineStr">
        <is>
          <t>Phone</t>
        </is>
      </c>
      <c r="E272" s="13" t="inlineStr">
        <is>
          <t>Open OpenMaison on your phone</t>
        </is>
      </c>
      <c r="F272" s="14" t="inlineStr">
        <is>
          <t>1. On the laptop, find the "Network" address in the window running npm run dev (like http://192.168.1.20:3000)
2. On a phone on the same Wi-Fi, type that address into the browser</t>
        </is>
      </c>
      <c r="G272" s="14" t="inlineStr">
        <is>
          <t>Leads opens as cards, with a top bar (search, chat, bell, avatar) and a bottom bar: Dashboard, Leads, Tools, Projects, More</t>
        </is>
      </c>
      <c r="H272" s="12" t="inlineStr">
        <is>
          <t>Different from 1.0: a stage pill replaces bucket tabs and swiping</t>
        </is>
      </c>
      <c r="I272" s="11" t="inlineStr">
        <is>
          <t>Dane</t>
        </is>
      </c>
      <c r="J272" s="15" t="n"/>
      <c r="K272" s="15" t="n"/>
      <c r="L272" s="15" t="n"/>
      <c r="M272" s="16" t="n"/>
      <c r="N272" s="17" t="n"/>
      <c r="O272" s="17" t="n"/>
      <c r="P272" s="15" t="n"/>
    </row>
    <row r="273">
      <c r="A273" s="11" t="n">
        <v>12</v>
      </c>
      <c r="B273" s="11" t="inlineStr">
        <is>
          <t>12.02</t>
        </is>
      </c>
      <c r="C273" s="12" t="inlineStr">
        <is>
          <t>Pick up your phone</t>
        </is>
      </c>
      <c r="D273" s="12" t="inlineStr">
        <is>
          <t>Phone</t>
        </is>
      </c>
      <c r="E273" s="13" t="inlineStr">
        <is>
          <t>Read a lead at a glance</t>
        </is>
      </c>
      <c r="F273" s="14" t="inlineStr">
        <is>
          <t>1. Scroll to Sophia Wong’s card</t>
        </is>
      </c>
      <c r="G273" s="14" t="inlineStr">
        <is>
          <t>Her card shows its age, phone, budget, source, her first task (or "Add Task"), members’ avatars and the stage button "Won"</t>
        </is>
      </c>
      <c r="H273" s="12" t="inlineStr">
        <is>
          <t>Different from 1.0: fewer badges; the first task shows instead</t>
        </is>
      </c>
      <c r="I273" s="11" t="inlineStr">
        <is>
          <t>Dane</t>
        </is>
      </c>
      <c r="J273" s="15" t="n"/>
      <c r="K273" s="15" t="n"/>
      <c r="L273" s="15" t="n"/>
      <c r="M273" s="16" t="n"/>
      <c r="N273" s="17" t="n"/>
      <c r="O273" s="17" t="n"/>
      <c r="P273" s="15" t="n"/>
    </row>
    <row r="274">
      <c r="A274" s="11" t="n">
        <v>12</v>
      </c>
      <c r="B274" s="11" t="inlineStr">
        <is>
          <t>12.03</t>
        </is>
      </c>
      <c r="C274" s="12" t="inlineStr">
        <is>
          <t>Pick up your phone</t>
        </is>
      </c>
      <c r="D274" s="12" t="inlineStr">
        <is>
          <t>Phone</t>
        </is>
      </c>
      <c r="E274" s="13" t="inlineStr">
        <is>
          <t>Find a lead by name on the phone</t>
        </is>
      </c>
      <c r="F274" s="14" t="inlineStr">
        <is>
          <t>1. Tap the magnifier in the top bar
2. Type Sophia</t>
        </is>
      </c>
      <c r="G274" s="14" t="inlineStr">
        <is>
          <t>A search box opens above the list and only Sophia Wong’s card remains, the match highlighted</t>
        </is>
      </c>
      <c r="H274" s="12" t="inlineStr">
        <is>
          <t>Different from 1.0: one search box, in the top bar</t>
        </is>
      </c>
      <c r="I274" s="11" t="inlineStr">
        <is>
          <t>Dane</t>
        </is>
      </c>
      <c r="J274" s="15" t="n"/>
      <c r="K274" s="15" t="n"/>
      <c r="L274" s="15" t="n"/>
      <c r="M274" s="16" t="n"/>
      <c r="N274" s="17" t="n"/>
      <c r="O274" s="17" t="n"/>
      <c r="P274" s="15" t="n"/>
    </row>
    <row r="275">
      <c r="A275" s="11" t="n">
        <v>12</v>
      </c>
      <c r="B275" s="11" t="inlineStr">
        <is>
          <t>12.04</t>
        </is>
      </c>
      <c r="C275" s="12" t="inlineStr">
        <is>
          <t>Pick up your phone</t>
        </is>
      </c>
      <c r="D275" s="12" t="inlineStr">
        <is>
          <t>Phone</t>
        </is>
      </c>
      <c r="E275" s="13" t="inlineStr">
        <is>
          <t>Reach the rest of the app from More</t>
        </is>
      </c>
      <c r="F275" s="14" t="inlineStr">
        <is>
          <t>1. Tap "More" in the bottom bar
2. Tap "Company"</t>
        </is>
      </c>
      <c r="G275" s="14" t="inlineStr">
        <is>
          <t>"More" slides up with Tasks, Marketplace, Company, Qanvast Ops, Settings and "View as" (Dane); Company opens as a sheet, Profile to Integrations</t>
        </is>
      </c>
      <c r="H275" s="12" t="inlineStr">
        <is>
          <t>Different from 1.0: 1.0’s phone menu had no studio setup</t>
        </is>
      </c>
      <c r="I275" s="11" t="inlineStr">
        <is>
          <t>Dane</t>
        </is>
      </c>
      <c r="J275" s="15" t="n"/>
      <c r="K275" s="15" t="n"/>
      <c r="L275" s="15" t="n"/>
      <c r="M275" s="16" t="n"/>
      <c r="N275" s="17" t="n"/>
      <c r="O275" s="17" t="n"/>
      <c r="P275" s="15" t="n"/>
    </row>
    <row r="276">
      <c r="A276" s="11" t="n">
        <v>12</v>
      </c>
      <c r="B276" s="11" t="inlineStr">
        <is>
          <t>12.05</t>
        </is>
      </c>
      <c r="C276" s="12" t="inlineStr">
        <is>
          <t>Work a lead on the go</t>
        </is>
      </c>
      <c r="D276" s="12" t="inlineStr">
        <is>
          <t>Phone</t>
        </is>
      </c>
      <c r="E276" s="13" t="inlineStr">
        <is>
          <t>Open Sophia’s lead and move between tabs</t>
        </is>
      </c>
      <c r="F276" s="14" t="inlineStr">
        <is>
          <t>1. Close the sheet and tap Sophia Wong’s card
2. Swipe the tab row sideways and tap "Notes &amp; Logs"</t>
        </is>
      </c>
      <c r="G276" s="14" t="inlineStr">
        <is>
          <t>Her name has a line of its own; the tabs scroll sideways; Notes &amp; Logs fills the screen as a list</t>
        </is>
      </c>
      <c r="H276" s="12" t="inlineStr">
        <is>
          <t>Different from 1.0: the lead opens as a page, not a drawer</t>
        </is>
      </c>
      <c r="I276" s="11" t="inlineStr">
        <is>
          <t>Dane</t>
        </is>
      </c>
      <c r="J276" s="15" t="n"/>
      <c r="K276" s="15" t="n"/>
      <c r="L276" s="15" t="n"/>
      <c r="M276" s="16" t="n"/>
      <c r="N276" s="17" t="n"/>
      <c r="O276" s="17" t="n"/>
      <c r="P276" s="15" t="n"/>
    </row>
    <row r="277">
      <c r="A277" s="11" t="n">
        <v>12</v>
      </c>
      <c r="B277" s="11" t="inlineStr">
        <is>
          <t>12.06</t>
        </is>
      </c>
      <c r="C277" s="12" t="inlineStr">
        <is>
          <t>Work a lead on the go</t>
        </is>
      </c>
      <c r="D277" s="12" t="inlineStr">
        <is>
          <t>Phone</t>
        </is>
      </c>
      <c r="E277" s="13" t="inlineStr">
        <is>
          <t>Start a stage move from a lead card</t>
        </is>
      </c>
      <c r="F277" s="14" t="inlineStr">
        <is>
          <t>1. Back on Leads, on a Contacted lead’s card (e.g. Cheryl Lim) tap the stage button "Contacted"
2. In the "Move stage" sheet tap "Met"
3. Look at the window, then tap "Cancel"</t>
        </is>
      </c>
      <c r="G277" s="14" t="inlineStr">
        <is>
          <t>Both rise from the bottom; the Move stage window fills the screen with "Cancel" and "Save" pinned at the foot; nothing moves</t>
        </is>
      </c>
      <c r="H277" s="12" t="inlineStr">
        <is>
          <t>Different from 1.0: one stage window, not status drop-downs</t>
        </is>
      </c>
      <c r="I277" s="11" t="inlineStr">
        <is>
          <t>Dane</t>
        </is>
      </c>
      <c r="J277" s="15" t="n"/>
      <c r="K277" s="15" t="n"/>
      <c r="L277" s="15" t="n"/>
      <c r="M277" s="16" t="n"/>
      <c r="N277" s="17" t="n"/>
      <c r="O277" s="17" t="n"/>
      <c r="P277" s="15" t="n"/>
    </row>
    <row r="278">
      <c r="A278" s="11" t="n">
        <v>12</v>
      </c>
      <c r="B278" s="11" t="inlineStr">
        <is>
          <t>12.07</t>
        </is>
      </c>
      <c r="C278" s="12" t="inlineStr">
        <is>
          <t>Work a lead on the go</t>
        </is>
      </c>
      <c r="D278" s="12" t="inlineStr">
        <is>
          <t>Phone</t>
        </is>
      </c>
      <c r="E278" s="13" t="inlineStr">
        <is>
          <t>Narrow the list with a quick filter</t>
        </is>
      </c>
      <c r="F278" s="14" t="inlineStr">
        <is>
          <t>1. Tap the filter icon beside the "All Leads" pill
2. In "Quick filters", tick "Unassigned"
3. Tap "Clear All", then "Done"</t>
        </is>
      </c>
      <c r="G278" s="14" t="inlineStr">
        <is>
          <t>"Filters" rises from the bottom; the tick narrows the list behind at once; after "Clear All" every lead is back</t>
        </is>
      </c>
      <c r="H278" s="12" t="inlineStr">
        <is>
          <t>Different from 1.0: three quick filters instead of five</t>
        </is>
      </c>
      <c r="I278" s="11" t="inlineStr">
        <is>
          <t>Dane</t>
        </is>
      </c>
      <c r="J278" s="15" t="n"/>
      <c r="K278" s="15" t="n"/>
      <c r="L278" s="15" t="n"/>
      <c r="M278" s="16" t="n"/>
      <c r="N278" s="17" t="n"/>
      <c r="O278" s="17" t="n"/>
      <c r="P278" s="15" t="n"/>
    </row>
    <row r="279">
      <c r="A279" s="11" t="n">
        <v>12</v>
      </c>
      <c r="B279" s="11" t="inlineStr">
        <is>
          <t>12.08</t>
        </is>
      </c>
      <c r="C279" s="12" t="inlineStr">
        <is>
          <t>Quotes and contracts in your pocket</t>
        </is>
      </c>
      <c r="D279" s="12" t="inlineStr">
        <is>
          <t>Phone</t>
        </is>
      </c>
      <c r="E279" s="13" t="inlineStr">
        <is>
          <t>Check a quote’s lines on the phone</t>
        </is>
      </c>
      <c r="F279" s="14" t="inlineStr">
        <is>
          <t>1. Open Sophia Wong › "Quotes" and tap her quote
2. Scroll to "Items" and tap a line
3. Look, then tap "Done" without changing anything</t>
        </is>
      </c>
      <c r="G279" s="14" t="inlineStr">
        <is>
          <t>Each line is a card (name, quantity × unit price, total); a line opens as a sheet with its "Line total" and every field</t>
        </is>
      </c>
      <c r="H279" s="12" t="inlineStr">
        <is>
          <t>Different from 1.0: lines edit in a sheet, not a side panel</t>
        </is>
      </c>
      <c r="I279" s="11" t="inlineStr">
        <is>
          <t>Dane</t>
        </is>
      </c>
      <c r="J279" s="15" t="n"/>
      <c r="K279" s="15" t="n"/>
      <c r="L279" s="15" t="n"/>
      <c r="M279" s="16" t="n"/>
      <c r="N279" s="17" t="n"/>
      <c r="O279" s="17" t="n"/>
      <c r="P279" s="15" t="n"/>
    </row>
    <row r="280">
      <c r="A280" s="11" t="n">
        <v>12</v>
      </c>
      <c r="B280" s="11" t="inlineStr">
        <is>
          <t>12.09</t>
        </is>
      </c>
      <c r="C280" s="12" t="inlineStr">
        <is>
          <t>Quotes and contracts in your pocket</t>
        </is>
      </c>
      <c r="D280" s="12" t="inlineStr">
        <is>
          <t>Phone</t>
        </is>
      </c>
      <c r="E280" s="13" t="inlineStr">
        <is>
          <t>Open Tools › Contracts on the phone</t>
        </is>
      </c>
      <c r="F280" s="14" t="inlineStr">
        <is>
          <t>1. Tap "Tools" in the bottom bar
2. Tap "Contracts"</t>
        </is>
      </c>
      <c r="G280" s="14" t="inlineStr">
        <is>
          <t>Tools rises as a sheet of tiles; contracts show as cards — title and ⋮ on top, status and date below</t>
        </is>
      </c>
      <c r="H280" s="12" t="inlineStr">
        <is>
          <t>Different from 1.0: 1.0’s phone menu had no Tools</t>
        </is>
      </c>
      <c r="I280" s="11" t="inlineStr">
        <is>
          <t>Dane</t>
        </is>
      </c>
      <c r="J280" s="15" t="n"/>
      <c r="K280" s="15" t="n"/>
      <c r="L280" s="15" t="n"/>
      <c r="M280" s="16" t="n"/>
      <c r="N280" s="17" t="n"/>
      <c r="O280" s="17" t="n"/>
      <c r="P280" s="15" t="n"/>
    </row>
    <row r="281">
      <c r="A281" s="11" t="n">
        <v>12</v>
      </c>
      <c r="B281" s="11" t="inlineStr">
        <is>
          <t>12.10</t>
        </is>
      </c>
      <c r="C281" s="12" t="inlineStr">
        <is>
          <t>Quotes and contracts in your pocket</t>
        </is>
      </c>
      <c r="D281" s="12" t="inlineStr">
        <is>
          <t>Phone</t>
        </is>
      </c>
      <c r="E281" s="13" t="inlineStr">
        <is>
          <t>Raise a second agreement for Sophia and get its link</t>
        </is>
      </c>
      <c r="F281" s="14" t="inlineStr">
        <is>
          <t>1. Open Sophia Wong › "Contracts", tap "+" ("New Contract") › "From the studio agreement"
2. Tap the status "Draft" › "Sent to Client"
3. Tap "Send"; press and hold the link at the bottom of the window, choose Copy, then close it</t>
        </is>
      </c>
      <c r="G281" s="14" t="inlineStr">
        <is>
          <t>Menus rise as bottom sheets; the status reads "Sent to Client"; the copied link starts with the phone’s Network address</t>
        </is>
      </c>
      <c r="H281" s="12" t="inlineStr">
        <is>
          <t>New in 2.0</t>
        </is>
      </c>
      <c r="I281" s="11" t="inlineStr">
        <is>
          <t>Dane</t>
        </is>
      </c>
      <c r="J281" s="15" t="n"/>
      <c r="K281" s="15" t="n"/>
      <c r="L281" s="15" t="n"/>
      <c r="M281" s="16" t="n"/>
      <c r="N281" s="17" t="n"/>
      <c r="O281" s="17" t="n"/>
      <c r="P281" s="15" t="n"/>
    </row>
    <row r="282">
      <c r="A282" s="11" t="n">
        <v>12</v>
      </c>
      <c r="B282" s="11" t="inlineStr">
        <is>
          <t>12.11</t>
        </is>
      </c>
      <c r="C282" s="12" t="inlineStr">
        <is>
          <t>Quotes and contracts in your pocket</t>
        </is>
      </c>
      <c r="D282" s="12" t="inlineStr">
        <is>
          <t>Phone</t>
        </is>
      </c>
      <c r="E282" s="13" t="inlineStr">
        <is>
          <t>Read the agreement on the phone as Sophia</t>
        </is>
      </c>
      <c r="F282" s="14" t="inlineStr">
        <is>
          <t>1. Paste the link into a new browser tab
2. Scroll to the end — the bar at the foot guides you
3. Tap "Go to the box" and tick "I have read and agree to this document."</t>
        </is>
      </c>
      <c r="G282" s="14" t="inlineStr">
        <is>
          <t>The card sits above the agreement; the foot bar reads "Read to the end of the agreement", then "Ready when you are" with "Send code"</t>
        </is>
      </c>
      <c r="H282" s="12" t="inlineStr">
        <is>
          <t>Same as 1.0</t>
        </is>
      </c>
      <c r="I282" s="18" t="inlineStr">
        <is>
          <t>Sophia Wong (client)</t>
        </is>
      </c>
      <c r="J282" s="15" t="n"/>
      <c r="K282" s="15" t="n"/>
      <c r="L282" s="15" t="n"/>
      <c r="M282" s="16" t="n"/>
      <c r="N282" s="17" t="n"/>
      <c r="O282" s="17" t="n"/>
      <c r="P282" s="15" t="n"/>
    </row>
    <row r="283">
      <c r="A283" s="11" t="n">
        <v>12</v>
      </c>
      <c r="B283" s="11" t="inlineStr">
        <is>
          <t>12.12</t>
        </is>
      </c>
      <c r="C283" s="12" t="inlineStr">
        <is>
          <t>Quotes and contracts in your pocket</t>
        </is>
      </c>
      <c r="D283" s="12" t="inlineStr">
        <is>
          <t>Phone</t>
        </is>
      </c>
      <c r="E283" s="13" t="inlineStr">
        <is>
          <t>Sign with your finger</t>
        </is>
      </c>
      <c r="F283" s="14" t="inlineStr">
        <is>
          <t>1. Tap "Send code", type 123456, tap "Verify"
2. Tap "Draw" and sign with your finger
3. Tap "Sign agreement"</t>
        </is>
      </c>
      <c r="G283" s="14" t="inlineStr">
        <is>
          <t>The pad follows your finger; the card turns "Signed"; the signing record says "Drawn by hand" and names your phone’s browser</t>
        </is>
      </c>
      <c r="H283" s="12" t="inlineStr">
        <is>
          <t>Same as 1.0</t>
        </is>
      </c>
      <c r="I283" s="18" t="inlineStr">
        <is>
          <t>Sophia Wong (client)</t>
        </is>
      </c>
      <c r="J283" s="15" t="n"/>
      <c r="K283" s="15" t="n"/>
      <c r="L283" s="15" t="n"/>
      <c r="M283" s="16" t="n"/>
      <c r="N283" s="17" t="n"/>
      <c r="O283" s="17" t="n"/>
      <c r="P283" s="15" t="n"/>
    </row>
    <row r="284">
      <c r="A284" s="11" t="n">
        <v>12</v>
      </c>
      <c r="B284" s="11" t="inlineStr">
        <is>
          <t>12.13</t>
        </is>
      </c>
      <c r="C284" s="12" t="inlineStr">
        <is>
          <t>Quotes and contracts in your pocket</t>
        </is>
      </c>
      <c r="D284" s="12" t="inlineStr">
        <is>
          <t>Phone</t>
        </is>
      </c>
      <c r="E284" s="13" t="inlineStr">
        <is>
          <t>See the signature arrive in the bell</t>
        </is>
      </c>
      <c r="F284" s="14" t="inlineStr">
        <is>
          <t>1. Go back to the app’s tab
2. Tap the bell in the top bar</t>
        </is>
      </c>
      <c r="G284" s="14" t="inlineStr">
        <is>
          <t>"Notifications" fills the screen; the newest notice reads "Sophia Wong signed Interior Design Service Agreement 2"</t>
        </is>
      </c>
      <c r="H284" s="12" t="inlineStr">
        <is>
          <t>Same as 1.0</t>
        </is>
      </c>
      <c r="I284" s="11" t="inlineStr">
        <is>
          <t>Dane</t>
        </is>
      </c>
      <c r="J284" s="15" t="n"/>
      <c r="K284" s="15" t="n"/>
      <c r="L284" s="15" t="n"/>
      <c r="M284" s="16" t="n"/>
      <c r="N284" s="17" t="n"/>
      <c r="O284" s="17" t="n"/>
      <c r="P284" s="15" t="n"/>
    </row>
    <row r="285" ht="22" customHeight="1">
      <c r="A285" s="9" t="inlineStr">
        <is>
          <t>Chapter 13 · Design her room — AI Visualizer: Sophia’s living room, from her photo to the look she picks.</t>
        </is>
      </c>
      <c r="M285" s="10" t="n"/>
    </row>
    <row r="286">
      <c r="A286" s="11" t="n">
        <v>13</v>
      </c>
      <c r="B286" s="11" t="inlineStr">
        <is>
          <t>13.01</t>
        </is>
      </c>
      <c r="C286" s="12" t="inlineStr">
        <is>
          <t>Her photo, in the AI Visualizer</t>
        </is>
      </c>
      <c r="D286" s="12" t="inlineStr">
        <is>
          <t>AI Visualizer</t>
        </is>
      </c>
      <c r="E286" s="13" t="inlineStr">
        <is>
          <t>Open Sophia’s site photo in the AI Visualizer</t>
        </is>
      </c>
      <c r="F286" s="14" t="inlineStr">
        <is>
          <t>1. Open Sophia Wong › "Files", open the Site photos folder and double-click sophia-living-room.jpg
2. Click "More options" (⋮, top right), then "Open in AI Visualizer"
3. Read the tip, press "Got it"; look at the squares on the photo
4. Click the eye icon ("Hide markers"), then again ("Show markers")</t>
        </is>
      </c>
      <c r="G286" s="14" t="inlineStr">
        <is>
          <t>Full screen: "Sophia Wong", chip "LEAD · WON", a room named "Living room" from the file; squares on walls and floor; "Marked roughly on your photo — …".</t>
        </is>
      </c>
      <c r="H286" s="12" t="inlineStr">
        <is>
          <t>New in 2.0</t>
        </is>
      </c>
      <c r="I286" s="11" t="inlineStr">
        <is>
          <t>Dane</t>
        </is>
      </c>
      <c r="J286" s="15" t="n"/>
      <c r="K286" s="15" t="n"/>
      <c r="L286" s="15" t="n"/>
      <c r="M286" s="16" t="n"/>
      <c r="N286" s="17" t="n"/>
      <c r="O286" s="17" t="n"/>
      <c r="P286" s="15" t="n"/>
    </row>
    <row r="287">
      <c r="A287" s="11" t="n">
        <v>13</v>
      </c>
      <c r="B287" s="11" t="inlineStr">
        <is>
          <t>13.02</t>
        </is>
      </c>
      <c r="C287" s="12" t="inlineStr">
        <is>
          <t>Her photo, in the AI Visualizer</t>
        </is>
      </c>
      <c r="D287" s="12" t="inlineStr">
        <is>
          <t>AI Visualizer</t>
        </is>
      </c>
      <c r="E287" s="13" t="inlineStr">
        <is>
          <t>Check the room’s menu and mark the lamp it missed</t>
        </is>
      </c>
      <c r="F287" s="14" t="inlineStr">
        <is>
          <t>1. Click "Room options" (⋯ by the room chip), read the menu, press Esc
2. Open "Furniture", press "Add furniture": "Piece" Floor lamp, then the chip "Lighting"
3. Press "Click where it is", then click the lamp’s yellow shade on the photo
4. On the "Floor Lamp" row press ✕ ("Take off the list …"), then "Undo" in the message</t>
        </is>
      </c>
      <c r="G287" s="14" t="inlineStr">
        <is>
          <t>The menu offers "Rename", "Change photo", "Delete room"; "Floor Lamp" joins the furniture list; Undo restores it after "… taken off the list".</t>
        </is>
      </c>
      <c r="H287" s="12" t="inlineStr">
        <is>
          <t>Different from 1.0: taking a mark off has Undo</t>
        </is>
      </c>
      <c r="I287" s="11" t="inlineStr">
        <is>
          <t>Dane</t>
        </is>
      </c>
      <c r="J287" s="15" t="n"/>
      <c r="K287" s="15" t="n"/>
      <c r="L287" s="15" t="n"/>
      <c r="M287" s="16" t="n"/>
      <c r="N287" s="17" t="n"/>
      <c r="O287" s="17" t="n"/>
      <c r="P287" s="15" t="n"/>
    </row>
    <row r="288">
      <c r="A288" s="11" t="n">
        <v>13</v>
      </c>
      <c r="B288" s="11" t="inlineStr">
        <is>
          <t>13.03</t>
        </is>
      </c>
      <c r="C288" s="12" t="inlineStr">
        <is>
          <t>New finishes</t>
        </is>
      </c>
      <c r="D288" s="12" t="inlineStr">
        <is>
          <t>AI Visualizer</t>
        </is>
      </c>
      <c r="E288" s="13" t="inlineStr">
        <is>
          <t>Pick a sage paint for the walls and a walnut floor</t>
        </is>
      </c>
      <c r="F288" s="14" t="inlineStr">
        <is>
          <t>1. Open "Surfaces", click the "Walls" row (or the square on a wall) — it starts on "As in the photo"
2. Search sage and click "Sage Green"
3. Press "All surfaces", click "Floor", chip "Flooring" › "Walnut Engineered"
4. Read the foot of the panel</t>
        </is>
      </c>
      <c r="G288" s="14" t="inlineStr">
        <is>
          <t>The picked wall lights up on the photo; "Recent" holds Sage Green; the foot lists both changes; the button reads "Generate · 2 changes".</t>
        </is>
      </c>
      <c r="H288" s="12" t="inlineStr">
        <is>
          <t>Different from 1.0: the picked surface lights up on the photo</t>
        </is>
      </c>
      <c r="I288" s="11" t="inlineStr">
        <is>
          <t>Dane</t>
        </is>
      </c>
      <c r="J288" s="15" t="n"/>
      <c r="K288" s="15" t="n"/>
      <c r="L288" s="15" t="n"/>
      <c r="M288" s="16" t="n"/>
      <c r="N288" s="17" t="n"/>
      <c r="O288" s="17" t="n"/>
      <c r="P288" s="15" t="n"/>
    </row>
    <row r="289">
      <c r="A289" s="11" t="n">
        <v>13</v>
      </c>
      <c r="B289" s="11" t="inlineStr">
        <is>
          <t>13.04</t>
        </is>
      </c>
      <c r="C289" s="12" t="inlineStr">
        <is>
          <t>New finishes</t>
        </is>
      </c>
      <c r="D289" s="12" t="inlineStr">
        <is>
          <t>AI Visualizer</t>
        </is>
      </c>
      <c r="E289" s="13" t="inlineStr">
        <is>
          <t>Generate, stop one midway, then compare before and after</t>
        </is>
      </c>
      <c r="F289" s="14" t="inlineStr">
        <is>
          <t>1. Beside "Makes 1 version · Fast" press "Change", pick Quality "High", press "Done"
2. Press "Generate · 2 changes", then "Cancel" on the card at once
3. Press "Generate · 2 changes" again and wait
4. Press "Compare" under the photo and drag the line across</t>
        </is>
      </c>
      <c r="G289" s="14" t="inlineStr">
        <is>
          <t>"Stopped — nothing was kept"; then "Reading the photo"…, "V1 is ready", a "V1 · Walls, Floor" tile, and a slider "Original" | "V1".</t>
        </is>
      </c>
      <c r="H289" s="12" t="inlineStr">
        <is>
          <t>Different from 1.0: compare right on the photo, one press</t>
        </is>
      </c>
      <c r="I289" s="11" t="inlineStr">
        <is>
          <t>Dane</t>
        </is>
      </c>
      <c r="J289" s="15" t="n"/>
      <c r="K289" s="15" t="n"/>
      <c r="L289" s="15" t="n"/>
      <c r="M289" s="16" t="n"/>
      <c r="N289" s="17" t="n"/>
      <c r="O289" s="17" t="n"/>
      <c r="P289" s="15" t="n"/>
    </row>
    <row r="290">
      <c r="A290" s="11" t="n">
        <v>13</v>
      </c>
      <c r="B290" s="11" t="inlineStr">
        <is>
          <t>13.05</t>
        </is>
      </c>
      <c r="C290" s="12" t="inlineStr">
        <is>
          <t>New finishes</t>
        </is>
      </c>
      <c r="D290" s="12" t="inlineStr">
        <is>
          <t>AI Visualizer</t>
        </is>
      </c>
      <c r="E290" s="13" t="inlineStr">
        <is>
          <t>Describe a change in your own words</t>
        </is>
      </c>
      <c r="F290" s="14" t="inlineStr">
        <is>
          <t>1. In "DESCRIBE A CHANGE" type make it nice and read the line under the button
2. Replace the words with warmer evening light, press "Generate from note"</t>
        </is>
      </c>
      <c r="G290" s="14" t="inlineStr">
        <is>
          <t>First "Generate from note" stays greyed: "We couldn’t turn that note into a change — …"; then "V2 · From a note": evening light, walls still sage.</t>
        </is>
      </c>
      <c r="H290" s="12" t="inlineStr">
        <is>
          <t>Different from 1.0: the words box is always in view</t>
        </is>
      </c>
      <c r="I290" s="11" t="inlineStr">
        <is>
          <t>Dane</t>
        </is>
      </c>
      <c r="J290" s="15" t="n"/>
      <c r="K290" s="15" t="n"/>
      <c r="L290" s="15" t="n"/>
      <c r="M290" s="16" t="n"/>
      <c r="N290" s="17" t="n"/>
      <c r="O290" s="17" t="n"/>
      <c r="P290" s="15" t="n"/>
    </row>
    <row r="291">
      <c r="A291" s="11" t="n">
        <v>13</v>
      </c>
      <c r="B291" s="11" t="inlineStr">
        <is>
          <t>13.06</t>
        </is>
      </c>
      <c r="C291" s="12" t="inlineStr">
        <is>
          <t>The whole look on a sample room</t>
        </is>
      </c>
      <c r="D291" s="12" t="inlineStr">
        <is>
          <t>AI Visualizer</t>
        </is>
      </c>
      <c r="E291" s="13" t="inlineStr">
        <is>
          <t>Add the sample living room to her design</t>
        </is>
      </c>
      <c r="F291" s="14" t="inlineStr">
        <is>
          <t>1. Press "Add room" in the top bar
2. Read the ways in
3. Under "SAMPLE ROOMS" click "Living room" ("Furnished photo")
4. Open "Furniture"</t>
        </is>
      </c>
      <c r="G291" s="14" t="inlineStr">
        <is>
          <t>The upload box ("Drop room photos or browse" · "JPG, PNG, WebP or HEIC · …"), "FROM SOPHIA WONG’S FILES", "SAMPLE ROOMS"; a "Living room 2" chip opens, its 10 pieces listed.</t>
        </is>
      </c>
      <c r="H291" s="12" t="inlineStr">
        <is>
          <t>Different from 1.0: sample rooms and the lead’s files too</t>
        </is>
      </c>
      <c r="I291" s="11" t="inlineStr">
        <is>
          <t>Dane</t>
        </is>
      </c>
      <c r="J291" s="15" t="n"/>
      <c r="K291" s="15" t="n"/>
      <c r="L291" s="15" t="n"/>
      <c r="M291" s="16" t="n"/>
      <c r="N291" s="17" t="n"/>
      <c r="O291" s="17" t="n"/>
      <c r="P291" s="15" t="n"/>
    </row>
    <row r="292">
      <c r="A292" s="11" t="n">
        <v>13</v>
      </c>
      <c r="B292" s="11" t="inlineStr">
        <is>
          <t>13.07</t>
        </is>
      </c>
      <c r="C292" s="12" t="inlineStr">
        <is>
          <t>The whole look on a sample room</t>
        </is>
      </c>
      <c r="D292" s="12" t="inlineStr">
        <is>
          <t>AI Visualizer</t>
        </is>
      </c>
      <c r="E292" s="13" t="inlineStr">
        <is>
          <t>Recolour the sofa, swap the table, take out the TV</t>
        </is>
      </c>
      <c r="F292" s="14" t="inlineStr">
        <is>
          <t>1. "Grey Fabric Sofa" › "Customize" › "Velvet", then under "COLOUR" "Emerald"
2. "Oak Coffee Table" › "Replace", pick any "Quick pick"
3. "Wall-Mounted TV" › "Remove"; press ⌘Z (Ctrl+Z), then ⇧⌘Z (Ctrl+Shift+Z)
4. Press "Generate · 3 changes"</t>
        </is>
      </c>
      <c r="G292" s="14" t="inlineStr">
        <is>
          <t>Rows read "Customize · Emerald velvet", "Replace · …", "Taken out"; ⌘Z/⇧⌘Z flip the TV; "V1 is ready": green sofa, new table, no TV.</t>
        </is>
      </c>
      <c r="H292" s="12" t="inlineStr">
        <is>
          <t>Different from 1.0: ⌘Z takes back a pick</t>
        </is>
      </c>
      <c r="I292" s="11" t="inlineStr">
        <is>
          <t>Dane</t>
        </is>
      </c>
      <c r="J292" s="15" t="n"/>
      <c r="K292" s="15" t="n"/>
      <c r="L292" s="15" t="n"/>
      <c r="M292" s="16" t="n"/>
      <c r="N292" s="17" t="n"/>
      <c r="O292" s="17" t="n"/>
      <c r="P292" s="15" t="n"/>
    </row>
    <row r="293">
      <c r="A293" s="11" t="n">
        <v>13</v>
      </c>
      <c r="B293" s="11" t="inlineStr">
        <is>
          <t>13.08</t>
        </is>
      </c>
      <c r="C293" s="12" t="inlineStr">
        <is>
          <t>The whole look on a sample room</t>
        </is>
      </c>
      <c r="D293" s="12" t="inlineStr">
        <is>
          <t>AI Visualizer</t>
        </is>
      </c>
      <c r="E293" s="13" t="inlineStr">
        <is>
          <t>Restyle the room, then try a light live</t>
        </is>
      </c>
      <c r="F293" s="14" t="inlineStr">
        <is>
          <t>1. Open "Style", click "Japandi", read the line under the title, press "Restyle as Japandi"
2. Open "Lighting", click "Golden Hour"
3. Open "Fine-tune it by hand", drag "Colour temperature"
4. Press "Relight"</t>
        </is>
      </c>
      <c r="G293" s="14" t="inlineStr">
        <is>
          <t>A line warns "A style restyles the whole room from the photo — …"; "V2 is ready" ("V2 · Japandi"); Style is back on "None"; the light previews live; "V3 · Relit · Custom" lands.</t>
        </is>
      </c>
      <c r="H293" s="12" t="inlineStr">
        <is>
          <t>Different from 1.0: light previews live, kept in one step</t>
        </is>
      </c>
      <c r="I293" s="11" t="inlineStr">
        <is>
          <t>Dane</t>
        </is>
      </c>
      <c r="J293" s="15" t="n"/>
      <c r="K293" s="15" t="n"/>
      <c r="L293" s="15" t="n"/>
      <c r="M293" s="16" t="n"/>
      <c r="N293" s="17" t="n"/>
      <c r="O293" s="17" t="n"/>
      <c r="P293" s="15" t="n"/>
    </row>
    <row r="294">
      <c r="A294" s="11" t="n">
        <v>13</v>
      </c>
      <c r="B294" s="11" t="inlineStr">
        <is>
          <t>13.09</t>
        </is>
      </c>
      <c r="C294" s="12" t="inlineStr">
        <is>
          <t>The whole look on a sample room</t>
        </is>
      </c>
      <c r="D294" s="12" t="inlineStr">
        <is>
          <t>AI Visualizer</t>
        </is>
      </c>
      <c r="E294" s="13" t="inlineStr">
        <is>
          <t>Hang a patterned wallpaper, two takes at once</t>
        </is>
      </c>
      <c r="F294" s="14" t="inlineStr">
        <is>
          <t>1. Under "VERSIONS" click "Original"
2. "Surfaces": click a wall square, keep "All walls · 2"
3. Chip "Wallpapers" › "Tropical Botanical"
4. "Change" › "Versions" 2, press "Generate"</t>
        </is>
      </c>
      <c r="G294" s="14" t="inlineStr">
        <is>
          <t>The swatch wears a leaf pattern; "V4–V5 are ready" — two takes from one press: V4’s two walls in the leaf paper, V5 tries another paper.</t>
        </is>
      </c>
      <c r="H294" s="12" t="inlineStr">
        <is>
          <t>Different from 1.0: 2–3 versions on a desktop too</t>
        </is>
      </c>
      <c r="I294" s="11" t="inlineStr">
        <is>
          <t>Dane</t>
        </is>
      </c>
      <c r="J294" s="15" t="n"/>
      <c r="K294" s="15" t="n"/>
      <c r="L294" s="15" t="n"/>
      <c r="M294" s="16" t="n"/>
      <c r="N294" s="17" t="n"/>
      <c r="O294" s="17" t="n"/>
      <c r="P294" s="15" t="n"/>
    </row>
    <row r="295">
      <c r="A295" s="11" t="n">
        <v>13</v>
      </c>
      <c r="B295" s="11" t="inlineStr">
        <is>
          <t>13.10</t>
        </is>
      </c>
      <c r="C295" s="12" t="inlineStr">
        <is>
          <t>The whole look on a sample room</t>
        </is>
      </c>
      <c r="D295" s="12" t="inlineStr">
        <is>
          <t>AI Visualizer</t>
        </is>
      </c>
      <c r="E295" s="13" t="inlineStr">
        <is>
          <t>Empty the room, then furnish it again</t>
        </is>
      </c>
      <c r="F295" s="14" t="inlineStr">
        <is>
          <t>1. Click "V4", open "Tools", pick "Empty the room", then "Keep built-ins"
2. Press "Empty the room"
3. In "Tools" pick "Furnish the room", read "Will place:"
4. Press "Furnish the room"</t>
        </is>
      </c>
      <c r="G295" s="14" t="inlineStr">
        <is>
          <t>A version "Emptied · Keep built-ins" shows the room bare; then a "Furnished" version puts furniture back.</t>
        </is>
      </c>
      <c r="H295" s="12" t="inlineStr">
        <is>
          <t>Same as 1.0</t>
        </is>
      </c>
      <c r="I295" s="11" t="inlineStr">
        <is>
          <t>Dane</t>
        </is>
      </c>
      <c r="J295" s="15" t="n"/>
      <c r="K295" s="15" t="n"/>
      <c r="L295" s="15" t="n"/>
      <c r="M295" s="16" t="n"/>
      <c r="N295" s="17" t="n"/>
      <c r="O295" s="17" t="n"/>
      <c r="P295" s="15" t="n"/>
    </row>
    <row r="296">
      <c r="A296" s="11" t="n">
        <v>13</v>
      </c>
      <c r="B296" s="11" t="inlineStr">
        <is>
          <t>13.11</t>
        </is>
      </c>
      <c r="C296" s="12" t="inlineStr">
        <is>
          <t>The whole look on a sample room</t>
        </is>
      </c>
      <c r="D296" s="12" t="inlineStr">
        <is>
          <t>AI Visualizer</t>
        </is>
      </c>
      <c r="E296" s="13" t="inlineStr">
        <is>
          <t>Borrow a look from a photo</t>
        </is>
      </c>
      <c r="F296" s="14" t="inlineStr">
        <is>
          <t>1. Click "Original", open "Style"
2. Under "OR BORROW A LOOK FROM A PHOTO" press "Upload a reference photo", pick kitchen-moodboard.jpg
3. Read "HOW FAR" and "WHAT CARRIES OVER"; beside "Makes 2 versions · Fast" press "Change", pick "Versions" 1, press "Done"
4. Press "Style transfer"</t>
        </is>
      </c>
      <c r="G296" s="14" t="inlineStr">
        <is>
          <t>The reference shows with its colours under it; "V8 is ready": a "V8 · Style transfer" version wears the photo’s colours.</t>
        </is>
      </c>
      <c r="H296" s="12" t="inlineStr">
        <is>
          <t>Same as 1.0</t>
        </is>
      </c>
      <c r="I296" s="11" t="inlineStr">
        <is>
          <t>Dane</t>
        </is>
      </c>
      <c r="J296" s="15" t="n"/>
      <c r="K296" s="15" t="n"/>
      <c r="L296" s="15" t="n"/>
      <c r="M296" s="16" t="n"/>
      <c r="N296" s="17" t="n"/>
      <c r="O296" s="17" t="n"/>
      <c r="P296" s="15" t="n"/>
    </row>
    <row r="297">
      <c r="A297" s="11" t="n">
        <v>13</v>
      </c>
      <c r="B297" s="11" t="inlineStr">
        <is>
          <t>13.12</t>
        </is>
      </c>
      <c r="C297" s="12" t="inlineStr">
        <is>
          <t>Her versions</t>
        </is>
      </c>
      <c r="D297" s="12" t="inlineStr">
        <is>
          <t>AI Visualizer</t>
        </is>
      </c>
      <c r="E297" s="13" t="inlineStr">
        <is>
          <t>Delete a version, undo it, and restore it later</t>
        </is>
      </c>
      <c r="F297" s="14" t="inlineStr">
        <is>
          <t>1. On "V5" open ⋮ ("More options for V5") › "Delete", then "Undo"
2. Delete V5 again, then reload the page
3. Beside "VERSIONS" click "1 deleted", press "Restore"</t>
        </is>
      </c>
      <c r="G297" s="14" t="inlineStr">
        <is>
          <t>"V5 deleted" with Undo; after the reload every room, version and the "Saved …" stamp are as you left them; Restore brings V5 back ("V5 restored").</t>
        </is>
      </c>
      <c r="H297" s="12" t="inlineStr">
        <is>
          <t>Different from 1.0: Undo, a Deleted list, nothing lost on reload</t>
        </is>
      </c>
      <c r="I297" s="11" t="inlineStr">
        <is>
          <t>Dane</t>
        </is>
      </c>
      <c r="J297" s="15" t="n"/>
      <c r="K297" s="15" t="n"/>
      <c r="L297" s="15" t="n"/>
      <c r="M297" s="16" t="n"/>
      <c r="N297" s="17" t="n"/>
      <c r="O297" s="17" t="n"/>
      <c r="P297" s="15" t="n"/>
    </row>
    <row r="298">
      <c r="A298" s="11" t="n">
        <v>13</v>
      </c>
      <c r="B298" s="11" t="inlineStr">
        <is>
          <t>13.13</t>
        </is>
      </c>
      <c r="C298" s="12" t="inlineStr">
        <is>
          <t>Her versions</t>
        </is>
      </c>
      <c r="D298" s="12" t="inlineStr">
        <is>
          <t>AI Visualizer</t>
        </is>
      </c>
      <c r="E298" s="13" t="inlineStr">
        <is>
          <t>Pin a note on a version and resolve it</t>
        </is>
      </c>
      <c r="F298" s="14" t="inlineStr">
        <is>
          <t>1. Click the "Living room" chip, then the "V1" tile
2. Press the pin icon ("Pin a note"), click a wall
3. Write Sage on this wall only?, press "Pin it"
4. Write a reply, press "Reply", then the tick ("Resolve")</t>
        </is>
      </c>
      <c r="G298" s="14" t="inlineStr">
        <is>
          <t>Pin 1 sits on the photo (the box said "Only your team sees it"); its card shows your note and reply, then "Resolved".</t>
        </is>
      </c>
      <c r="H298" s="12" t="inlineStr">
        <is>
          <t>Different from 1.0: pins on any version, not only portal shares</t>
        </is>
      </c>
      <c r="I298" s="11" t="inlineStr">
        <is>
          <t>Dane</t>
        </is>
      </c>
      <c r="J298" s="15" t="n"/>
      <c r="K298" s="15" t="n"/>
      <c r="L298" s="15" t="n"/>
      <c r="M298" s="16" t="n"/>
      <c r="N298" s="17" t="n"/>
      <c r="O298" s="17" t="n"/>
      <c r="P298" s="15" t="n"/>
    </row>
    <row r="299">
      <c r="A299" s="11" t="n">
        <v>13</v>
      </c>
      <c r="B299" s="11" t="inlineStr">
        <is>
          <t>13.14</t>
        </is>
      </c>
      <c r="C299" s="12" t="inlineStr">
        <is>
          <t>Her versions</t>
        </is>
      </c>
      <c r="D299" s="12" t="inlineStr">
        <is>
          <t>AI Visualizer</t>
        </is>
      </c>
      <c r="E299" s="13" t="inlineStr">
        <is>
          <t>Present a version, open its moodboard, download it</t>
        </is>
      </c>
      <c r="F299" s="14" t="inlineStr">
        <is>
          <t>1. Press "Present" (full-screen icon under the photo); press "Next version", then "Before and after · V1"; "Done"
2. On V1 open ⋮ › "Moodboard", read it, press "Done"
3. On V1 open ⋮ › "Download"</t>
        </is>
      </c>
      <c r="G299" s="14" t="inlineStr">
        <is>
          <t>A large view lists "WHAT CHANGED"; the moodboard shows "FINISHES" and "THE COLOURS IT READS AS"; "Render - Living room - V1.jpg" downloads.</t>
        </is>
      </c>
      <c r="H299" s="12" t="inlineStr">
        <is>
          <t>Different from 1.0: Present and a moodboard replace the view</t>
        </is>
      </c>
      <c r="I299" s="11" t="inlineStr">
        <is>
          <t>Dane</t>
        </is>
      </c>
      <c r="J299" s="15" t="n"/>
      <c r="K299" s="15" t="n"/>
      <c r="L299" s="15" t="n"/>
      <c r="M299" s="16" t="n"/>
      <c r="N299" s="17" t="n"/>
      <c r="O299" s="17" t="n"/>
      <c r="P299" s="15" t="n"/>
    </row>
    <row r="300">
      <c r="A300" s="11" t="n">
        <v>13</v>
      </c>
      <c r="B300" s="11" t="inlineStr">
        <is>
          <t>13.15</t>
        </is>
      </c>
      <c r="C300" s="12" t="inlineStr">
        <is>
          <t>Out to her lead</t>
        </is>
      </c>
      <c r="D300" s="12" t="inlineStr">
        <is>
          <t>AI Visualizer</t>
        </is>
      </c>
      <c r="E300" s="13" t="inlineStr">
        <is>
          <t>Save a render to her Files and come back to it</t>
        </is>
      </c>
      <c r="F300" s="14" t="inlineStr">
        <is>
          <t>1. On V1 open ⋮ › "Save to Files"
2. Press "Open" in the message
3. Click "Information" (ⓘ) and read "From"
4. Open "More options" (⋮) › "Open this version in AI Visualizer"</t>
        </is>
      </c>
      <c r="G300" s="14" t="inlineStr">
        <is>
          <t>"V1 saved to Files › Renders"; "Render - Living room - V1.jpg" reads From "AI Visualizer · Living room · V1"; its menu reopens V1.</t>
        </is>
      </c>
      <c r="H300" s="12" t="inlineStr">
        <is>
          <t>Different from 1.0: 1.0 promised this, never saved</t>
        </is>
      </c>
      <c r="I300" s="11" t="inlineStr">
        <is>
          <t>Dane</t>
        </is>
      </c>
      <c r="J300" s="15" t="n"/>
      <c r="K300" s="15" t="n"/>
      <c r="L300" s="15" t="n"/>
      <c r="M300" s="16" t="n"/>
      <c r="N300" s="17" t="n"/>
      <c r="O300" s="17" t="n"/>
      <c r="P300" s="15" t="n"/>
    </row>
    <row r="301">
      <c r="A301" s="11" t="n">
        <v>13</v>
      </c>
      <c r="B301" s="11" t="inlineStr">
        <is>
          <t>13.16</t>
        </is>
      </c>
      <c r="C301" s="12" t="inlineStr">
        <is>
          <t>Out to her lead</t>
        </is>
      </c>
      <c r="D301" s="12" t="inlineStr">
        <is>
          <t>AI Visualizer</t>
        </is>
      </c>
      <c r="E301" s="13" t="inlineStr">
        <is>
          <t>Turn a version’s finishes into quote lines</t>
        </is>
      </c>
      <c r="F301" s="14" t="inlineStr">
        <is>
          <t>1. On V1 open ⋮ › "Add to a quote…"
2. Read "THE LINES"; under "INTO" "A new quote" is already picked
3. Press "Add to quote", then "Open" in the message
4. Close the quote (✕) to come back</t>
        </is>
      </c>
      <c r="G301" s="14" t="inlineStr">
        <is>
          <t>Two lines, each "In at S$0 — yours to price" ("0 OF 2 PRICED"); "2 lines added"; the quote holds a section "Living room · V1 finishes".</t>
        </is>
      </c>
      <c r="H301" s="12" t="inlineStr">
        <is>
          <t>New in 2.0</t>
        </is>
      </c>
      <c r="I301" s="11" t="inlineStr">
        <is>
          <t>Dane</t>
        </is>
      </c>
      <c r="J301" s="15" t="n"/>
      <c r="K301" s="15" t="n"/>
      <c r="L301" s="15" t="n"/>
      <c r="M301" s="16" t="n"/>
      <c r="N301" s="17" t="n"/>
      <c r="O301" s="17" t="n"/>
      <c r="P301" s="15" t="n"/>
    </row>
    <row r="302">
      <c r="A302" s="11" t="n">
        <v>13</v>
      </c>
      <c r="B302" s="11" t="inlineStr">
        <is>
          <t>13.17</t>
        </is>
      </c>
      <c r="C302" s="12" t="inlineStr">
        <is>
          <t>Out to her lead</t>
        </is>
      </c>
      <c r="D302" s="12" t="inlineStr">
        <is>
          <t>AI Visualizer</t>
        </is>
      </c>
      <c r="E302" s="13" t="inlineStr">
        <is>
          <t>Share two versions with Sophia</t>
        </is>
      </c>
      <c r="F302" s="14" t="inlineStr">
        <is>
          <t>1. Press "Share with client" (top right)
2. Under "LIVING ROOM" V1 is already ticked — tick V2 too; write a line in "A note on the page (optional)"
3. Press "Create link", then "Copy link"
4. Press "Open WhatsApp" — a WhatsApp tab opens: close it, do not send</t>
        </is>
      </c>
      <c r="G302" s="14" t="inlineStr">
        <is>
          <t>Shared versions also go to Files › Renders; "Link copied"; the draft starts "Hi Sophia, here are 2 design ideas for your living room".</t>
        </is>
      </c>
      <c r="H302" s="12" t="inlineStr">
        <is>
          <t>Different from 1.0: pick up to six; WhatsApp, no chat</t>
        </is>
      </c>
      <c r="I302" s="11" t="inlineStr">
        <is>
          <t>Dane</t>
        </is>
      </c>
      <c r="J302" s="15" t="n"/>
      <c r="K302" s="15" t="n"/>
      <c r="L302" s="15" t="n"/>
      <c r="M302" s="16" t="n"/>
      <c r="N302" s="17" t="n"/>
      <c r="O302" s="17" t="n"/>
      <c r="P302" s="15" t="n"/>
    </row>
    <row r="303">
      <c r="A303" s="11" t="n">
        <v>13</v>
      </c>
      <c r="B303" s="11" t="inlineStr">
        <is>
          <t>13.18</t>
        </is>
      </c>
      <c r="C303" s="12" t="inlineStr">
        <is>
          <t>Sophia’s side</t>
        </is>
      </c>
      <c r="D303" s="12" t="inlineStr">
        <is>
          <t>AI Visualizer</t>
        </is>
      </c>
      <c r="E303" s="13" t="inlineStr">
        <is>
          <t>Open the link as Sophia and compare</t>
        </is>
      </c>
      <c r="F303" s="14" t="inlineStr">
        <is>
          <t>1. Open a private window and paste the link
2. Read the page
3. On "Design 1" press "Before and after" and drag the line</t>
        </is>
      </c>
      <c r="G303" s="14" t="inlineStr">
        <is>
          <t>The studio’s letterhead, "FOR SOPHIA", "2 design ideas for your living room", your note; each design lists what changed; the slider shows "Before" and "After".</t>
        </is>
      </c>
      <c r="H303" s="12" t="inlineStr">
        <is>
          <t>Different from 1.0: several designs on one branded page</t>
        </is>
      </c>
      <c r="I303" s="18" t="inlineStr">
        <is>
          <t>Sophia Wong (client)</t>
        </is>
      </c>
      <c r="J303" s="15" t="n"/>
      <c r="K303" s="15" t="n"/>
      <c r="L303" s="15" t="n"/>
      <c r="M303" s="16" t="n"/>
      <c r="N303" s="17" t="n"/>
      <c r="O303" s="17" t="n"/>
      <c r="P303" s="15" t="n"/>
    </row>
    <row r="304">
      <c r="A304" s="11" t="n">
        <v>13</v>
      </c>
      <c r="B304" s="11" t="inlineStr">
        <is>
          <t>13.19</t>
        </is>
      </c>
      <c r="C304" s="12" t="inlineStr">
        <is>
          <t>Sophia’s side</t>
        </is>
      </c>
      <c r="D304" s="12" t="inlineStr">
        <is>
          <t>AI Visualizer</t>
        </is>
      </c>
      <c r="E304" s="13" t="inlineStr">
        <is>
          <t>Pick a favourite, leave a note, pin a change</t>
        </is>
      </c>
      <c r="F304" s="14" t="inlineStr">
        <is>
          <t>1. On "Design 1" press "I like this one"
2. "Leave a note": write Could the floor be a shade lighter?, press "Send"
3. "Pin a note", click the sofa, write Keep this sofa?, press "Pin it"</t>
        </is>
      </c>
      <c r="G304" s="14" t="inlineStr">
        <is>
          <t>"Your favourite" and "Thanks — Dane will see it’s your favourite"; "Sent — Dane will see it"; "Pinned — Dane will see it".</t>
        </is>
      </c>
      <c r="H304" s="12" t="inlineStr">
        <is>
          <t>Different from 1.0: the client answers on the link</t>
        </is>
      </c>
      <c r="I304" s="18" t="inlineStr">
        <is>
          <t>Sophia Wong (client)</t>
        </is>
      </c>
      <c r="J304" s="15" t="n"/>
      <c r="K304" s="15" t="n"/>
      <c r="L304" s="15" t="n"/>
      <c r="M304" s="16" t="n"/>
      <c r="N304" s="17" t="n"/>
      <c r="O304" s="17" t="n"/>
      <c r="P304" s="15" t="n"/>
    </row>
    <row r="305">
      <c r="A305" s="11" t="n">
        <v>13</v>
      </c>
      <c r="B305" s="11" t="inlineStr">
        <is>
          <t>13.20</t>
        </is>
      </c>
      <c r="C305" s="12" t="inlineStr">
        <is>
          <t>Sophia’s side</t>
        </is>
      </c>
      <c r="D305" s="12" t="inlineStr">
        <is>
          <t>AI Visualizer</t>
        </is>
      </c>
      <c r="E305" s="13" t="inlineStr">
        <is>
          <t>Ask the studio to call you back</t>
        </is>
      </c>
      <c r="F305" s="14" t="inlineStr">
        <is>
          <t>1. Scroll to "Want to talk it through?"
2. Leave the number box empty; in "Anything to mention? (optional)" write Evenings are best
3. Press "Ask for a call back"</t>
        </is>
      </c>
      <c r="G305" s="14" t="inlineStr">
        <is>
          <t>It said "Dane will call you back on the number they have for you."; now it reads "Dane will call you back".</t>
        </is>
      </c>
      <c r="H305" s="12" t="inlineStr">
        <is>
          <t>Different from 1.0: the request becomes a task</t>
        </is>
      </c>
      <c r="I305" s="18" t="inlineStr">
        <is>
          <t>Sophia Wong (client)</t>
        </is>
      </c>
      <c r="J305" s="15" t="n"/>
      <c r="K305" s="15" t="n"/>
      <c r="L305" s="15" t="n"/>
      <c r="M305" s="16" t="n"/>
      <c r="N305" s="17" t="n"/>
      <c r="O305" s="17" t="n"/>
      <c r="P305" s="15" t="n"/>
    </row>
    <row r="306">
      <c r="A306" s="11" t="n">
        <v>13</v>
      </c>
      <c r="B306" s="11" t="inlineStr">
        <is>
          <t>13.21</t>
        </is>
      </c>
      <c r="C306" s="12" t="inlineStr">
        <is>
          <t>Back in the studio</t>
        </is>
      </c>
      <c r="D306" s="12" t="inlineStr">
        <is>
          <t>Notifications</t>
        </is>
      </c>
      <c r="E306" s="13" t="inlineStr">
        <is>
          <t>See Sophia’s answers reach Sarah, who owns her</t>
        </is>
      </c>
      <c r="F306" s="14" t="inlineStr">
        <is>
          <t>1. Leave the design with the back arrow; "Demo Studio" block › "View as" › "Sarah"
2. Click "Notifications" (the bell), then "Sophia Wong pinned a note on a render"
3. Press the back arrow and open the "Tasks" tab</t>
        </is>
      </c>
      <c r="G306" s="14" t="inlineStr">
        <is>
          <t>Four entries from Sophia; the design opens on V1 with her pin open; Tasks lists "Call Sophia Wong back about the renders" for Sarah and Dane.</t>
        </is>
      </c>
      <c r="H306" s="12" t="inlineStr">
        <is>
          <t>New in 2.0</t>
        </is>
      </c>
      <c r="I306" s="18" t="inlineStr">
        <is>
          <t>Sarah</t>
        </is>
      </c>
      <c r="J306" s="15" t="n"/>
      <c r="K306" s="15" t="n"/>
      <c r="L306" s="15" t="n"/>
      <c r="M306" s="16" t="n"/>
      <c r="N306" s="17" t="n"/>
      <c r="O306" s="17" t="n"/>
      <c r="P306" s="15" t="n"/>
    </row>
    <row r="307">
      <c r="A307" s="11" t="n">
        <v>13</v>
      </c>
      <c r="B307" s="11" t="inlineStr">
        <is>
          <t>13.22</t>
        </is>
      </c>
      <c r="C307" s="12" t="inlineStr">
        <is>
          <t>Back in the studio</t>
        </is>
      </c>
      <c r="D307" s="12" t="inlineStr">
        <is>
          <t>AI Visualizer</t>
        </is>
      </c>
      <c r="E307" s="13" t="inlineStr">
        <is>
          <t>Check who may rename or delete a design</t>
        </is>
      </c>
      <c r="F307" s="14" t="inlineStr">
        <is>
          <t>1. Side navigation "Tools" › "AI Visualizer", open the "Showroom ideas" folder
2. Open ⋮ on "Showroom — kitchen concept"
3. Close it; "Demo Studio" block › "View as" › "Dane"</t>
        </is>
      </c>
      <c r="G307" s="14" t="inlineStr">
        <is>
          <t>"Move to Folder", "Rename" and "Delete" are greyed: "Only Dane, an Owner or an Admin can move, rename or delete this".</t>
        </is>
      </c>
      <c r="H307" s="12" t="inlineStr">
        <is>
          <t>Different from 1.0: the maker’s rule, not an admin-only page</t>
        </is>
      </c>
      <c r="I307" s="18" t="inlineStr">
        <is>
          <t>Sarah</t>
        </is>
      </c>
      <c r="J307" s="15" t="n"/>
      <c r="K307" s="15" t="n"/>
      <c r="L307" s="15" t="n"/>
      <c r="M307" s="16" t="n"/>
      <c r="N307" s="17" t="n"/>
      <c r="O307" s="17" t="n"/>
      <c r="P307" s="15" t="n"/>
    </row>
    <row r="308">
      <c r="A308" s="11" t="n">
        <v>13</v>
      </c>
      <c r="B308" s="11" t="inlineStr">
        <is>
          <t>13.23</t>
        </is>
      </c>
      <c r="C308" s="12" t="inlineStr">
        <is>
          <t>Back in the studio</t>
        </is>
      </c>
      <c r="D308" s="12" t="inlineStr">
        <is>
          <t>Lead details</t>
        </is>
      </c>
      <c r="E308" s="13" t="inlineStr">
        <is>
          <t>Read the design’s trail on Sophia’s lead</t>
        </is>
      </c>
      <c r="F308" s="14" t="inlineStr">
        <is>
          <t>1. Open Sophia Wong › "Activity"
2. Read today’s AI Visualizer lines
3. On "Overview" press the quick link "AI Visualizer", then the back arrow</t>
        </is>
      </c>
      <c r="G308" s="14" t="inlineStr">
        <is>
          <t>Lines "You rendered V1 of “Living room” — Walls, Floor." and "Sophia Wong asked for a call back about the renders."; the link opens it.</t>
        </is>
      </c>
      <c r="H308" s="12" t="inlineStr">
        <is>
          <t>New in 2.0</t>
        </is>
      </c>
      <c r="I308" s="11" t="inlineStr">
        <is>
          <t>Dane</t>
        </is>
      </c>
      <c r="J308" s="15" t="n"/>
      <c r="K308" s="15" t="n"/>
      <c r="L308" s="15" t="n"/>
      <c r="M308" s="16" t="n"/>
      <c r="N308" s="17" t="n"/>
      <c r="O308" s="17" t="n"/>
      <c r="P308" s="15" t="n"/>
    </row>
    <row r="309">
      <c r="A309" s="11" t="n">
        <v>13</v>
      </c>
      <c r="B309" s="11" t="inlineStr">
        <is>
          <t>13.24</t>
        </is>
      </c>
      <c r="C309" s="12" t="inlineStr">
        <is>
          <t>Back in the studio</t>
        </is>
      </c>
      <c r="D309" s="12" t="inlineStr">
        <is>
          <t>AI Visualizer</t>
        </is>
      </c>
      <c r="E309" s="13" t="inlineStr">
        <is>
          <t>Stop sharing the link, then renew it</t>
        </is>
      </c>
      <c r="F309" s="14" t="inlineStr">
        <is>
          <t>1. Open her design again (the "AI Visualizer" quick link), press "Share with client" and read "SHARED BEFORE"
2. On the link’s row press the broken-link icon ("Stop sharing"), then "Stop sharing" in the question
3. Reload the private window
4. Close it (✕), press "Share with client" again, then "Renew" on the row; reload the private window again</t>
        </is>
      </c>
      <c r="G309" s="14" t="inlineStr">
        <is>
          <t>The row lists the opening, favourite, note and call back; then it reads "Stopped" and Sophia sees "This link is no longer active"; after "Renew" her page is back.</t>
        </is>
      </c>
      <c r="H309" s="12" t="inlineStr">
        <is>
          <t>Different from 1.0: links can be stopped and renewed</t>
        </is>
      </c>
      <c r="I309" s="11" t="inlineStr">
        <is>
          <t>Dane</t>
        </is>
      </c>
      <c r="J309" s="15" t="n"/>
      <c r="K309" s="15" t="n"/>
      <c r="L309" s="15" t="n"/>
      <c r="M309" s="16" t="n"/>
      <c r="N309" s="17" t="n"/>
      <c r="O309" s="17" t="n"/>
      <c r="P309" s="15" t="n"/>
    </row>
    <row r="310">
      <c r="A310" s="11" t="n">
        <v>13</v>
      </c>
      <c r="B310" s="11" t="inlineStr">
        <is>
          <t>13.25</t>
        </is>
      </c>
      <c r="C310" s="12" t="inlineStr">
        <is>
          <t>The studio’s library</t>
        </is>
      </c>
      <c r="D310" s="12" t="inlineStr">
        <is>
          <t>AI Visualizer</t>
        </is>
      </c>
      <c r="E310" s="13" t="inlineStr">
        <is>
          <t>Find your way round the AI Visualizer page</t>
        </is>
      </c>
      <c r="F310" s="14" t="inlineStr">
        <is>
          <t>1. Side navigation "Tools" › "AI Visualizer"; read the intro and the cards
2. Open "New" and read its three ways in; press Esc
3. Click "Kind: All" › "Personal", then back to "All"
4. Type kitchen in the search box</t>
        </is>
      </c>
      <c r="G310" s="14" t="inlineStr">
        <is>
          <t>Sophia Wong reads "Lead · Won · 2 rooms · …"; cards say when last "edited"; searching leaves Kevin Ng and "Showroom — kitchen concept".</t>
        </is>
      </c>
      <c r="H310" s="12" t="inlineStr">
        <is>
          <t>Different from 1.0: a Kind pill instead of view chips</t>
        </is>
      </c>
      <c r="I310" s="11" t="inlineStr">
        <is>
          <t>Dane</t>
        </is>
      </c>
      <c r="J310" s="15" t="n"/>
      <c r="K310" s="15" t="n"/>
      <c r="L310" s="15" t="n"/>
      <c r="M310" s="16" t="n"/>
      <c r="N310" s="17" t="n"/>
      <c r="O310" s="17" t="n"/>
      <c r="P310" s="15" t="n"/>
    </row>
    <row r="311">
      <c r="A311" s="11" t="n">
        <v>13</v>
      </c>
      <c r="B311" s="11" t="inlineStr">
        <is>
          <t>13.26</t>
        </is>
      </c>
      <c r="C311" s="12" t="inlineStr">
        <is>
          <t>The studio’s library</t>
        </is>
      </c>
      <c r="D311" s="12" t="inlineStr">
        <is>
          <t>AI Visualizer</t>
        </is>
      </c>
      <c r="E311" s="13" t="inlineStr">
        <is>
          <t>Start a design in a folder and render a sketch</t>
        </is>
      </c>
      <c r="F311" s="14" t="inlineStr">
        <is>
          <t>1. Clear the search, open the "Showroom ideas" folder, "New" › "Blank design"
2. Under "Add the first room" › "SAMPLE ROOMS" click "Kitchen sketch"
3. Press "Render from sketch" and wait
4. Press the back arrow</t>
        </is>
      </c>
      <c r="G311" s="14" t="inlineStr">
        <is>
          <t>An empty design opens with the chip "PERSONAL"; "This photo reads as a sketch. …"; "V1 · From sketch" is a kitchen photo; the folder holds your design.</t>
        </is>
      </c>
      <c r="H311" s="12" t="inlineStr">
        <is>
          <t>Different from 1.0: sketch to photo at every width</t>
        </is>
      </c>
      <c r="I311" s="11" t="inlineStr">
        <is>
          <t>Dane</t>
        </is>
      </c>
      <c r="J311" s="15" t="n"/>
      <c r="K311" s="15" t="n"/>
      <c r="L311" s="15" t="n"/>
      <c r="M311" s="16" t="n"/>
      <c r="N311" s="17" t="n"/>
      <c r="O311" s="17" t="n"/>
      <c r="P311" s="15" t="n"/>
    </row>
    <row r="312">
      <c r="A312" s="11" t="n">
        <v>13</v>
      </c>
      <c r="B312" s="11" t="inlineStr">
        <is>
          <t>13.27</t>
        </is>
      </c>
      <c r="C312" s="12" t="inlineStr">
        <is>
          <t>The studio’s library</t>
        </is>
      </c>
      <c r="D312" s="12" t="inlineStr">
        <is>
          <t>AI Visualizer</t>
        </is>
      </c>
      <c r="E312" s="13" t="inlineStr">
        <is>
          <t>Duplicate a design, delete the copy, find it again</t>
        </is>
      </c>
      <c r="F312" s="14" t="inlineStr">
        <is>
          <t>1. On your new design’s card open ⋮ › "Duplicate"
2. On the copy open ⋮ › "Delete", press "Delete", then "Undo"
3. Tick the copy’s box, press "Delete" in the bar and confirm
4. Open "More options" (⋮, top right) › "Deleted Designs"</t>
        </is>
      </c>
      <c r="G312" s="14" t="inlineStr">
        <is>
          <t>"Duplicated as a personal copy"; Undo brings the copy back ("… restored"); the bar offers "Move to Folder"; Deleted Designs lists the copy.</t>
        </is>
      </c>
      <c r="H312" s="12" t="inlineStr">
        <is>
          <t>Different from 1.0: delete has Undo and a Deleted list</t>
        </is>
      </c>
      <c r="I312" s="11" t="inlineStr">
        <is>
          <t>Dane</t>
        </is>
      </c>
      <c r="J312" s="15" t="n"/>
      <c r="K312" s="15" t="n"/>
      <c r="L312" s="15" t="n"/>
      <c r="M312" s="16" t="n"/>
      <c r="N312" s="17" t="n"/>
      <c r="O312" s="17" t="n"/>
      <c r="P312" s="15" t="n"/>
    </row>
    <row r="313">
      <c r="A313" s="11" t="n">
        <v>13</v>
      </c>
      <c r="B313" s="11" t="inlineStr">
        <is>
          <t>13.28</t>
        </is>
      </c>
      <c r="C313" s="12" t="inlineStr">
        <is>
          <t>The studio’s library</t>
        </is>
      </c>
      <c r="D313" s="12" t="inlineStr">
        <is>
          <t>Company</t>
        </is>
      </c>
      <c r="E313" s="13" t="inlineStr">
        <is>
          <t>Add the fluted panel to the studio’s materials</t>
        </is>
      </c>
      <c r="F313" s="14" t="inlineStr">
        <is>
          <t>1. Side navigation "Company" › "Materials", then "New" › "New material"
2. Press "Upload a photo", pick fluted-panel.jpg
3. "Name" (replace what is there) Fluted feature wall panel · "Category" Laminates · "Finish" Textured · "Price book item" Fluted feature wall panel
4. Press "Add material"</t>
        </is>
      </c>
      <c r="G313" s="14" t="inlineStr">
        <is>
          <t>"Material added"; its card shows the photo, "Laminates · Textured" and "Quoted as Fluted feature wall panel".</t>
        </is>
      </c>
      <c r="H313" s="12" t="inlineStr">
        <is>
          <t>Different from 1.0: a Company page, linked to the Price book</t>
        </is>
      </c>
      <c r="I313" s="11" t="inlineStr">
        <is>
          <t>Dane</t>
        </is>
      </c>
      <c r="J313" s="15" t="n"/>
      <c r="K313" s="15" t="n"/>
      <c r="L313" s="15" t="n"/>
      <c r="M313" s="16" t="n"/>
      <c r="N313" s="17" t="n"/>
      <c r="O313" s="17" t="n"/>
      <c r="P313" s="15" t="n"/>
    </row>
    <row r="314">
      <c r="A314" s="11" t="n">
        <v>13</v>
      </c>
      <c r="B314" s="11" t="inlineStr">
        <is>
          <t>13.29</t>
        </is>
      </c>
      <c r="C314" s="12" t="inlineStr">
        <is>
          <t>The studio’s library</t>
        </is>
      </c>
      <c r="D314" s="12" t="inlineStr">
        <is>
          <t>AI Visualizer</t>
        </is>
      </c>
      <c r="E314" s="13" t="inlineStr">
        <is>
          <t>Try a sample swatch in this design only</t>
        </is>
      </c>
      <c r="F314" s="14" t="inlineStr">
        <is>
          <t>1. "Tools" › "AI Visualizer" › "Sophia Wong"; click the "Living room" chip, then "Walls"
2. Press "Upload a swatch" and pick fluted-panel.jpg
3. In "Add a material" turn off "Save to the studio’s materials", press "Use in this design"</t>
        </is>
      </c>
      <c r="G314" s="14" t="inlineStr">
        <is>
          <t>The dialog shows the photo and "Renders as #…"; the change reads "Walls → fluted panel"; "YOUR STUDIO" lists it for this design.</t>
        </is>
      </c>
      <c r="H314" s="12" t="inlineStr">
        <is>
          <t>Same as 1.0</t>
        </is>
      </c>
      <c r="I314" s="11" t="inlineStr">
        <is>
          <t>Dane</t>
        </is>
      </c>
      <c r="J314" s="15" t="n"/>
      <c r="K314" s="15" t="n"/>
      <c r="L314" s="15" t="n"/>
      <c r="M314" s="16" t="n"/>
      <c r="N314" s="17" t="n"/>
      <c r="O314" s="17" t="n"/>
      <c r="P314" s="15" t="n"/>
    </row>
    <row r="315">
      <c r="A315" s="11" t="n">
        <v>13</v>
      </c>
      <c r="B315" s="11" t="inlineStr">
        <is>
          <t>13.30</t>
        </is>
      </c>
      <c r="C315" s="12" t="inlineStr">
        <is>
          <t>The studio’s library</t>
        </is>
      </c>
      <c r="D315" s="12" t="inlineStr">
        <is>
          <t>AI Visualizer</t>
        </is>
      </c>
      <c r="E315" s="13" t="inlineStr">
        <is>
          <t>Use the studio’s material and see it priced</t>
        </is>
      </c>
      <c r="F315" s="14" t="inlineStr">
        <is>
          <t>1. In the same picker search Fluted; click "Fluted feature wall panel" under "YOUR STUDIO"
2. Press "Generate"
3. On the new version open ⋮ › "Add to a quote…", read the lines, press "Cancel"</t>
        </is>
      </c>
      <c r="G315" s="14" t="inlineStr">
        <is>
          <t>The change reads "Walls → Fluted feature wall panel"; in the quote dialog that line says "Priced from the Price book" ("1 OF 2 PRICED").</t>
        </is>
      </c>
      <c r="H315" s="12" t="inlineStr">
        <is>
          <t>New in 2.0</t>
        </is>
      </c>
      <c r="I315" s="11" t="inlineStr">
        <is>
          <t>Dane</t>
        </is>
      </c>
      <c r="J315" s="15" t="n"/>
      <c r="K315" s="15" t="n"/>
      <c r="L315" s="15" t="n"/>
      <c r="M315" s="16" t="n"/>
      <c r="N315" s="17" t="n"/>
      <c r="O315" s="17" t="n"/>
      <c r="P315" s="15" t="n"/>
    </row>
    <row r="316">
      <c r="A316" s="11" t="n">
        <v>13</v>
      </c>
      <c r="B316" s="11" t="inlineStr">
        <is>
          <t>13.31</t>
        </is>
      </c>
      <c r="C316" s="12" t="inlineStr">
        <is>
          <t>The studio’s library</t>
        </is>
      </c>
      <c r="D316" s="12" t="inlineStr">
        <is>
          <t>AI Visualizer</t>
        </is>
      </c>
      <c r="E316" s="13" t="inlineStr">
        <is>
          <t>See what Kevin Ng’s client already said</t>
        </is>
      </c>
      <c r="F316" s="14" t="inlineStr">
        <is>
          <t>1. Back on the AI Visualizer page open "Kevin Ng", click the "Living room" chip
2. Click the version tile with the star, then the blue pin on the photo
3. Open "Style"; then "Surfaces" › "Walls"</t>
        </is>
      </c>
      <c r="G316" s="14" t="inlineStr">
        <is>
          <t>A starred favourite; his pin "Is the velvet easy to keep clean? We have a dog." has Dane’s reply; "Kevin’s style: Contemporary — Modern is the nearest …"; "SUGGESTED · MODERN".</t>
        </is>
      </c>
      <c r="H316" s="12" t="inlineStr">
        <is>
          <t>New in 2.0</t>
        </is>
      </c>
      <c r="I316" s="11" t="inlineStr">
        <is>
          <t>Dane</t>
        </is>
      </c>
      <c r="J316" s="15" t="n"/>
      <c r="K316" s="15" t="n"/>
      <c r="L316" s="15" t="n"/>
      <c r="M316" s="16" t="n"/>
      <c r="N316" s="17" t="n"/>
      <c r="O316" s="17" t="n"/>
      <c r="P316" s="15" t="n"/>
    </row>
    <row r="317">
      <c r="A317" s="11" t="n">
        <v>13</v>
      </c>
      <c r="B317" s="11" t="inlineStr">
        <is>
          <t>13.32</t>
        </is>
      </c>
      <c r="C317" s="12" t="inlineStr">
        <is>
          <t>On a phone</t>
        </is>
      </c>
      <c r="D317" s="12" t="inlineStr">
        <is>
          <t>Phone</t>
        </is>
      </c>
      <c r="E317" s="13" t="inlineStr">
        <is>
          <t>Change a finish on the phone</t>
        </is>
      </c>
      <c r="F317" s="14" t="inlineStr">
        <is>
          <t>1. On the phone (the "Network" address, as in chapter 12): bottom bar "Tools" › "AI Visualizer" › "Sophia Wong"
2. Tap "Surfaces" in the dock, tap "Walls", tap any paint (e.g. "Warm Greige")
3. Tap "Generate" above the dock
4. Tap "Tools" in the dock and look</t>
        </is>
      </c>
      <c r="G317" s="14" t="inlineStr">
        <is>
          <t>Room chips, photo, "VERSIONS", a five-mode dock; the panel rises; the bar counts "1 change"; a version lands; "Furnish the room" is greyed, saying why.</t>
        </is>
      </c>
      <c r="H317" s="12" t="inlineStr">
        <is>
          <t>Different from 1.0: every tool on a phone, furnish too</t>
        </is>
      </c>
      <c r="I317" s="11" t="inlineStr">
        <is>
          <t>Dane</t>
        </is>
      </c>
      <c r="J317" s="15" t="n"/>
      <c r="K317" s="15" t="n"/>
      <c r="L317" s="15" t="n"/>
      <c r="M317" s="16" t="n"/>
      <c r="N317" s="17" t="n"/>
      <c r="O317" s="17" t="n"/>
      <c r="P317" s="15" t="n"/>
    </row>
    <row r="318">
      <c r="A318" s="11" t="n">
        <v>13</v>
      </c>
      <c r="B318" s="11" t="inlineStr">
        <is>
          <t>13.33</t>
        </is>
      </c>
      <c r="C318" s="12" t="inlineStr">
        <is>
          <t>On a phone</t>
        </is>
      </c>
      <c r="D318" s="12" t="inlineStr">
        <is>
          <t>Phone</t>
        </is>
      </c>
      <c r="E318" s="13" t="inlineStr">
        <is>
          <t>Open Sophia’s link on the phone and compare</t>
        </is>
      </c>
      <c r="F318" s="14" t="inlineStr">
        <is>
          <t>1. In the design tap "Share with client" (the send icon)
2. Under "SHARED BEFORE" tap "Open the link" (↗)
3. On "Design 1" tap "Before and after" and drag the line with a finger</t>
        </is>
      </c>
      <c r="G318" s="14" t="inlineStr">
        <is>
          <t>Sophia’s page fits the phone; the line follows your finger; "Your favourite" still marks Design 1.</t>
        </is>
      </c>
      <c r="H318" s="12" t="inlineStr">
        <is>
          <t>Same as 1.0</t>
        </is>
      </c>
      <c r="I318" s="18" t="inlineStr">
        <is>
          <t>Sophia Wong (client)</t>
        </is>
      </c>
      <c r="J318" s="15" t="n"/>
      <c r="K318" s="15" t="n"/>
      <c r="L318" s="15" t="n"/>
      <c r="M318" s="16" t="n"/>
      <c r="N318" s="17" t="n"/>
      <c r="O318" s="17" t="n"/>
      <c r="P318" s="15" t="n"/>
    </row>
  </sheetData>
  <mergeCells count="14">
    <mergeCell ref="A183:P183"/>
    <mergeCell ref="A115:P115"/>
    <mergeCell ref="A14:P14"/>
    <mergeCell ref="A197:P197"/>
    <mergeCell ref="A91:P91"/>
    <mergeCell ref="A4:P4"/>
    <mergeCell ref="A224:P224"/>
    <mergeCell ref="A139:P139"/>
    <mergeCell ref="A240:P240"/>
    <mergeCell ref="A271:P271"/>
    <mergeCell ref="A285:P285"/>
    <mergeCell ref="A52:P52"/>
    <mergeCell ref="A257:P257"/>
    <mergeCell ref="A2:P2"/>
  </mergeCells>
  <conditionalFormatting sqref="J4:J318">
    <cfRule type="expression" priority="1" dxfId="0">
      <formula>$J4="✅ Works"</formula>
    </cfRule>
    <cfRule type="expression" priority="2" dxfId="1">
      <formula>$J4="🟡 Works, but…"</formula>
    </cfRule>
    <cfRule type="expression" priority="3" dxfId="2">
      <formula>$J4="❌ Doesn’t work"</formula>
    </cfRule>
    <cfRule type="expression" priority="4" dxfId="3">
      <formula>$J4="🔍 Couldn’t find it"</formula>
    </cfRule>
    <cfRule type="expression" priority="5" dxfId="4">
      <formula>$J4="⏭️ Skipped"</formula>
    </cfRule>
  </conditionalFormatting>
  <conditionalFormatting sqref="O4:O318">
    <cfRule type="expression" priority="6" dxfId="5">
      <formula>$O4="Fixed – please re-test"</formula>
    </cfRule>
  </conditionalFormatting>
  <dataValidations count="4">
    <dataValidation sqref="J4:J318" showDropDown="0" showInputMessage="0" showErrorMessage="1" allowBlank="1" errorTitle="Pick from the list" error="Pick one of the answers in the list." type="list">
      <formula1>='UAT · Lists'!$A$2:$A$6</formula1>
    </dataValidation>
    <dataValidation sqref="O4:O318" showDropDown="0" showInputMessage="0" showErrorMessage="1" allowBlank="1" errorTitle="Pick from the list" error="Pick one of the answers in the list." type="list">
      <formula1>='UAT · Lists'!$B$2:$B$6</formula1>
    </dataValidation>
    <dataValidation sqref="P4:P318" showDropDown="0" showInputMessage="0" showErrorMessage="1" allowBlank="1" errorTitle="Pick from the list" error="Pick one of the answers in the list." type="list">
      <formula1>='UAT · Lists'!$C$2:$C$3</formula1>
    </dataValidation>
    <dataValidation sqref="M4:M318" showDropDown="0" showInputMessage="0" showErrorMessage="0" allowBlank="1" type="date"/>
  </dataValidations>
  <pageMargins left="0.75" right="0.75" top="1" bottom="1" header="0.5" footer="0.5"/>
</worksheet>
</file>

<file path=xl/worksheets/sheet3.xml><?xml version="1.0" encoding="utf-8"?>
<worksheet xmlns="http://schemas.openxmlformats.org/spreadsheetml/2006/main">
  <sheetPr>
    <tabColor rgb="005500FF"/>
    <outlinePr summaryBelow="1" summaryRight="1"/>
    <pageSetUpPr/>
  </sheetPr>
  <dimension ref="A1:P318"/>
  <sheetViews>
    <sheetView zoomScale="100" workbookViewId="0">
      <pane xSplit="5" ySplit="3" topLeftCell="F4"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8" customWidth="1" min="3" max="3"/>
    <col width="12" customWidth="1" min="4" max="4"/>
    <col width="30" customWidth="1" min="5" max="5"/>
    <col width="46" customWidth="1" min="6" max="6"/>
    <col width="40" customWidth="1" min="7" max="7"/>
    <col width="22" customWidth="1" min="8" max="8"/>
    <col width="11" customWidth="1" min="9" max="9"/>
    <col width="18" customWidth="1" min="10" max="10"/>
    <col width="40" customWidth="1" min="11" max="11"/>
    <col width="18" customWidth="1" min="12" max="12"/>
    <col width="12" customWidth="1" min="13" max="13"/>
    <col width="30" customWidth="1" min="14" max="14"/>
    <col width="18" customWidth="1" min="15" max="15"/>
    <col width="15" customWidth="1" min="16" max="16"/>
  </cols>
  <sheetData>
    <row r="1">
      <c r="A1" s="6" t="inlineStr">
        <is>
          <t>Oliva — the whole story, chapter by chapter</t>
        </is>
      </c>
    </row>
    <row r="2" ht="30" customHeight="1">
      <c r="A2" s="2" t="inlineStr">
        <is>
          <t>Go in order. Read “Try this”, follow “How”, compare with “You should see”, then pick a Result. Write in “What happened” only when it is not ✅. White columns are yours; grey columns are Vicky’s and Dane’s. See “UAT · Start here” first.</t>
        </is>
      </c>
    </row>
    <row r="3" ht="30" customHeight="1">
      <c r="A3" s="7" t="inlineStr">
        <is>
          <t>Ch</t>
        </is>
      </c>
      <c r="B3" s="7" t="inlineStr">
        <is>
          <t>Step</t>
        </is>
      </c>
      <c r="C3" s="7" t="inlineStr">
        <is>
          <t>Scene</t>
        </is>
      </c>
      <c r="D3" s="7" t="inlineStr">
        <is>
          <t>Module</t>
        </is>
      </c>
      <c r="E3" s="7" t="inlineStr">
        <is>
          <t>Try this</t>
        </is>
      </c>
      <c r="F3" s="7" t="inlineStr">
        <is>
          <t>How</t>
        </is>
      </c>
      <c r="G3" s="7" t="inlineStr">
        <is>
          <t>You should see</t>
        </is>
      </c>
      <c r="H3" s="7" t="inlineStr">
        <is>
          <t>In 1.0</t>
        </is>
      </c>
      <c r="I3" s="7" t="inlineStr">
        <is>
          <t>You are</t>
        </is>
      </c>
      <c r="J3" s="8" t="inlineStr">
        <is>
          <t>Result</t>
        </is>
      </c>
      <c r="K3" s="8" t="inlineStr">
        <is>
          <t>What happened (only if not ✅)</t>
        </is>
      </c>
      <c r="L3" s="8" t="inlineStr">
        <is>
          <t>Screenshot link</t>
        </is>
      </c>
      <c r="M3" s="8" t="inlineStr">
        <is>
          <t>Date tested</t>
        </is>
      </c>
      <c r="N3" s="7" t="inlineStr">
        <is>
          <t>Our reply</t>
        </is>
      </c>
      <c r="O3" s="7" t="inlineStr">
        <is>
          <t>Status</t>
        </is>
      </c>
      <c r="P3" s="8" t="inlineStr">
        <is>
          <t>Re-tested</t>
        </is>
      </c>
    </row>
    <row r="4" ht="22" customHeight="1">
      <c r="A4" s="9" t="inlineStr">
        <is>
          <t>Chapter 1 · First login — Look around your new workspace.</t>
        </is>
      </c>
      <c r="M4" s="10" t="n"/>
    </row>
    <row r="5">
      <c r="A5" s="11" t="n">
        <v>1</v>
      </c>
      <c r="B5" s="11" t="inlineStr">
        <is>
          <t>1.01</t>
        </is>
      </c>
      <c r="C5" s="12" t="inlineStr">
        <is>
          <t>Start fresh and look around</t>
        </is>
      </c>
      <c r="D5" s="12" t="inlineStr">
        <is>
          <t>Shell</t>
        </is>
      </c>
      <c r="E5" s="13" t="inlineStr">
        <is>
          <t>Start from the studio's day-one data</t>
        </is>
      </c>
      <c r="F5" s="14" t="inlineStr">
        <is>
          <t>1. Open http://localhost:3000
2. Click the ✦ "Maison AI" button, bottom right
3. Click "Reset prototype to base"
4. Click "Reset"</t>
        </is>
      </c>
      <c r="G5" s="14" t="inlineStr">
        <is>
          <t>A "Reset the prototype?" box warns that anything tried is lost; after "Reset" the Leads page reloads.</t>
        </is>
      </c>
      <c r="H5" s="12" t="inlineStr">
        <is>
          <t>New in 2.0</t>
        </is>
      </c>
      <c r="I5" s="11" t="inlineStr">
        <is>
          <t>Dane</t>
        </is>
      </c>
      <c r="J5" s="15" t="n"/>
      <c r="K5" s="15" t="n"/>
      <c r="L5" s="15" t="n"/>
      <c r="M5" s="16" t="n"/>
      <c r="N5" s="17" t="n"/>
      <c r="O5" s="17" t="n"/>
      <c r="P5" s="15" t="n"/>
    </row>
    <row r="6">
      <c r="A6" s="11" t="n">
        <v>1</v>
      </c>
      <c r="B6" s="11" t="inlineStr">
        <is>
          <t>1.02</t>
        </is>
      </c>
      <c r="C6" s="12" t="inlineStr">
        <is>
          <t>Start fresh and look around</t>
        </is>
      </c>
      <c r="D6" s="12" t="inlineStr">
        <is>
          <t>Shell</t>
        </is>
      </c>
      <c r="E6" s="13" t="inlineStr">
        <is>
          <t>Find your way around the side navigation</t>
        </is>
      </c>
      <c r="F6" s="14" t="inlineStr">
        <is>
          <t>1. Point at the logo, top left, and click "Expand navigation"
2. Read the items from top to bottom
3. Click "Collapse navigation"</t>
        </is>
      </c>
      <c r="G6" s="14" t="inlineStr">
        <is>
          <t>Search ("/"), Dashboard, Tasks, Projects, Leads, Marketplace, Company, Qanvast Ops; then Upgrade, Tools, Chat, Notifications, Settings; Demo Studio at the bottom.</t>
        </is>
      </c>
      <c r="H6" s="12" t="inlineStr">
        <is>
          <t>Different from 1.0: Settings in the side navigation, not the profile menu</t>
        </is>
      </c>
      <c r="I6" s="11" t="inlineStr">
        <is>
          <t>Dane</t>
        </is>
      </c>
      <c r="J6" s="15" t="n"/>
      <c r="K6" s="15" t="n"/>
      <c r="L6" s="15" t="n"/>
      <c r="M6" s="16" t="n"/>
      <c r="N6" s="17" t="n"/>
      <c r="O6" s="17" t="n"/>
      <c r="P6" s="15" t="n"/>
    </row>
    <row r="7">
      <c r="A7" s="11" t="n">
        <v>1</v>
      </c>
      <c r="B7" s="11" t="inlineStr">
        <is>
          <t>1.03</t>
        </is>
      </c>
      <c r="C7" s="12" t="inlineStr">
        <is>
          <t>Your leads at a glance</t>
        </is>
      </c>
      <c r="D7" s="12" t="inlineStr">
        <is>
          <t>Leads</t>
        </is>
      </c>
      <c r="E7" s="13" t="inlineStr">
        <is>
          <t>See the studio's leads at a glance</t>
        </is>
      </c>
      <c r="F7" s="14" t="inlineStr">
        <is>
          <t>1. Click "Leads" in the side navigation
2. Look at the chip above the table, the rows and the bottom of the screen</t>
        </is>
      </c>
      <c r="G7" s="14" t="inlineStr">
        <is>
          <t>The chip reads "All Leads (27)"; unopened new leads (Marcus Chen, Nur Aisyah) have a coloured left edge; a "Review imported leads" bar waits below.</t>
        </is>
      </c>
      <c r="H7" s="12" t="inlineStr">
        <is>
          <t>Different from 1.0: unopened new leads are marked</t>
        </is>
      </c>
      <c r="I7" s="11" t="inlineStr">
        <is>
          <t>Dane</t>
        </is>
      </c>
      <c r="J7" s="15" t="n"/>
      <c r="K7" s="15" t="n"/>
      <c r="L7" s="15" t="n"/>
      <c r="M7" s="16" t="n"/>
      <c r="N7" s="17" t="n"/>
      <c r="O7" s="17" t="n"/>
      <c r="P7" s="15" t="n"/>
    </row>
    <row r="8">
      <c r="A8" s="11" t="n">
        <v>1</v>
      </c>
      <c r="B8" s="11" t="inlineStr">
        <is>
          <t>1.04</t>
        </is>
      </c>
      <c r="C8" s="12" t="inlineStr">
        <is>
          <t>Your leads at a glance</t>
        </is>
      </c>
      <c r="D8" s="12" t="inlineStr">
        <is>
          <t>Leads</t>
        </is>
      </c>
      <c r="E8" s="13" t="inlineStr">
        <is>
          <t>Find a lead fast with the / key</t>
        </is>
      </c>
      <c r="F8" s="14" t="inlineStr">
        <is>
          <t>1. On Leads, press the / key
2. Type Kenji
3. Clear the search box</t>
        </is>
      </c>
      <c r="G8" s="14" t="inlineStr">
        <is>
          <t>The search box takes the cursor; only Kenji Sato stays in the list; clearing the box brings everyone back.</t>
        </is>
      </c>
      <c r="H8" s="12" t="inlineStr">
        <is>
          <t>Same as 1.0</t>
        </is>
      </c>
      <c r="I8" s="11" t="inlineStr">
        <is>
          <t>Dane</t>
        </is>
      </c>
      <c r="J8" s="15" t="n"/>
      <c r="K8" s="15" t="n"/>
      <c r="L8" s="15" t="n"/>
      <c r="M8" s="16" t="n"/>
      <c r="N8" s="17" t="n"/>
      <c r="O8" s="17" t="n"/>
      <c r="P8" s="15" t="n"/>
    </row>
    <row r="9">
      <c r="A9" s="11" t="n">
        <v>1</v>
      </c>
      <c r="B9" s="11" t="inlineStr">
        <is>
          <t>1.05</t>
        </is>
      </c>
      <c r="C9" s="12" t="inlineStr">
        <is>
          <t>Your leads at a glance</t>
        </is>
      </c>
      <c r="D9" s="12" t="inlineStr">
        <is>
          <t>Leads</t>
        </is>
      </c>
      <c r="E9" s="13" t="inlineStr">
        <is>
          <t>Try editing the lead stages</t>
        </is>
      </c>
      <c r="F9" s="14" t="inlineStr">
        <is>
          <t>1. Click the "All Leads (27)" chip
2. Read the stage list
3. Click "Manage Stages"</t>
        </is>
      </c>
      <c r="G9" s="14" t="inlineStr">
        <is>
          <t>Each stage is listed with its count under Active and Inactive; "Manage Stages" answers "Coming soon in OpenMaison 2.0".</t>
        </is>
      </c>
      <c r="H9" s="12" t="inlineStr">
        <is>
          <t>Different from 1.0: stages are fixed; 1.0 edited its funnel</t>
        </is>
      </c>
      <c r="I9" s="11" t="inlineStr">
        <is>
          <t>Dane</t>
        </is>
      </c>
      <c r="J9" s="15" t="n"/>
      <c r="K9" s="15" t="n"/>
      <c r="L9" s="15" t="n"/>
      <c r="M9" s="16" t="n"/>
      <c r="N9" s="17" t="n"/>
      <c r="O9" s="17" t="n"/>
      <c r="P9" s="15" t="n"/>
    </row>
    <row r="10">
      <c r="A10" s="11" t="n">
        <v>1</v>
      </c>
      <c r="B10" s="11" t="inlineStr">
        <is>
          <t>1.06</t>
        </is>
      </c>
      <c r="C10" s="12" t="inlineStr">
        <is>
          <t>Where everything else lives</t>
        </is>
      </c>
      <c r="D10" s="12" t="inlineStr">
        <is>
          <t>Shell</t>
        </is>
      </c>
      <c r="E10" s="13" t="inlineStr">
        <is>
          <t>See the tools the studio can use</t>
        </is>
      </c>
      <c r="F10" s="14" t="inlineStr">
        <is>
          <t>1. Click "Tools" in the side navigation
2. Read the tiles
3. Click "AI Visualizer"</t>
        </is>
      </c>
      <c r="G10" s="14" t="inlineStr">
        <is>
          <t>Nine tiles, starting with Quotes, Quote X-Ray and Contracts; "AI Visualizer" opens the AI Visualizer — Kevin Ng's design and the "Showroom ideas" folder (REG-673).</t>
        </is>
      </c>
      <c r="H10" s="12" t="inlineStr">
        <is>
          <t>Same as 1.0</t>
        </is>
      </c>
      <c r="I10" s="11" t="inlineStr">
        <is>
          <t>Dane</t>
        </is>
      </c>
      <c r="J10" s="15" t="n"/>
      <c r="K10" s="15" t="n"/>
      <c r="L10" s="15" t="n"/>
      <c r="M10" s="16" t="n"/>
      <c r="N10" s="17" t="n"/>
      <c r="O10" s="17" t="n"/>
      <c r="P10" s="15" t="n"/>
    </row>
    <row r="11">
      <c r="A11" s="11" t="n">
        <v>1</v>
      </c>
      <c r="B11" s="11" t="inlineStr">
        <is>
          <t>1.07</t>
        </is>
      </c>
      <c r="C11" s="12" t="inlineStr">
        <is>
          <t>Where everything else lives</t>
        </is>
      </c>
      <c r="D11" s="12" t="inlineStr">
        <is>
          <t>Company</t>
        </is>
      </c>
      <c r="E11" s="13" t="inlineStr">
        <is>
          <t>See where the studio's records are kept</t>
        </is>
      </c>
      <c r="F11" s="14" t="inlineStr">
        <is>
          <t>1. Click "Company" in the side navigation
2. Read the two groups
3. Press Esc</t>
        </is>
      </c>
      <c r="G11" s="14" t="inlineStr">
        <is>
          <t>"Studio": Profile, Members, Questionnaire, Templates ("1 awaiting"), Price book ("1 proposed"). "Operations": Finance and Reports marked "Soon", Integrations.</t>
        </is>
      </c>
      <c r="H11" s="12" t="inlineStr">
        <is>
          <t>Different from 1.0: records under Company, rules under Settings</t>
        </is>
      </c>
      <c r="I11" s="11" t="inlineStr">
        <is>
          <t>Dane</t>
        </is>
      </c>
      <c r="J11" s="15" t="n"/>
      <c r="K11" s="15" t="n"/>
      <c r="L11" s="15" t="n"/>
      <c r="M11" s="16" t="n"/>
      <c r="N11" s="17" t="n"/>
      <c r="O11" s="17" t="n"/>
      <c r="P11" s="15" t="n"/>
    </row>
    <row r="12">
      <c r="A12" s="11" t="n">
        <v>1</v>
      </c>
      <c r="B12" s="11" t="inlineStr">
        <is>
          <t>1.08</t>
        </is>
      </c>
      <c r="C12" s="12" t="inlineStr">
        <is>
          <t>Where everything else lives</t>
        </is>
      </c>
      <c r="D12" s="12" t="inlineStr">
        <is>
          <t>Notifications</t>
        </is>
      </c>
      <c r="E12" s="13" t="inlineStr">
        <is>
          <t>Check what is waiting for you in the bell</t>
        </is>
      </c>
      <c r="F12" s="14" t="inlineStr">
        <is>
          <t>1. Click "Notifications" (the bell) in the side navigation
2. Read the list
3. Close it without clicking a row</t>
        </is>
      </c>
      <c r="G12" s="14" t="inlineStr">
        <is>
          <t>A "Notifications" panel lists notices newest first, e.g. "New lead: Nur Aisyah"; unread ones have a dot; "Notification settings" sits at the foot.</t>
        </is>
      </c>
      <c r="H12" s="12" t="inlineStr">
        <is>
          <t>Different from 1.0: follow-ups due appear in the same list</t>
        </is>
      </c>
      <c r="I12" s="11" t="inlineStr">
        <is>
          <t>Dane</t>
        </is>
      </c>
      <c r="J12" s="15" t="n"/>
      <c r="K12" s="15" t="n"/>
      <c r="L12" s="15" t="n"/>
      <c r="M12" s="16" t="n"/>
      <c r="N12" s="17" t="n"/>
      <c r="O12" s="17" t="n"/>
      <c r="P12" s="15" t="n"/>
    </row>
    <row r="13">
      <c r="A13" s="11" t="n">
        <v>1</v>
      </c>
      <c r="B13" s="11" t="inlineStr">
        <is>
          <t>1.09</t>
        </is>
      </c>
      <c r="C13" s="12" t="inlineStr">
        <is>
          <t>Where everything else lives</t>
        </is>
      </c>
      <c r="D13" s="12" t="inlineStr">
        <is>
          <t>Shell</t>
        </is>
      </c>
      <c r="E13" s="13" t="inlineStr">
        <is>
          <t>Ask Maison AI for help on the Leads page</t>
        </is>
      </c>
      <c r="F13" s="14" t="inlineStr">
        <is>
          <t>1. On Leads, click the ✦ "Maison AI" button
2. Read the suggestions
3. Click "Which leads need follow-up today?"</t>
        </is>
      </c>
      <c r="G13" s="14" t="inlineStr">
        <is>
          <t>Suggestions about your leads sit above "Reset prototype to base"; picking one answers "Coming soon in OpenMaison 2.0".</t>
        </is>
      </c>
      <c r="H13" s="12" t="inlineStr">
        <is>
          <t>Different from 1.0: scripted suggestions only, in the prototype</t>
        </is>
      </c>
      <c r="I13" s="11" t="inlineStr">
        <is>
          <t>Dane</t>
        </is>
      </c>
      <c r="J13" s="15" t="n"/>
      <c r="K13" s="15" t="n"/>
      <c r="L13" s="15" t="n"/>
      <c r="M13" s="16" t="n"/>
      <c r="N13" s="17" t="n"/>
      <c r="O13" s="17" t="n"/>
      <c r="P13" s="15" t="n"/>
    </row>
    <row r="14" ht="22" customHeight="1">
      <c r="A14" s="9" t="inlineStr">
        <is>
          <t>Chapter 2 · Set up your studio — Company details, your team and the studio’s rules.</t>
        </is>
      </c>
      <c r="M14" s="10" t="n"/>
    </row>
    <row r="15">
      <c r="A15" s="11" t="n">
        <v>2</v>
      </c>
      <c r="B15" s="11" t="inlineStr">
        <is>
          <t>2.01</t>
        </is>
      </c>
      <c r="C15" s="12" t="inlineStr">
        <is>
          <t>Your company on paper</t>
        </is>
      </c>
      <c r="D15" s="12" t="inlineStr">
        <is>
          <t>Company</t>
        </is>
      </c>
      <c r="E15" s="13" t="inlineStr">
        <is>
          <t>Open your company's profile</t>
        </is>
      </c>
      <c r="F15" s="14" t="inlineStr">
        <is>
          <t>1. Click "Company" in the side navigation
2. Click "Profile"</t>
        </is>
      </c>
      <c r="G15" s="14" t="inlineStr">
        <is>
          <t>"Company details" shows Demo Studio Pte Ltd, its UEN and address; the right side shows "Default template · Default Quote PDF".</t>
        </is>
      </c>
      <c r="H15" s="12" t="inlineStr">
        <is>
          <t>Different from 1.0: company records live under Company, not Accounts</t>
        </is>
      </c>
      <c r="I15" s="11" t="inlineStr">
        <is>
          <t>Dane</t>
        </is>
      </c>
      <c r="J15" s="15" t="n"/>
      <c r="K15" s="15" t="n"/>
      <c r="L15" s="15" t="n"/>
      <c r="M15" s="16" t="n"/>
      <c r="N15" s="17" t="n"/>
      <c r="O15" s="17" t="n"/>
      <c r="P15" s="15" t="n"/>
    </row>
    <row r="16">
      <c r="A16" s="11" t="n">
        <v>2</v>
      </c>
      <c r="B16" s="11" t="inlineStr">
        <is>
          <t>2.02</t>
        </is>
      </c>
      <c r="C16" s="12" t="inlineStr">
        <is>
          <t>Your company on paper</t>
        </is>
      </c>
      <c r="D16" s="12" t="inlineStr">
        <is>
          <t>Company</t>
        </is>
      </c>
      <c r="E16" s="13" t="inlineStr">
        <is>
          <t>Add a tagline and your Instagram handle</t>
        </is>
      </c>
      <c r="F16" s="14" t="inlineStr">
        <is>
          <t>1. In "Tagline" type Homes that feel like you
2. Under "Social links", in "Instagram" type @demostudio.sg
3. Click "Save changes"</t>
        </is>
      </c>
      <c r="G16" s="14" t="inlineStr">
        <is>
          <t>A message says "Company details saved"; "Save changes" and "Discard" grey out until you change something again.</t>
        </is>
      </c>
      <c r="H16" s="12" t="inlineStr">
        <is>
          <t>Same as 1.0</t>
        </is>
      </c>
      <c r="I16" s="11" t="inlineStr">
        <is>
          <t>Dane</t>
        </is>
      </c>
      <c r="J16" s="15" t="n"/>
      <c r="K16" s="15" t="n"/>
      <c r="L16" s="15" t="n"/>
      <c r="M16" s="16" t="n"/>
      <c r="N16" s="17" t="n"/>
      <c r="O16" s="17" t="n"/>
      <c r="P16" s="15" t="n"/>
    </row>
    <row r="17">
      <c r="A17" s="11" t="n">
        <v>2</v>
      </c>
      <c r="B17" s="11" t="inlineStr">
        <is>
          <t>2.03</t>
        </is>
      </c>
      <c r="C17" s="12" t="inlineStr">
        <is>
          <t>Your company on paper</t>
        </is>
      </c>
      <c r="D17" s="12" t="inlineStr">
        <is>
          <t>Company</t>
        </is>
      </c>
      <c r="E17" s="13" t="inlineStr">
        <is>
          <t>Put the studio's bank account and PayNow on file</t>
        </is>
      </c>
      <c r="F17" s="14" t="inlineStr">
        <is>
          <t>1. Scroll to "Issuing entities &amp; bank details"
2. For Demo Studio Pte Ltd fill "Bank" DBS Bank, "Account number" 072-123456-7, "SWIFT / BIC" DBSSSGSG, "PayNow (UEN or mobile)" 201234567M
3. Click the "PayNow QR" box and pick paynow-qr.png
4. Click "Save changes"</t>
        </is>
      </c>
      <c r="G17" s="14" t="inlineStr">
        <is>
          <t>"PayNow QR added", then "Company details saved"; a QR code now sits in the box beside the bank fields.</t>
        </is>
      </c>
      <c r="H17" s="12" t="inlineStr">
        <is>
          <t>Same as 1.0</t>
        </is>
      </c>
      <c r="I17" s="11" t="inlineStr">
        <is>
          <t>Dane</t>
        </is>
      </c>
      <c r="J17" s="15" t="n"/>
      <c r="K17" s="15" t="n"/>
      <c r="L17" s="15" t="n"/>
      <c r="M17" s="16" t="n"/>
      <c r="N17" s="17" t="n"/>
      <c r="O17" s="17" t="n"/>
      <c r="P17" s="15" t="n"/>
    </row>
    <row r="18">
      <c r="A18" s="11" t="n">
        <v>2</v>
      </c>
      <c r="B18" s="11" t="inlineStr">
        <is>
          <t>2.04</t>
        </is>
      </c>
      <c r="C18" s="12" t="inlineStr">
        <is>
          <t>Your company on paper</t>
        </is>
      </c>
      <c r="D18" s="12" t="inlineStr">
        <is>
          <t>Company</t>
        </is>
      </c>
      <c r="E18" s="13" t="inlineStr">
        <is>
          <t>Add a second company you issue quotes under</t>
        </is>
      </c>
      <c r="F18" s="14" t="inlineStr">
        <is>
          <t>1. Click "Add an entity"
2. "Entity name": Demo Studio Carpentry Pte Ltd
3. Switch off "GST-registered"; under "Letterhead" fill "UEN / Co. Reg. No." 202512345K
4. Click "Save changes"</t>
        </is>
      </c>
      <c r="G18" s="14" t="inlineStr">
        <is>
          <t>"Company details saved". The new company has its own bank, PayNow and letterhead fields, and a bin to remove it, since nothing uses it yet.</t>
        </is>
      </c>
      <c r="H18" s="12" t="inlineStr">
        <is>
          <t>Different from 1.0: an entity in use is retired, never deleted</t>
        </is>
      </c>
      <c r="I18" s="11" t="inlineStr">
        <is>
          <t>Dane</t>
        </is>
      </c>
      <c r="J18" s="15" t="n"/>
      <c r="K18" s="15" t="n"/>
      <c r="L18" s="15" t="n"/>
      <c r="M18" s="16" t="n"/>
      <c r="N18" s="17" t="n"/>
      <c r="O18" s="17" t="n"/>
      <c r="P18" s="15" t="n"/>
    </row>
    <row r="19">
      <c r="A19" s="11" t="n">
        <v>2</v>
      </c>
      <c r="B19" s="11" t="inlineStr">
        <is>
          <t>2.05</t>
        </is>
      </c>
      <c r="C19" s="12" t="inlineStr">
        <is>
          <t>Your company on paper</t>
        </is>
      </c>
      <c r="D19" s="12" t="inlineStr">
        <is>
          <t>Company</t>
        </is>
      </c>
      <c r="E19" s="13" t="inlineStr">
        <is>
          <t>Look at the brand kit every template starts from</t>
        </is>
      </c>
      <c r="F19" s="14" t="inlineStr">
        <is>
          <t>1. At the bottom of Profile, click "Brand kit"
2. Read the page without changing anything</t>
        </is>
      </c>
      <c r="G19" s="14" t="inlineStr">
        <is>
          <t>"Templates" opens on its "Brand kit" tab: "Logo and marks", "Colours" and "Fonts", with the default template's first page on the right.</t>
        </is>
      </c>
      <c r="H19" s="12" t="inlineStr">
        <is>
          <t>Different from 1.0: one kit every template starts from</t>
        </is>
      </c>
      <c r="I19" s="11" t="inlineStr">
        <is>
          <t>Dane</t>
        </is>
      </c>
      <c r="J19" s="15" t="n"/>
      <c r="K19" s="15" t="n"/>
      <c r="L19" s="15" t="n"/>
      <c r="M19" s="16" t="n"/>
      <c r="N19" s="17" t="n"/>
      <c r="O19" s="17" t="n"/>
      <c r="P19" s="15" t="n"/>
    </row>
    <row r="20">
      <c r="A20" s="11" t="n">
        <v>2</v>
      </c>
      <c r="B20" s="11" t="inlineStr">
        <is>
          <t>2.06</t>
        </is>
      </c>
      <c r="C20" s="12" t="inlineStr">
        <is>
          <t>Your team</t>
        </is>
      </c>
      <c r="D20" s="12" t="inlineStr">
        <is>
          <t>Company</t>
        </is>
      </c>
      <c r="E20" s="13" t="inlineStr">
        <is>
          <t>See who works in the studio and their roles</t>
        </is>
      </c>
      <c r="F20" s="14" t="inlineStr">
        <is>
          <t>1. Click "Company" in the side navigation
2. Click "Members"</t>
        </is>
      </c>
      <c r="G20" s="14" t="inlineStr">
        <is>
          <t>"People and roles": Dane (you) is the Owner; James is a Manager with "Team: Michelle, Sarah"; every row has a role and a lead count.</t>
        </is>
      </c>
      <c r="H20" s="12" t="inlineStr">
        <is>
          <t>Same as 1.0</t>
        </is>
      </c>
      <c r="I20" s="11" t="inlineStr">
        <is>
          <t>Dane</t>
        </is>
      </c>
      <c r="J20" s="15" t="n"/>
      <c r="K20" s="15" t="n"/>
      <c r="L20" s="15" t="n"/>
      <c r="M20" s="16" t="n"/>
      <c r="N20" s="17" t="n"/>
      <c r="O20" s="17" t="n"/>
      <c r="P20" s="15" t="n"/>
    </row>
    <row r="21">
      <c r="A21" s="11" t="n">
        <v>2</v>
      </c>
      <c r="B21" s="11" t="inlineStr">
        <is>
          <t>2.07</t>
        </is>
      </c>
      <c r="C21" s="12" t="inlineStr">
        <is>
          <t>Your team</t>
        </is>
      </c>
      <c r="D21" s="12" t="inlineStr">
        <is>
          <t>Company</t>
        </is>
      </c>
      <c r="E21" s="13" t="inlineStr">
        <is>
          <t>Add a new designer to the team</t>
        </is>
      </c>
      <c r="F21" s="14" t="inlineStr">
        <is>
          <t>1. Click "Add member"
2. "Name": Kavya Menon · "Role": Designer · "Phone": 9123 4567 · "Email": kavya@demostudio.sg
3. Click "Add member"</t>
        </is>
      </c>
      <c r="G21" s="14" t="inlineStr">
        <is>
          <t>"Kavya Menon added as a Designer"; she appears among the designers with "0 leads".</t>
        </is>
      </c>
      <c r="H21" s="12" t="inlineStr">
        <is>
          <t>Different from 1.0: 1.0 only emailed a request to OpenMaison</t>
        </is>
      </c>
      <c r="I21" s="11" t="inlineStr">
        <is>
          <t>Dane</t>
        </is>
      </c>
      <c r="J21" s="15" t="n"/>
      <c r="K21" s="15" t="n"/>
      <c r="L21" s="15" t="n"/>
      <c r="M21" s="16" t="n"/>
      <c r="N21" s="17" t="n"/>
      <c r="O21" s="17" t="n"/>
      <c r="P21" s="15" t="n"/>
    </row>
    <row r="22">
      <c r="A22" s="11" t="n">
        <v>2</v>
      </c>
      <c r="B22" s="11" t="inlineStr">
        <is>
          <t>2.08</t>
        </is>
      </c>
      <c r="C22" s="12" t="inlineStr">
        <is>
          <t>Your team</t>
        </is>
      </c>
      <c r="D22" s="12" t="inlineStr">
        <is>
          <t>Company</t>
        </is>
      </c>
      <c r="E22" s="13" t="inlineStr">
        <is>
          <t>Put Kavya in James's team</t>
        </is>
      </c>
      <c r="F22" s="14" t="inlineStr">
        <is>
          <t>1. In Kavya's row open "Reports to"
2. Pick James</t>
        </is>
      </c>
      <c r="G22" s="14" t="inlineStr">
        <is>
          <t>"Kavya Menon now reports to James"; James's row now reads "Team: Kavya Menon, Michelle, Sarah".</t>
        </is>
      </c>
      <c r="H22" s="12" t="inlineStr">
        <is>
          <t>Different from 1.0: every studio can have managers</t>
        </is>
      </c>
      <c r="I22" s="11" t="inlineStr">
        <is>
          <t>Dane</t>
        </is>
      </c>
      <c r="J22" s="15" t="n"/>
      <c r="K22" s="15" t="n"/>
      <c r="L22" s="15" t="n"/>
      <c r="M22" s="16" t="n"/>
      <c r="N22" s="17" t="n"/>
      <c r="O22" s="17" t="n"/>
      <c r="P22" s="15" t="n"/>
    </row>
    <row r="23">
      <c r="A23" s="11" t="n">
        <v>2</v>
      </c>
      <c r="B23" s="11" t="inlineStr">
        <is>
          <t>2.09</t>
        </is>
      </c>
      <c r="C23" s="12" t="inlineStr">
        <is>
          <t>Your team</t>
        </is>
      </c>
      <c r="D23" s="12" t="inlineStr">
        <is>
          <t>Company</t>
        </is>
      </c>
      <c r="E23" s="13" t="inlineStr">
        <is>
          <t>Tell the studio which leads Kavya should get</t>
        </is>
      </c>
      <c r="F23" s="14" t="inlineStr">
        <is>
          <t>1. In Kavya's row click "Preferences"
2. "Specialty": Condo kitchens
3. Beside "Property type" set "Priority" to "Must match", then pick the "Condo 3-bedder" chip
4. Click "Save preferences"</t>
        </is>
      </c>
      <c r="G23" s="14" t="inlineStr">
        <is>
          <t>"Lead preferences saved"; her row reads "Condo kitchens · Condo 3-bedder (must)".</t>
        </is>
      </c>
      <c r="H23" s="12" t="inlineStr">
        <is>
          <t>Different from 1.0: four categories; Scope is left out</t>
        </is>
      </c>
      <c r="I23" s="11" t="inlineStr">
        <is>
          <t>Dane</t>
        </is>
      </c>
      <c r="J23" s="15" t="n"/>
      <c r="K23" s="15" t="n"/>
      <c r="L23" s="15" t="n"/>
      <c r="M23" s="16" t="n"/>
      <c r="N23" s="17" t="n"/>
      <c r="O23" s="17" t="n"/>
      <c r="P23" s="15" t="n"/>
    </row>
    <row r="24">
      <c r="A24" s="11" t="n">
        <v>2</v>
      </c>
      <c r="B24" s="11" t="inlineStr">
        <is>
          <t>2.10</t>
        </is>
      </c>
      <c r="C24" s="12" t="inlineStr">
        <is>
          <t>Your team</t>
        </is>
      </c>
      <c r="D24" s="12" t="inlineStr">
        <is>
          <t>Company</t>
        </is>
      </c>
      <c r="E24" s="13" t="inlineStr">
        <is>
          <t>Stop new leads going to Kavya for now</t>
        </is>
      </c>
      <c r="F24" s="14" t="inlineStr">
        <is>
          <t>1. In Kavya's row switch off "Open to new leads"</t>
        </is>
      </c>
      <c r="G24" s="14" t="inlineStr">
        <is>
          <t>"Kavya Menon is closed to new leads"; a yellow "Closed to new leads" tag appears on her row.</t>
        </is>
      </c>
      <c r="H24" s="12" t="inlineStr">
        <is>
          <t>Same as 1.0</t>
        </is>
      </c>
      <c r="I24" s="11" t="inlineStr">
        <is>
          <t>Dane</t>
        </is>
      </c>
      <c r="J24" s="15" t="n"/>
      <c r="K24" s="15" t="n"/>
      <c r="L24" s="15" t="n"/>
      <c r="M24" s="16" t="n"/>
      <c r="N24" s="17" t="n"/>
      <c r="O24" s="17" t="n"/>
      <c r="P24" s="15" t="n"/>
    </row>
    <row r="25">
      <c r="A25" s="11" t="n">
        <v>2</v>
      </c>
      <c r="B25" s="11" t="inlineStr">
        <is>
          <t>2.11</t>
        </is>
      </c>
      <c r="C25" s="12" t="inlineStr">
        <is>
          <t>Your team</t>
        </is>
      </c>
      <c r="D25" s="12" t="inlineStr">
        <is>
          <t>Company</t>
        </is>
      </c>
      <c r="E25" s="13" t="inlineStr">
        <is>
          <t>Try to change your own role</t>
        </is>
      </c>
      <c r="F25" s="14" t="inlineStr">
        <is>
          <t>1. On your own row (Dane), point at the "Role" box</t>
        </is>
      </c>
      <c r="G25" s="14" t="inlineStr">
        <is>
          <t>The box is greyed out and a tip says "Nobody changes their own role".</t>
        </is>
      </c>
      <c r="H25" s="12" t="inlineStr">
        <is>
          <t>Different from 1.0: the rule is enforced, not just hidden</t>
        </is>
      </c>
      <c r="I25" s="11" t="inlineStr">
        <is>
          <t>Dane</t>
        </is>
      </c>
      <c r="J25" s="15" t="n"/>
      <c r="K25" s="15" t="n"/>
      <c r="L25" s="15" t="n"/>
      <c r="M25" s="16" t="n"/>
      <c r="N25" s="17" t="n"/>
      <c r="O25" s="17" t="n"/>
      <c r="P25" s="15" t="n"/>
    </row>
    <row r="26">
      <c r="A26" s="11" t="n">
        <v>2</v>
      </c>
      <c r="B26" s="11" t="inlineStr">
        <is>
          <t>2.12</t>
        </is>
      </c>
      <c r="C26" s="12" t="inlineStr">
        <is>
          <t>Your team</t>
        </is>
      </c>
      <c r="D26" s="12" t="inlineStr">
        <is>
          <t>Company</t>
        </is>
      </c>
      <c r="E26" s="13" t="inlineStr">
        <is>
          <t>Deactivate Kavya, then change your mind</t>
        </is>
      </c>
      <c r="F26" s="14" t="inlineStr">
        <is>
          <t>1. In Kavya's row click "Deactivate"
2. Read the box, then click "Deactivate"
3. Click "Undo" in the message at the bottom</t>
        </is>
      </c>
      <c r="G26" s="14" t="inlineStr">
        <is>
          <t>The box says she leaves every picker and "Nothing open is on their name." After Undo: "Kavya Menon is back", still in James's team.</t>
        </is>
      </c>
      <c r="H26" s="12" t="inlineStr">
        <is>
          <t>Different from 1.0: open work is named first, and Undo</t>
        </is>
      </c>
      <c r="I26" s="11" t="inlineStr">
        <is>
          <t>Dane</t>
        </is>
      </c>
      <c r="J26" s="15" t="n"/>
      <c r="K26" s="15" t="n"/>
      <c r="L26" s="15" t="n"/>
      <c r="M26" s="16" t="n"/>
      <c r="N26" s="17" t="n"/>
      <c r="O26" s="17" t="n"/>
      <c r="P26" s="15" t="n"/>
    </row>
    <row r="27">
      <c r="A27" s="11" t="n">
        <v>2</v>
      </c>
      <c r="B27" s="11" t="inlineStr">
        <is>
          <t>2.13</t>
        </is>
      </c>
      <c r="C27" s="12" t="inlineStr">
        <is>
          <t>Your team</t>
        </is>
      </c>
      <c r="D27" s="12" t="inlineStr">
        <is>
          <t>Company</t>
        </is>
      </c>
      <c r="E27" s="13" t="inlineStr">
        <is>
          <t>Deactivate Kavya, then bring her back</t>
        </is>
      </c>
      <c r="F27" s="14" t="inlineStr">
        <is>
          <t>1. Click "Deactivate" on her row, then "Deactivate" in the box
2. Find her under "Deactivated"
3. Click "Reactivate"</t>
        </is>
      </c>
      <c r="G27" s="14" t="inlineStr">
        <is>
          <t>"Deactivated" lists her as "Designer · deactivated" today; Reactivate says "Kavya Menon reactivated — back in every picker".</t>
        </is>
      </c>
      <c r="H27" s="12" t="inlineStr">
        <is>
          <t>New in 2.0</t>
        </is>
      </c>
      <c r="I27" s="11" t="inlineStr">
        <is>
          <t>Dane</t>
        </is>
      </c>
      <c r="J27" s="15" t="n"/>
      <c r="K27" s="15" t="n"/>
      <c r="L27" s="15" t="n"/>
      <c r="M27" s="16" t="n"/>
      <c r="N27" s="17" t="n"/>
      <c r="O27" s="17" t="n"/>
      <c r="P27" s="15" t="n"/>
    </row>
    <row r="28">
      <c r="A28" s="11" t="n">
        <v>2</v>
      </c>
      <c r="B28" s="11" t="inlineStr">
        <is>
          <t>2.14</t>
        </is>
      </c>
      <c r="C28" s="12" t="inlineStr">
        <is>
          <t>The studio's rules at a glance</t>
        </is>
      </c>
      <c r="D28" s="12" t="inlineStr">
        <is>
          <t>Settings</t>
        </is>
      </c>
      <c r="E28" s="13" t="inlineStr">
        <is>
          <t>Open the studio's settings</t>
        </is>
      </c>
      <c r="F28" s="14" t="inlineStr">
        <is>
          <t>1. Click "Settings" in the side navigation
2. Read the tabs
3. Click "Projects"</t>
        </is>
      </c>
      <c r="G28" s="14" t="inlineStr">
        <is>
          <t>Settings opens on "Studio", beside "Lead management", "Quotes &amp; pricing" and "Notifications"; "Projects" (still to come) answers "Coming soon in OpenMaison 2.0".</t>
        </is>
      </c>
      <c r="H28" s="12" t="inlineStr">
        <is>
          <t>Different from 1.0: four tabs instead of one long Accounts page</t>
        </is>
      </c>
      <c r="I28" s="11" t="inlineStr">
        <is>
          <t>Dane</t>
        </is>
      </c>
      <c r="J28" s="15" t="n"/>
      <c r="K28" s="15" t="n"/>
      <c r="L28" s="15" t="n"/>
      <c r="M28" s="16" t="n"/>
      <c r="N28" s="17" t="n"/>
      <c r="O28" s="17" t="n"/>
      <c r="P28" s="15" t="n"/>
    </row>
    <row r="29">
      <c r="A29" s="11" t="n">
        <v>2</v>
      </c>
      <c r="B29" s="11" t="inlineStr">
        <is>
          <t>2.15</t>
        </is>
      </c>
      <c r="C29" s="12" t="inlineStr">
        <is>
          <t>The studio's rules at a glance</t>
        </is>
      </c>
      <c r="D29" s="12" t="inlineStr">
        <is>
          <t>Settings</t>
        </is>
      </c>
      <c r="E29" s="13" t="inlineStr">
        <is>
          <t>Check the team and your companies at a glance</t>
        </is>
      </c>
      <c r="F29" s="14" t="inlineStr">
        <is>
          <t>1. On "Studio", read "Team"
2. Read "Issuing entities"</t>
        </is>
      </c>
      <c r="G29" s="14" t="inlineStr">
        <is>
          <t>Team groups people by role (Kavya · reports to James). Entities: Demo Studio Pte Ltd "Registered" with DBS Bank; the carpentry company "Not registered".</t>
        </is>
      </c>
      <c r="H29" s="12" t="inlineStr">
        <is>
          <t>New in 2.0</t>
        </is>
      </c>
      <c r="I29" s="11" t="inlineStr">
        <is>
          <t>Dane</t>
        </is>
      </c>
      <c r="J29" s="15" t="n"/>
      <c r="K29" s="15" t="n"/>
      <c r="L29" s="15" t="n"/>
      <c r="M29" s="16" t="n"/>
      <c r="N29" s="17" t="n"/>
      <c r="O29" s="17" t="n"/>
      <c r="P29" s="15" t="n"/>
    </row>
    <row r="30">
      <c r="A30" s="11" t="n">
        <v>2</v>
      </c>
      <c r="B30" s="11" t="inlineStr">
        <is>
          <t>2.16</t>
        </is>
      </c>
      <c r="C30" s="12" t="inlineStr">
        <is>
          <t>The studio's rules at a glance</t>
        </is>
      </c>
      <c r="D30" s="12" t="inlineStr">
        <is>
          <t>Settings</t>
        </is>
      </c>
      <c r="E30" s="13" t="inlineStr">
        <is>
          <t>See what each role is allowed to do</t>
        </is>
      </c>
      <c r="F30" s="14" t="inlineStr">
        <is>
          <t>1. On "Studio", scroll to "Who may do what"</t>
        </is>
      </c>
      <c r="G30" s="14" t="inlineStr">
        <is>
          <t>A table of actions against Owner, Admin, Manager and Designer: ticks, dashes or words like "Submits for approval". Nothing here can be edited.</t>
        </is>
      </c>
      <c r="H30" s="12" t="inlineStr">
        <is>
          <t>Different from 1.0: fixed roles stated plainly; no permissions editor</t>
        </is>
      </c>
      <c r="I30" s="11" t="inlineStr">
        <is>
          <t>Dane</t>
        </is>
      </c>
      <c r="J30" s="15" t="n"/>
      <c r="K30" s="15" t="n"/>
      <c r="L30" s="15" t="n"/>
      <c r="M30" s="16" t="n"/>
      <c r="N30" s="17" t="n"/>
      <c r="O30" s="17" t="n"/>
      <c r="P30" s="15" t="n"/>
    </row>
    <row r="31">
      <c r="A31" s="11" t="n">
        <v>2</v>
      </c>
      <c r="B31" s="11" t="inlineStr">
        <is>
          <t>2.17</t>
        </is>
      </c>
      <c r="C31" s="12" t="inlineStr">
        <is>
          <t>How leads are handled</t>
        </is>
      </c>
      <c r="D31" s="12" t="inlineStr">
        <is>
          <t>Settings</t>
        </is>
      </c>
      <c r="E31" s="13" t="inlineStr">
        <is>
          <t>Try both ways leads can move, then keep Linear</t>
        </is>
      </c>
      <c r="F31" s="14" t="inlineStr">
        <is>
          <t>1. Click the "Lead management" tab
2. Under "Stage movement" click "Flexible"
3. Click "Linear"</t>
        </is>
      </c>
      <c r="G31" s="14" t="inlineStr">
        <is>
          <t>"Stage movement set to Flexible", then "Stage movement set to Linear"; Linear ends up selected.</t>
        </is>
      </c>
      <c r="H31" s="12" t="inlineStr">
        <is>
          <t>Different from 1.0: Linear / Flexible replace Classic / Journey</t>
        </is>
      </c>
      <c r="I31" s="11" t="inlineStr">
        <is>
          <t>Dane</t>
        </is>
      </c>
      <c r="J31" s="15" t="n"/>
      <c r="K31" s="15" t="n"/>
      <c r="L31" s="15" t="n"/>
      <c r="M31" s="16" t="n"/>
      <c r="N31" s="17" t="n"/>
      <c r="O31" s="17" t="n"/>
      <c r="P31" s="15" t="n"/>
    </row>
    <row r="32">
      <c r="A32" s="11" t="n">
        <v>2</v>
      </c>
      <c r="B32" s="11" t="inlineStr">
        <is>
          <t>2.18</t>
        </is>
      </c>
      <c r="C32" s="12" t="inlineStr">
        <is>
          <t>How leads are handled</t>
        </is>
      </c>
      <c r="D32" s="12" t="inlineStr">
        <is>
          <t>Settings</t>
        </is>
      </c>
      <c r="E32" s="13" t="inlineStr">
        <is>
          <t>Add Xiaohongshu as a place leads come from</t>
        </is>
      </c>
      <c r="F32" s="14" t="inlineStr">
        <is>
          <t>1. Under "Lead sources", type Xiaohongshu in "Add a source"
2. Click "Add"</t>
        </is>
      </c>
      <c r="G32" s="14" t="inlineStr">
        <is>
          <t>"Xiaohongshu added to the lead sources"; it appears just before "Others" with a count of 0.</t>
        </is>
      </c>
      <c r="H32" s="12" t="inlineStr">
        <is>
          <t>Same as 1.0</t>
        </is>
      </c>
      <c r="I32" s="11" t="inlineStr">
        <is>
          <t>Dane</t>
        </is>
      </c>
      <c r="J32" s="15" t="n"/>
      <c r="K32" s="15" t="n"/>
      <c r="L32" s="15" t="n"/>
      <c r="M32" s="16" t="n"/>
      <c r="N32" s="17" t="n"/>
      <c r="O32" s="17" t="n"/>
      <c r="P32" s="15" t="n"/>
    </row>
    <row r="33">
      <c r="A33" s="11" t="n">
        <v>2</v>
      </c>
      <c r="B33" s="11" t="inlineStr">
        <is>
          <t>2.19</t>
        </is>
      </c>
      <c r="C33" s="12" t="inlineStr">
        <is>
          <t>How leads are handled</t>
        </is>
      </c>
      <c r="D33" s="12" t="inlineStr">
        <is>
          <t>Settings</t>
        </is>
      </c>
      <c r="E33" s="13" t="inlineStr">
        <is>
          <t>Move Xiaohongshu to the top of the list</t>
        </is>
      </c>
      <c r="F33" s="14" t="inlineStr">
        <is>
          <t>1. Click the name "Xiaohongshu"
2. In the "Lead source" box set "Place in the list" to 1
3. Click "Save"</t>
        </is>
      </c>
      <c r="G33" s="14" t="inlineStr">
        <is>
          <t>"Lead sources saved"; Xiaohongshu is now first in the list.</t>
        </is>
      </c>
      <c r="H33" s="12" t="inlineStr">
        <is>
          <t>Same as 1.0</t>
        </is>
      </c>
      <c r="I33" s="11" t="inlineStr">
        <is>
          <t>Dane</t>
        </is>
      </c>
      <c r="J33" s="15" t="n"/>
      <c r="K33" s="15" t="n"/>
      <c r="L33" s="15" t="n"/>
      <c r="M33" s="16" t="n"/>
      <c r="N33" s="17" t="n"/>
      <c r="O33" s="17" t="n"/>
      <c r="P33" s="15" t="n"/>
    </row>
    <row r="34">
      <c r="A34" s="11" t="n">
        <v>2</v>
      </c>
      <c r="B34" s="11" t="inlineStr">
        <is>
          <t>2.20</t>
        </is>
      </c>
      <c r="C34" s="12" t="inlineStr">
        <is>
          <t>How leads are handled</t>
        </is>
      </c>
      <c r="D34" s="12" t="inlineStr">
        <is>
          <t>Settings</t>
        </is>
      </c>
      <c r="E34" s="13" t="inlineStr">
        <is>
          <t>Rename Walk-in and see its lead follow</t>
        </is>
      </c>
      <c r="F34" s="14" t="inlineStr">
        <is>
          <t>1. Click "Walk-in" and change "Name" to Showroom walk-in
2. Click "Save"
3. Open Leads and find Mei Ling Tan's "Source"</t>
        </is>
      </c>
      <c r="G34" s="14" t="inlineStr">
        <is>
          <t>"Walk-in is now Showroom walk-in — its leads follow"; Mei Ling Tan's source reads Showroom walk-in.</t>
        </is>
      </c>
      <c r="H34" s="12" t="inlineStr">
        <is>
          <t>Different from 1.0: a rename carries the leads with it</t>
        </is>
      </c>
      <c r="I34" s="11" t="inlineStr">
        <is>
          <t>Dane</t>
        </is>
      </c>
      <c r="J34" s="15" t="n"/>
      <c r="K34" s="15" t="n"/>
      <c r="L34" s="15" t="n"/>
      <c r="M34" s="16" t="n"/>
      <c r="N34" s="17" t="n"/>
      <c r="O34" s="17" t="n"/>
      <c r="P34" s="15" t="n"/>
    </row>
    <row r="35">
      <c r="A35" s="11" t="n">
        <v>2</v>
      </c>
      <c r="B35" s="11" t="inlineStr">
        <is>
          <t>2.21</t>
        </is>
      </c>
      <c r="C35" s="12" t="inlineStr">
        <is>
          <t>How leads are handled</t>
        </is>
      </c>
      <c r="D35" s="12" t="inlineStr">
        <is>
          <t>Settings</t>
        </is>
      </c>
      <c r="E35" s="13" t="inlineStr">
        <is>
          <t>Add a Lost reason that expects two logged contacts</t>
        </is>
      </c>
      <c r="F35" s="14" t="inlineStr">
        <is>
          <t>1. Back in Settings, open "Lead management" and find "Reasons"
2. In "Add a Lost reason" type Chose a contractor; in "Needs logged contacts" type 2
3. Click "Add"</t>
        </is>
      </c>
      <c r="G35" s="14" t="inlineStr">
        <is>
          <t>"Chose a contractor added to the Lost reasons"; it shows as "Chose a contractor · after 2 contacts", just before "Others".</t>
        </is>
      </c>
      <c r="H35" s="12" t="inlineStr">
        <is>
          <t>Same as 1.0</t>
        </is>
      </c>
      <c r="I35" s="11" t="inlineStr">
        <is>
          <t>Dane</t>
        </is>
      </c>
      <c r="J35" s="15" t="n"/>
      <c r="K35" s="15" t="n"/>
      <c r="L35" s="15" t="n"/>
      <c r="M35" s="16" t="n"/>
      <c r="N35" s="17" t="n"/>
      <c r="O35" s="17" t="n"/>
      <c r="P35" s="15" t="n"/>
    </row>
    <row r="36">
      <c r="A36" s="11" t="n">
        <v>2</v>
      </c>
      <c r="B36" s="11" t="inlineStr">
        <is>
          <t>2.22</t>
        </is>
      </c>
      <c r="C36" s="12" t="inlineStr">
        <is>
          <t>How leads are handled</t>
        </is>
      </c>
      <c r="D36" s="12" t="inlineStr">
        <is>
          <t>Settings</t>
        </is>
      </c>
      <c r="E36" s="13" t="inlineStr">
        <is>
          <t>Add your own field to every lead</t>
        </is>
      </c>
      <c r="F36" s="14" t="inlineStr">
        <is>
          <t>1. Under "Custom fields" click "Add field"
2. "Label": Preferred contact time · "Type": Dropdown
3. Options: Morning, Afternoon, Evening ("Add option" for each new one)
4. Click "Add"</t>
        </is>
      </c>
      <c r="G36" s="14" t="inlineStr">
        <is>
          <t>"Preferred contact time added"; the table shows it with a "Dropdown" tag, its three options, Required off and Active on.</t>
        </is>
      </c>
      <c r="H36" s="12" t="inlineStr">
        <is>
          <t>Different from 1.0: saving never erases the leads' answers</t>
        </is>
      </c>
      <c r="I36" s="11" t="inlineStr">
        <is>
          <t>Dane</t>
        </is>
      </c>
      <c r="J36" s="15" t="n"/>
      <c r="K36" s="15" t="n"/>
      <c r="L36" s="15" t="n"/>
      <c r="M36" s="16" t="n"/>
      <c r="N36" s="17" t="n"/>
      <c r="O36" s="17" t="n"/>
      <c r="P36" s="15" t="n"/>
    </row>
    <row r="37">
      <c r="A37" s="11" t="n">
        <v>2</v>
      </c>
      <c r="B37" s="11" t="inlineStr">
        <is>
          <t>2.23</t>
        </is>
      </c>
      <c r="C37" s="12" t="inlineStr">
        <is>
          <t>How leads are handled</t>
        </is>
      </c>
      <c r="D37" s="12" t="inlineStr">
        <is>
          <t>Settings</t>
        </is>
      </c>
      <c r="E37" s="13" t="inlineStr">
        <is>
          <t>Limit designers to their own leads, then open it back up</t>
        </is>
      </c>
      <c r="F37" s="14" t="inlineStr">
        <is>
          <t>1. Under "Who sees leads" click "Only the leads assigned to them"
2. Click the "Studio" tab and read the "See leads" row
3. Back on "Lead management", click "Everyone sees every lead"</t>
        </is>
      </c>
      <c r="G37" s="14" t="inlineStr">
        <is>
          <t>"See leads" reads "Their team’s" for Managers and "Their own" for Designers; the last click says "Everyone sees every lead again".</t>
        </is>
      </c>
      <c r="H37" s="12" t="inlineStr">
        <is>
          <t>Different from 1.0: one switch, enforced for every role</t>
        </is>
      </c>
      <c r="I37" s="11" t="inlineStr">
        <is>
          <t>Dane</t>
        </is>
      </c>
      <c r="J37" s="15" t="n"/>
      <c r="K37" s="15" t="n"/>
      <c r="L37" s="15" t="n"/>
      <c r="M37" s="16" t="n"/>
      <c r="N37" s="17" t="n"/>
      <c r="O37" s="17" t="n"/>
      <c r="P37" s="15" t="n"/>
    </row>
    <row r="38">
      <c r="A38" s="11" t="n">
        <v>2</v>
      </c>
      <c r="B38" s="11" t="inlineStr">
        <is>
          <t>2.24</t>
        </is>
      </c>
      <c r="C38" s="12" t="inlineStr">
        <is>
          <t>How leads are handled</t>
        </is>
      </c>
      <c r="D38" s="12" t="inlineStr">
        <is>
          <t>Settings</t>
        </is>
      </c>
      <c r="E38" s="13" t="inlineStr">
        <is>
          <t>Find the address your website form sends leads to</t>
        </is>
      </c>
      <c r="F38" s="14" t="inlineStr">
        <is>
          <t>1. Under "Lead capture" click "Copy" beside the address
2. Read the table below it</t>
        </is>
      </c>
      <c r="G38" s="14" t="inlineStr">
        <is>
          <t>"Intake address copied" (leads+demo-studio@in.openmaison.sg). Rows: Website form, Meta Lead Ads, Webhook · Google Ads ("Active"), Email lead sources.</t>
        </is>
      </c>
      <c r="H38" s="12" t="inlineStr">
        <is>
          <t>Different from 1.0: every way in listed in one place</t>
        </is>
      </c>
      <c r="I38" s="11" t="inlineStr">
        <is>
          <t>Dane</t>
        </is>
      </c>
      <c r="J38" s="15" t="n"/>
      <c r="K38" s="15" t="n"/>
      <c r="L38" s="15" t="n"/>
      <c r="M38" s="16" t="n"/>
      <c r="N38" s="17" t="n"/>
      <c r="O38" s="17" t="n"/>
      <c r="P38" s="15" t="n"/>
    </row>
    <row r="39">
      <c r="A39" s="11" t="n">
        <v>2</v>
      </c>
      <c r="B39" s="11" t="inlineStr">
        <is>
          <t>2.25</t>
        </is>
      </c>
      <c r="C39" s="12" t="inlineStr">
        <is>
          <t>How quotes are priced</t>
        </is>
      </c>
      <c r="D39" s="12" t="inlineStr">
        <is>
          <t>Settings</t>
        </is>
      </c>
      <c r="E39" s="13" t="inlineStr">
        <is>
          <t>Try your own quote number pattern without saving it</t>
        </is>
      </c>
      <c r="F39" s="14" t="inlineStr">
        <is>
          <t>1. Click the "Quotes &amp; pricing" tab
2. Under "Quote numbers" change "Prefix" to DS and "Digits" to 4; switch on "Year and month"
3. Read "Next quote:"
4. Click "Discard"</t>
        </is>
      </c>
      <c r="G39" s="14" t="inlineStr">
        <is>
          <t>"Next quote:" changes as you type to DS-(this year and month)-0001; after Discard it reads OM-10010 again.</t>
        </is>
      </c>
      <c r="H39" s="12" t="inlineStr">
        <is>
          <t>Different from 1.0: your own pattern, not a fixed QT-###</t>
        </is>
      </c>
      <c r="I39" s="11" t="inlineStr">
        <is>
          <t>Dane</t>
        </is>
      </c>
      <c r="J39" s="15" t="n"/>
      <c r="K39" s="15" t="n"/>
      <c r="L39" s="15" t="n"/>
      <c r="M39" s="16" t="n"/>
      <c r="N39" s="17" t="n"/>
      <c r="O39" s="17" t="n"/>
      <c r="P39" s="15" t="n"/>
    </row>
    <row r="40">
      <c r="A40" s="11" t="n">
        <v>2</v>
      </c>
      <c r="B40" s="11" t="inlineStr">
        <is>
          <t>2.26</t>
        </is>
      </c>
      <c r="C40" s="12" t="inlineStr">
        <is>
          <t>How quotes are priced</t>
        </is>
      </c>
      <c r="D40" s="12" t="inlineStr">
        <is>
          <t>Settings</t>
        </is>
      </c>
      <c r="E40" s="13" t="inlineStr">
        <is>
          <t>Give Carpentry a standard note for quotes</t>
        </is>
      </c>
      <c r="F40" s="14" t="inlineStr">
        <is>
          <t>1. Under "Trades" click "Carpentry"
2. In "Note" type All carpentry in E0-grade board with laminate finish unless stated.
3. Click "Save"</t>
        </is>
      </c>
      <c r="G40" s="14" t="inlineStr">
        <is>
          <t>"Note saved for Carpentry"; a small note mark appears on the Carpentry chip.</t>
        </is>
      </c>
      <c r="H40" s="12" t="inlineStr">
        <is>
          <t>Same as 1.0</t>
        </is>
      </c>
      <c r="I40" s="11" t="inlineStr">
        <is>
          <t>Dane</t>
        </is>
      </c>
      <c r="J40" s="15" t="n"/>
      <c r="K40" s="15" t="n"/>
      <c r="L40" s="15" t="n"/>
      <c r="M40" s="16" t="n"/>
      <c r="N40" s="17" t="n"/>
      <c r="O40" s="17" t="n"/>
      <c r="P40" s="15" t="n"/>
    </row>
    <row r="41">
      <c r="A41" s="11" t="n">
        <v>2</v>
      </c>
      <c r="B41" s="11" t="inlineStr">
        <is>
          <t>2.27</t>
        </is>
      </c>
      <c r="C41" s="12" t="inlineStr">
        <is>
          <t>How quotes are priced</t>
        </is>
      </c>
      <c r="D41" s="12" t="inlineStr">
        <is>
          <t>Settings</t>
        </is>
      </c>
      <c r="E41" s="13" t="inlineStr">
        <is>
          <t>Check the GST rate refuses a wrong number</t>
        </is>
      </c>
      <c r="F41" s="14" t="inlineStr">
        <is>
          <t>1. Under "GST" check "Registered for GST" is on
2. Change "GST rate (%)" to 35
3. Change it back to 9</t>
        </is>
      </c>
      <c r="G41" s="14" t="inlineStr">
        <is>
          <t>At 35 the box says "Between 0 and 30" and "Save rate" stays grey; back at 9 the warning goes.</t>
        </is>
      </c>
      <c r="H41" s="12" t="inlineStr">
        <is>
          <t>Different from 1.0: the studio sets its GST once</t>
        </is>
      </c>
      <c r="I41" s="11" t="inlineStr">
        <is>
          <t>Dane</t>
        </is>
      </c>
      <c r="J41" s="15" t="n"/>
      <c r="K41" s="15" t="n"/>
      <c r="L41" s="15" t="n"/>
      <c r="M41" s="16" t="n"/>
      <c r="N41" s="17" t="n"/>
      <c r="O41" s="17" t="n"/>
      <c r="P41" s="15" t="n"/>
    </row>
    <row r="42">
      <c r="A42" s="11" t="n">
        <v>2</v>
      </c>
      <c r="B42" s="11" t="inlineStr">
        <is>
          <t>2.28</t>
        </is>
      </c>
      <c r="C42" s="12" t="inlineStr">
        <is>
          <t>How quotes are priced</t>
        </is>
      </c>
      <c r="D42" s="12" t="inlineStr">
        <is>
          <t>Settings</t>
        </is>
      </c>
      <c r="E42" s="13" t="inlineStr">
        <is>
          <t>Round selling prices to S$5, then switch it off</t>
        </is>
      </c>
      <c r="F42" s="14" t="inlineStr">
        <is>
          <t>1. Under "Selling prices", in "Round selling prices to" pick "The nearest S$5"
2. Pick "Not rounded" again</t>
        </is>
      </c>
      <c r="G42" s="14" t="inlineStr">
        <is>
          <t>"Selling prices round to the nearest S$5", then "Selling prices are not rounded".</t>
        </is>
      </c>
      <c r="H42" s="12" t="inlineStr">
        <is>
          <t>Different from 1.0: a studio rule instead of per quote</t>
        </is>
      </c>
      <c r="I42" s="11" t="inlineStr">
        <is>
          <t>Dane</t>
        </is>
      </c>
      <c r="J42" s="15" t="n"/>
      <c r="K42" s="15" t="n"/>
      <c r="L42" s="15" t="n"/>
      <c r="M42" s="16" t="n"/>
      <c r="N42" s="17" t="n"/>
      <c r="O42" s="17" t="n"/>
      <c r="P42" s="15" t="n"/>
    </row>
    <row r="43">
      <c r="A43" s="11" t="n">
        <v>2</v>
      </c>
      <c r="B43" s="11" t="inlineStr">
        <is>
          <t>2.29</t>
        </is>
      </c>
      <c r="C43" s="12" t="inlineStr">
        <is>
          <t>How quotes are priced</t>
        </is>
      </c>
      <c r="D43" s="12" t="inlineStr">
        <is>
          <t>Settings</t>
        </is>
      </c>
      <c r="E43" s="13" t="inlineStr">
        <is>
          <t>Lock payment schedules to Owners and Admins, then unlock</t>
        </is>
      </c>
      <c r="F43" s="14" t="inlineStr">
        <is>
          <t>1. Under "Payment schedule" switch on "Only Owners and Admins can change it"
2. On the "Studio" tab read "Change a quote’s payment schedule"
3. Back on "Quotes &amp; pricing", switch it off</t>
        </is>
      </c>
      <c r="G43" s="14" t="inlineStr">
        <is>
          <t>Locked, Manager and Designer show "—" on that row; unlocking says "Every member can change the payment schedule".</t>
        </is>
      </c>
      <c r="H43" s="12" t="inlineStr">
        <is>
          <t>Different from 1.0: the lock is now actually enforced</t>
        </is>
      </c>
      <c r="I43" s="11" t="inlineStr">
        <is>
          <t>Dane</t>
        </is>
      </c>
      <c r="J43" s="15" t="n"/>
      <c r="K43" s="15" t="n"/>
      <c r="L43" s="15" t="n"/>
      <c r="M43" s="16" t="n"/>
      <c r="N43" s="17" t="n"/>
      <c r="O43" s="17" t="n"/>
      <c r="P43" s="15" t="n"/>
    </row>
    <row r="44">
      <c r="A44" s="11" t="n">
        <v>2</v>
      </c>
      <c r="B44" s="11" t="inlineStr">
        <is>
          <t>2.30</t>
        </is>
      </c>
      <c r="C44" s="12" t="inlineStr">
        <is>
          <t>How quotes are priced</t>
        </is>
      </c>
      <c r="D44" s="12" t="inlineStr">
        <is>
          <t>Settings</t>
        </is>
      </c>
      <c r="E44" s="13" t="inlineStr">
        <is>
          <t>Make James the backup approver, then remove him</t>
        </is>
      </c>
      <c r="F44" s="14" t="inlineStr">
        <is>
          <t>1. Under "Backup approver" pick James
2. On the "Studio" tab read the line under "Who may do what"
3. Back on "Quotes &amp; pricing", pick "None"</t>
        </is>
      </c>
      <c r="G44" s="14" t="inlineStr">
        <is>
          <t>"James can approve as the backup"; Studio says "James is the backup approver…"; picking None says "No backup approver".</t>
        </is>
      </c>
      <c r="H44" s="12" t="inlineStr">
        <is>
          <t>Different from 1.0: one backup instead of an approver list</t>
        </is>
      </c>
      <c r="I44" s="11" t="inlineStr">
        <is>
          <t>Dane</t>
        </is>
      </c>
      <c r="J44" s="15" t="n"/>
      <c r="K44" s="15" t="n"/>
      <c r="L44" s="15" t="n"/>
      <c r="M44" s="16" t="n"/>
      <c r="N44" s="17" t="n"/>
      <c r="O44" s="17" t="n"/>
      <c r="P44" s="15" t="n"/>
    </row>
    <row r="45">
      <c r="A45" s="11" t="n">
        <v>2</v>
      </c>
      <c r="B45" s="11" t="inlineStr">
        <is>
          <t>2.31</t>
        </is>
      </c>
      <c r="C45" s="12" t="inlineStr">
        <is>
          <t>How quotes are priced</t>
        </is>
      </c>
      <c r="D45" s="12" t="inlineStr">
        <is>
          <t>Settings</t>
        </is>
      </c>
      <c r="E45" s="13" t="inlineStr">
        <is>
          <t>Choose whose name a quote's "prepared by" prints</t>
        </is>
      </c>
      <c r="F45" s="14" t="inlineStr">
        <is>
          <t>1. Under "Prepared by", in "Prepared by prints" pick "Every member on the lead"
2. Pick "The member who prepared the quote" again</t>
        </is>
      </c>
      <c r="G45" s="14" t="inlineStr">
        <is>
          <t>"Prepared by prints every member on the lead", then "Prepared by prints the member who prepared the quote".</t>
        </is>
      </c>
      <c r="H45" s="12" t="inlineStr">
        <is>
          <t>Same as 1.0</t>
        </is>
      </c>
      <c r="I45" s="11" t="inlineStr">
        <is>
          <t>Dane</t>
        </is>
      </c>
      <c r="J45" s="15" t="n"/>
      <c r="K45" s="15" t="n"/>
      <c r="L45" s="15" t="n"/>
      <c r="M45" s="16" t="n"/>
      <c r="N45" s="17" t="n"/>
      <c r="O45" s="17" t="n"/>
      <c r="P45" s="15" t="n"/>
    </row>
    <row r="46">
      <c r="A46" s="11" t="n">
        <v>2</v>
      </c>
      <c r="B46" s="11" t="inlineStr">
        <is>
          <t>2.32</t>
        </is>
      </c>
      <c r="C46" s="12" t="inlineStr">
        <is>
          <t>Who hears about what</t>
        </is>
      </c>
      <c r="D46" s="12" t="inlineStr">
        <is>
          <t>Notifications</t>
        </is>
      </c>
      <c r="E46" s="13" t="inlineStr">
        <is>
          <t>Switch off a notice and see email and WhatsApp follow</t>
        </is>
      </c>
      <c r="F46" s="14" t="inlineStr">
        <is>
          <t>1. Click the "Notifications" tab
2. On "A new lead arrives" switch off "In app"
3. Point at its greyed "WhatsApp" switch
4. Switch "In app" back on</t>
        </is>
      </c>
      <c r="G46" s="14" t="inlineStr">
        <is>
          <t>Email and WhatsApp go grey and off; the tip says "Goes out with the in-app notice — switch In app on first"; both return after.</t>
        </is>
      </c>
      <c r="H46" s="12" t="inlineStr">
        <is>
          <t>Different from 1.0: set per event, not per category</t>
        </is>
      </c>
      <c r="I46" s="11" t="inlineStr">
        <is>
          <t>Dane</t>
        </is>
      </c>
      <c r="J46" s="15" t="n"/>
      <c r="K46" s="15" t="n"/>
      <c r="L46" s="15" t="n"/>
      <c r="M46" s="16" t="n"/>
      <c r="N46" s="17" t="n"/>
      <c r="O46" s="17" t="n"/>
      <c r="P46" s="15" t="n"/>
    </row>
    <row r="47">
      <c r="A47" s="11" t="n">
        <v>2</v>
      </c>
      <c r="B47" s="11" t="inlineStr">
        <is>
          <t>2.33</t>
        </is>
      </c>
      <c r="C47" s="12" t="inlineStr">
        <is>
          <t>Who hears about what</t>
        </is>
      </c>
      <c r="D47" s="12" t="inlineStr">
        <is>
          <t>Notifications</t>
        </is>
      </c>
      <c r="E47" s="13" t="inlineStr">
        <is>
          <t>Preview a WhatsApp message with a field filled in</t>
        </is>
      </c>
      <c r="F47" s="14" t="inlineStr">
        <is>
          <t>1. Under "Messages", on "A new lead arrives · WhatsApp" click "Edit"
2. Click at the end of "Message", then "Insert a field" › "The lead’s source"
3. Read "Preview"
4. Click "Cancel"</t>
        </is>
      </c>
      <c r="G47" s="14" t="inlineStr">
        <is>
          <t>The preview fills the new field with a sample source ("Website"); Cancel leaves the message as it was.</t>
        </is>
      </c>
      <c r="H47" s="12" t="inlineStr">
        <is>
          <t>Same as 1.0</t>
        </is>
      </c>
      <c r="I47" s="11" t="inlineStr">
        <is>
          <t>Dane</t>
        </is>
      </c>
      <c r="J47" s="15" t="n"/>
      <c r="K47" s="15" t="n"/>
      <c r="L47" s="15" t="n"/>
      <c r="M47" s="16" t="n"/>
      <c r="N47" s="17" t="n"/>
      <c r="O47" s="17" t="n"/>
      <c r="P47" s="15" t="n"/>
    </row>
    <row r="48">
      <c r="A48" s="11" t="n">
        <v>2</v>
      </c>
      <c r="B48" s="11" t="inlineStr">
        <is>
          <t>2.34</t>
        </is>
      </c>
      <c r="C48" s="12" t="inlineStr">
        <is>
          <t>Leave the studio as you found it</t>
        </is>
      </c>
      <c r="D48" s="12" t="inlineStr">
        <is>
          <t>Settings</t>
        </is>
      </c>
      <c r="E48" s="13" t="inlineStr">
        <is>
          <t>Put the lead sources back as they were</t>
        </is>
      </c>
      <c r="F48" s="14" t="inlineStr">
        <is>
          <t>1. On "Lead management" click ✕ on Xiaohongshu, then "Undo" in the message
2. Click ✕ on Xiaohongshu again
3. Click "Showroom walk-in", change "Name" back to Walk-in, click "Save"</t>
        </is>
      </c>
      <c r="G48" s="14" t="inlineStr">
        <is>
          <t>Undo says "Lead sources put back"; at the end the note under "Lead sources" says "These are the defaults."</t>
        </is>
      </c>
      <c r="H48" s="12" t="inlineStr">
        <is>
          <t>Different from 1.0: removing answers with Undo, not a confirm</t>
        </is>
      </c>
      <c r="I48" s="11" t="inlineStr">
        <is>
          <t>Dane</t>
        </is>
      </c>
      <c r="J48" s="15" t="n"/>
      <c r="K48" s="15" t="n"/>
      <c r="L48" s="15" t="n"/>
      <c r="M48" s="16" t="n"/>
      <c r="N48" s="17" t="n"/>
      <c r="O48" s="17" t="n"/>
      <c r="P48" s="15" t="n"/>
    </row>
    <row r="49">
      <c r="A49" s="11" t="n">
        <v>2</v>
      </c>
      <c r="B49" s="11" t="inlineStr">
        <is>
          <t>2.35</t>
        </is>
      </c>
      <c r="C49" s="12" t="inlineStr">
        <is>
          <t>Leave the studio as you found it</t>
        </is>
      </c>
      <c r="D49" s="12" t="inlineStr">
        <is>
          <t>Settings</t>
        </is>
      </c>
      <c r="E49" s="13" t="inlineStr">
        <is>
          <t>Remove the test reason and the test field</t>
        </is>
      </c>
      <c r="F49" s="14" t="inlineStr">
        <is>
          <t>1. Under "Reasons" click ✕ on "Chose a contractor"
2. Under "Custom fields" click the bin on "Preferred contact time"
3. Click "Delete" in "Delete this field?"</t>
        </is>
      </c>
      <c r="G49" s="14" t="inlineStr">
        <is>
          <t>"Chose a contractor removed", "Preferred contact time deleted"; Reasons says "These are the defaults." and Custom fields "No custom fields yet."</t>
        </is>
      </c>
      <c r="H49" s="12" t="inlineStr">
        <is>
          <t>Same as 1.0</t>
        </is>
      </c>
      <c r="I49" s="11" t="inlineStr">
        <is>
          <t>Dane</t>
        </is>
      </c>
      <c r="J49" s="15" t="n"/>
      <c r="K49" s="15" t="n"/>
      <c r="L49" s="15" t="n"/>
      <c r="M49" s="16" t="n"/>
      <c r="N49" s="17" t="n"/>
      <c r="O49" s="17" t="n"/>
      <c r="P49" s="15" t="n"/>
    </row>
    <row r="50">
      <c r="A50" s="11" t="n">
        <v>2</v>
      </c>
      <c r="B50" s="11" t="inlineStr">
        <is>
          <t>2.36</t>
        </is>
      </c>
      <c r="C50" s="12" t="inlineStr">
        <is>
          <t>Leave the studio as you found it</t>
        </is>
      </c>
      <c r="D50" s="12" t="inlineStr">
        <is>
          <t>Settings</t>
        </is>
      </c>
      <c r="E50" s="13" t="inlineStr">
        <is>
          <t>Take the Carpentry note off again</t>
        </is>
      </c>
      <c r="F50" s="14" t="inlineStr">
        <is>
          <t>1. On "Quotes &amp; pricing" click "Carpentry"
2. Clear "Note"
3. Click "Save"</t>
        </is>
      </c>
      <c r="G50" s="14" t="inlineStr">
        <is>
          <t>"Note removed from Carpentry"; the small note mark leaves the Carpentry chip.</t>
        </is>
      </c>
      <c r="H50" s="12" t="inlineStr">
        <is>
          <t>Same as 1.0</t>
        </is>
      </c>
      <c r="I50" s="11" t="inlineStr">
        <is>
          <t>Dane</t>
        </is>
      </c>
      <c r="J50" s="15" t="n"/>
      <c r="K50" s="15" t="n"/>
      <c r="L50" s="15" t="n"/>
      <c r="M50" s="16" t="n"/>
      <c r="N50" s="17" t="n"/>
      <c r="O50" s="17" t="n"/>
      <c r="P50" s="15" t="n"/>
    </row>
    <row r="51">
      <c r="A51" s="11" t="n">
        <v>2</v>
      </c>
      <c r="B51" s="11" t="inlineStr">
        <is>
          <t>2.37</t>
        </is>
      </c>
      <c r="C51" s="12" t="inlineStr">
        <is>
          <t>Leave the studio as you found it</t>
        </is>
      </c>
      <c r="D51" s="12" t="inlineStr">
        <is>
          <t>Company</t>
        </is>
      </c>
      <c r="E51" s="13" t="inlineStr">
        <is>
          <t>Leave Kavya out and remove the test company</t>
        </is>
      </c>
      <c r="F51" s="14" t="inlineStr">
        <is>
          <t>1. Company › "Members": click "Deactivate" on Kavya, then "Deactivate" in the box
2. Company › "Profile": click the bin on Demo Studio Carpentry Pte Ltd
3. Click "Save changes"
4. Open Settings › "Studio"</t>
        </is>
      </c>
      <c r="G51" s="14" t="inlineStr">
        <is>
          <t>Studio lists one entity, Demo Studio Pte Ltd; the Team card's "Deactivated" line names Kavya Menon, out of every picker.</t>
        </is>
      </c>
      <c r="H51" s="12" t="inlineStr">
        <is>
          <t>Same as 1.0</t>
        </is>
      </c>
      <c r="I51" s="11" t="inlineStr">
        <is>
          <t>Dane</t>
        </is>
      </c>
      <c r="J51" s="15" t="n"/>
      <c r="K51" s="15" t="n"/>
      <c r="L51" s="15" t="n"/>
      <c r="M51" s="16" t="n"/>
      <c r="N51" s="17" t="n"/>
      <c r="O51" s="17" t="n"/>
      <c r="P51" s="15" t="n"/>
    </row>
    <row r="52" ht="22" customHeight="1">
      <c r="A52" s="9" t="inlineStr">
        <is>
          <t>Chapter 3 · Build your library — Price book, templates and the question bank.</t>
        </is>
      </c>
      <c r="M52" s="10" t="n"/>
    </row>
    <row r="53">
      <c r="A53" s="11" t="n">
        <v>3</v>
      </c>
      <c r="B53" s="11" t="inlineStr">
        <is>
          <t>3.01</t>
        </is>
      </c>
      <c r="C53" s="12" t="inlineStr">
        <is>
          <t>Open the price book</t>
        </is>
      </c>
      <c r="D53" s="12" t="inlineStr">
        <is>
          <t>Price book</t>
        </is>
      </c>
      <c r="E53" s="13" t="inlineStr">
        <is>
          <t>Open the studio's price book</t>
        </is>
      </c>
      <c r="F53" s="14" t="inlineStr">
        <is>
          <t>1. Click "Company" in the side navigation
2. Click "Price book"</t>
        </is>
      </c>
      <c r="G53" s="14" t="inlineStr">
        <is>
          <t>"Price book" opens on "My Items": the "Wet works" and "Kitchen" folders, item cards with unit prices, a "1 proposed" chip and "Kind: All".</t>
        </is>
      </c>
      <c r="H53" s="12" t="inlineStr">
        <is>
          <t>Different from 1.0: under Company, not Accounts</t>
        </is>
      </c>
      <c r="I53" s="11" t="inlineStr">
        <is>
          <t>Dane</t>
        </is>
      </c>
      <c r="J53" s="15" t="n"/>
      <c r="K53" s="15" t="n"/>
      <c r="L53" s="15" t="n"/>
      <c r="M53" s="16" t="n"/>
      <c r="N53" s="17" t="n"/>
      <c r="O53" s="17" t="n"/>
      <c r="P53" s="15" t="n"/>
    </row>
    <row r="54">
      <c r="A54" s="11" t="n">
        <v>3</v>
      </c>
      <c r="B54" s="11" t="inlineStr">
        <is>
          <t>3.02</t>
        </is>
      </c>
      <c r="C54" s="12" t="inlineStr">
        <is>
          <t>Open the price book</t>
        </is>
      </c>
      <c r="D54" s="12" t="inlineStr">
        <is>
          <t>Price book</t>
        </is>
      </c>
      <c r="E54" s="13" t="inlineStr">
        <is>
          <t>See one product from two suppliers</t>
        </is>
      </c>
      <c r="F54" s="14" t="inlineStr">
        <is>
          <t>1. Click the "Wet works" folder
2. Look at the two "Homogeneous tiles 600×600, supply and lay" cards
3. Click "My Items" in the path at the top to go back</t>
        </is>
      </c>
      <c r="G54" s="14" t="inlineStr">
        <is>
          <t>The same tile shows twice — "by Hafary" and "by Soon Bee Huat", each S$11.00 / sqft: one item per supplier.</t>
        </is>
      </c>
      <c r="H54" s="12" t="inlineStr">
        <is>
          <t>Different from 1.0: one vendor per item, not several</t>
        </is>
      </c>
      <c r="I54" s="11" t="inlineStr">
        <is>
          <t>Dane</t>
        </is>
      </c>
      <c r="J54" s="15" t="n"/>
      <c r="K54" s="15" t="n"/>
      <c r="L54" s="15" t="n"/>
      <c r="M54" s="16" t="n"/>
      <c r="N54" s="17" t="n"/>
      <c r="O54" s="17" t="n"/>
      <c r="P54" s="15" t="n"/>
    </row>
    <row r="55">
      <c r="A55" s="11" t="n">
        <v>3</v>
      </c>
      <c r="B55" s="11" t="inlineStr">
        <is>
          <t>3.03</t>
        </is>
      </c>
      <c r="C55" s="12" t="inlineStr">
        <is>
          <t>Add the fluted panel</t>
        </is>
      </c>
      <c r="D55" s="12" t="inlineStr">
        <is>
          <t>Price book</t>
        </is>
      </c>
      <c r="E55" s="13" t="inlineStr">
        <is>
          <t>Add a new item with a price in cents</t>
        </is>
      </c>
      <c r="F55" s="14" t="inlineStr">
        <is>
          <t>1. Click "New" › "New item"
2. "Item name": Fluted feature wall panel · "Description": Oak veneer fluted panel, 20 mm slats, supply and install
3. "Kind": Purchase · "Unit": sqft
4. "Cost (S$)": 28.50 · "Markup (S$)": 11.50</t>
        </is>
      </c>
      <c r="G55" s="14" t="inlineStr">
        <is>
          <t>Under Markup it reads "Unit price S$40.00" — the cents are kept exactly as typed.</t>
        </is>
      </c>
      <c r="H55" s="12" t="inlineStr">
        <is>
          <t>Different from 1.0: markup in S$, not a percentage</t>
        </is>
      </c>
      <c r="I55" s="11" t="inlineStr">
        <is>
          <t>Dane</t>
        </is>
      </c>
      <c r="J55" s="15" t="n"/>
      <c r="K55" s="15" t="n"/>
      <c r="L55" s="15" t="n"/>
      <c r="M55" s="16" t="n"/>
      <c r="N55" s="17" t="n"/>
      <c r="O55" s="17" t="n"/>
      <c r="P55" s="15" t="n"/>
    </row>
    <row r="56">
      <c r="A56" s="11" t="n">
        <v>3</v>
      </c>
      <c r="B56" s="11" t="inlineStr">
        <is>
          <t>3.04</t>
        </is>
      </c>
      <c r="C56" s="12" t="inlineStr">
        <is>
          <t>Add the fluted panel</t>
        </is>
      </c>
      <c r="D56" s="12" t="inlineStr">
        <is>
          <t>Price book</t>
        </is>
      </c>
      <c r="E56" s="13" t="inlineStr">
        <is>
          <t>Give it a trade, a supplier and a product link</t>
        </is>
      </c>
      <c r="F56" s="14" t="inlineStr">
        <is>
          <t>1. "Category": pick Carpentry (the list is the studio's trades)
2. "Vendor": Timber Craft
3. "Website link": www.example.com/fluted-panel
4. Click "Add to My Items"</t>
        </is>
      </c>
      <c r="G56" s="14" t="inlineStr">
        <is>
          <t>A message says "Fluted feature wall panel added to My Items"; its card reads "by Timber Craft · S$40.00 / sqft · Carpentry".</t>
        </is>
      </c>
      <c r="H56" s="12" t="inlineStr">
        <is>
          <t>Same as 1.0</t>
        </is>
      </c>
      <c r="I56" s="11" t="inlineStr">
        <is>
          <t>Dane</t>
        </is>
      </c>
      <c r="J56" s="15" t="n"/>
      <c r="K56" s="15" t="n"/>
      <c r="L56" s="15" t="n"/>
      <c r="M56" s="16" t="n"/>
      <c r="N56" s="17" t="n"/>
      <c r="O56" s="17" t="n"/>
      <c r="P56" s="15" t="n"/>
    </row>
    <row r="57">
      <c r="A57" s="11" t="n">
        <v>3</v>
      </c>
      <c r="B57" s="11" t="inlineStr">
        <is>
          <t>3.05</t>
        </is>
      </c>
      <c r="C57" s="12" t="inlineStr">
        <is>
          <t>Add the fluted panel</t>
        </is>
      </c>
      <c r="D57" s="12" t="inlineStr">
        <is>
          <t>Price book</t>
        </is>
      </c>
      <c r="E57" s="13" t="inlineStr">
        <is>
          <t>Add a photo of the panel</t>
        </is>
      </c>
      <c r="F57" s="14" t="inlineStr">
        <is>
          <t>1. Click the "Fluted feature wall panel" card
2. In "Edit item", click the "Photo" box and pick fluted-panel.jpg
3. Click "Save"</t>
        </is>
      </c>
      <c r="G57" s="14" t="inlineStr">
        <is>
          <t>A message says "Item saved" and the card now shows your photo instead of the cart icon.</t>
        </is>
      </c>
      <c r="H57" s="12" t="inlineStr">
        <is>
          <t>Same as 1.0</t>
        </is>
      </c>
      <c r="I57" s="11" t="inlineStr">
        <is>
          <t>Dane</t>
        </is>
      </c>
      <c r="J57" s="15" t="n"/>
      <c r="K57" s="15" t="n"/>
      <c r="L57" s="15" t="n"/>
      <c r="M57" s="16" t="n"/>
      <c r="N57" s="17" t="n"/>
      <c r="O57" s="17" t="n"/>
      <c r="P57" s="15" t="n"/>
    </row>
    <row r="58">
      <c r="A58" s="11" t="n">
        <v>3</v>
      </c>
      <c r="B58" s="11" t="inlineStr">
        <is>
          <t>3.06</t>
        </is>
      </c>
      <c r="C58" s="12" t="inlineStr">
        <is>
          <t>Add the fluted panel</t>
        </is>
      </c>
      <c r="D58" s="12" t="inlineStr">
        <is>
          <t>Price book</t>
        </is>
      </c>
      <c r="E58" s="13" t="inlineStr">
        <is>
          <t>Change its cost and read the item's history</t>
        </is>
      </c>
      <c r="F58" s="14" t="inlineStr">
        <is>
          <t>1. Open the fluted panel again
2. "Cost (S$)": 30.50, then click "Save"
3. Open it once more and scroll down to "History"</t>
        </is>
      </c>
      <c r="G58" s="14" t="inlineStr">
        <is>
          <t>History lists "Added by Dane" and two "Changed by Dane" entries — "Photo added" and "Cost S$28.50 → S$30.50". Unit price is now S$42.00.</t>
        </is>
      </c>
      <c r="H58" s="12" t="inlineStr">
        <is>
          <t>Different from 1.0: every change kept, before → after</t>
        </is>
      </c>
      <c r="I58" s="11" t="inlineStr">
        <is>
          <t>Dane</t>
        </is>
      </c>
      <c r="J58" s="15" t="n"/>
      <c r="K58" s="15" t="n"/>
      <c r="L58" s="15" t="n"/>
      <c r="M58" s="16" t="n"/>
      <c r="N58" s="17" t="n"/>
      <c r="O58" s="17" t="n"/>
      <c r="P58" s="15" t="n"/>
    </row>
    <row r="59">
      <c r="A59" s="11" t="n">
        <v>3</v>
      </c>
      <c r="B59" s="11" t="inlineStr">
        <is>
          <t>3.07</t>
        </is>
      </c>
      <c r="C59" s="12" t="inlineStr">
        <is>
          <t>Find, sort and change many</t>
        </is>
      </c>
      <c r="D59" s="12" t="inlineStr">
        <is>
          <t>Price book</t>
        </is>
      </c>
      <c r="E59" s="13" t="inlineStr">
        <is>
          <t>Sort the list by price</t>
        </is>
      </c>
      <c r="F59" s="14" t="inlineStr">
        <is>
          <t>1. Click "List view" (the list icon, top right)
2. Click the "Unit price" column heading
3. Click it again</t>
        </is>
      </c>
      <c r="G59" s="14" t="inlineStr">
        <is>
          <t>Items sort cheapest first with an up arrow, then dearest first with a down arrow.</t>
        </is>
      </c>
      <c r="H59" s="12" t="inlineStr">
        <is>
          <t>Same as 1.0</t>
        </is>
      </c>
      <c r="I59" s="11" t="inlineStr">
        <is>
          <t>Dane</t>
        </is>
      </c>
      <c r="J59" s="15" t="n"/>
      <c r="K59" s="15" t="n"/>
      <c r="L59" s="15" t="n"/>
      <c r="M59" s="16" t="n"/>
      <c r="N59" s="17" t="n"/>
      <c r="O59" s="17" t="n"/>
      <c r="P59" s="15" t="n"/>
    </row>
    <row r="60">
      <c r="A60" s="11" t="n">
        <v>3</v>
      </c>
      <c r="B60" s="11" t="inlineStr">
        <is>
          <t>3.08</t>
        </is>
      </c>
      <c r="C60" s="12" t="inlineStr">
        <is>
          <t>Find, sort and change many</t>
        </is>
      </c>
      <c r="D60" s="12" t="inlineStr">
        <is>
          <t>Price book</t>
        </is>
      </c>
      <c r="E60" s="13" t="inlineStr">
        <is>
          <t>Show only one trade's items</t>
        </is>
      </c>
      <c r="F60" s="14" t="inlineStr">
        <is>
          <t>1. Click "Filters" (the funnel icon)
2. "Category": Tiling, then click "Done"
3. When checked, open "Filters" again and click "Clear All"</t>
        </is>
      </c>
      <c r="G60" s="14" t="inlineStr">
        <is>
          <t>Only the two Homogeneous tiles items show, each marked with its folder "Wet works"; "Clear All" brings every item back.</t>
        </is>
      </c>
      <c r="H60" s="12" t="inlineStr">
        <is>
          <t>Different from 1.0: a category filter, not grouped lists</t>
        </is>
      </c>
      <c r="I60" s="11" t="inlineStr">
        <is>
          <t>Dane</t>
        </is>
      </c>
      <c r="J60" s="15" t="n"/>
      <c r="K60" s="15" t="n"/>
      <c r="L60" s="15" t="n"/>
      <c r="M60" s="16" t="n"/>
      <c r="N60" s="17" t="n"/>
      <c r="O60" s="17" t="n"/>
      <c r="P60" s="15" t="n"/>
    </row>
    <row r="61">
      <c r="A61" s="11" t="n">
        <v>3</v>
      </c>
      <c r="B61" s="11" t="inlineStr">
        <is>
          <t>3.09</t>
        </is>
      </c>
      <c r="C61" s="12" t="inlineStr">
        <is>
          <t>Find, sort and change many</t>
        </is>
      </c>
      <c r="D61" s="12" t="inlineStr">
        <is>
          <t>Price book</t>
        </is>
      </c>
      <c r="E61" s="13" t="inlineStr">
        <is>
          <t>Look at an item a designer proposed</t>
        </is>
      </c>
      <c r="F61" s="14" t="inlineStr">
        <is>
          <t>1. Click the "1 proposed" chip at the top
2. Click "Skirting, PVC 80 mm"
3. Read the bar at the top, then click "Cancel"
4. Click "1 proposed" again to see every item</t>
        </is>
      </c>
      <c r="G61" s="14" t="inlineStr">
        <is>
          <t>The bar says Sarah proposed it and only their quotes use it until approved; "Send back…" and "Approve" wait for chapter 10.</t>
        </is>
      </c>
      <c r="H61" s="12" t="inlineStr">
        <is>
          <t>Different from 1.0: not used studio-wide until approved</t>
        </is>
      </c>
      <c r="I61" s="11" t="inlineStr">
        <is>
          <t>Dane</t>
        </is>
      </c>
      <c r="J61" s="15" t="n"/>
      <c r="K61" s="15" t="n"/>
      <c r="L61" s="15" t="n"/>
      <c r="M61" s="16" t="n"/>
      <c r="N61" s="17" t="n"/>
      <c r="O61" s="17" t="n"/>
      <c r="P61" s="15" t="n"/>
    </row>
    <row r="62">
      <c r="A62" s="11" t="n">
        <v>3</v>
      </c>
      <c r="B62" s="11" t="inlineStr">
        <is>
          <t>3.10</t>
        </is>
      </c>
      <c r="C62" s="12" t="inlineStr">
        <is>
          <t>Find, sort and change many</t>
        </is>
      </c>
      <c r="D62" s="12" t="inlineStr">
        <is>
          <t>Price book</t>
        </is>
      </c>
      <c r="E62" s="13" t="inlineStr">
        <is>
          <t>Re-price two items at once, then undo</t>
        </is>
      </c>
      <c r="F62" s="14" t="inlineStr">
        <is>
          <t>1. Tick "Vinyl flooring, supply and install" and "Electrical point, new"
2. In the bar at the bottom, click "Set markup"
3. "Markup (% of cost)": 30, then click "Apply to 2 items"
4. On the message "2 items changed", click "Undo" straight away</t>
        </is>
      </c>
      <c r="G62" s="14" t="inlineStr">
        <is>
          <t>Unit prices change to S$7.15 and S$71.50, then Undo puts them back to S$7.00 and S$70.00.</t>
        </is>
      </c>
      <c r="H62" s="12" t="inlineStr">
        <is>
          <t>Different from 1.0: a markup % re-prices the items</t>
        </is>
      </c>
      <c r="I62" s="11" t="inlineStr">
        <is>
          <t>Dane</t>
        </is>
      </c>
      <c r="J62" s="15" t="n"/>
      <c r="K62" s="15" t="n"/>
      <c r="L62" s="15" t="n"/>
      <c r="M62" s="16" t="n"/>
      <c r="N62" s="17" t="n"/>
      <c r="O62" s="17" t="n"/>
      <c r="P62" s="15" t="n"/>
    </row>
    <row r="63">
      <c r="A63" s="11" t="n">
        <v>3</v>
      </c>
      <c r="B63" s="11" t="inlineStr">
        <is>
          <t>3.11</t>
        </is>
      </c>
      <c r="C63" s="12" t="inlineStr">
        <is>
          <t>Import and export</t>
        </is>
      </c>
      <c r="D63" s="12" t="inlineStr">
        <is>
          <t>Price book</t>
        </is>
      </c>
      <c r="E63" s="13" t="inlineStr">
        <is>
          <t>Export My Items to a spreadsheet</t>
        </is>
      </c>
      <c r="F63" s="14" t="inlineStr">
        <is>
          <t>1. Click the ⋮ menu ("More options", top right)
2. Click "Export My Items…"
3. Keep "All items" and "Choose file format": CSV
4. Click "Export"</t>
        </is>
      </c>
      <c r="G63" s="14" t="inlineStr">
        <is>
          <t>my-items.csv downloads and a message says how many items were exported as CSV; the file has an Item column with every name.</t>
        </is>
      </c>
      <c r="H63" s="12" t="inlineStr">
        <is>
          <t>Different from 1.0: live items only, with their names</t>
        </is>
      </c>
      <c r="I63" s="11" t="inlineStr">
        <is>
          <t>Dane</t>
        </is>
      </c>
      <c r="J63" s="15" t="n"/>
      <c r="K63" s="15" t="n"/>
      <c r="L63" s="15" t="n"/>
      <c r="M63" s="16" t="n"/>
      <c r="N63" s="17" t="n"/>
      <c r="O63" s="17" t="n"/>
      <c r="P63" s="15" t="n"/>
    </row>
    <row r="64">
      <c r="A64" s="11" t="n">
        <v>3</v>
      </c>
      <c r="B64" s="11" t="inlineStr">
        <is>
          <t>3.12</t>
        </is>
      </c>
      <c r="C64" s="12" t="inlineStr">
        <is>
          <t>Import and export</t>
        </is>
      </c>
      <c r="D64" s="12" t="inlineStr">
        <is>
          <t>Price book</t>
        </is>
      </c>
      <c r="E64" s="13" t="inlineStr">
        <is>
          <t>Import a supplier's price list</t>
        </is>
      </c>
      <c r="F64" s="14" t="inlineStr">
        <is>
          <t>1. Click "New" › "Import from a spreadsheet…"
2. Drop supplier-price-list.csv on the box (or click "browse")
3. In "Import into My Items", read the "In My Items" column and the notes below</t>
        </is>
      </c>
      <c r="G64" s="14" t="inlineStr">
        <is>
          <t>Rows read New · Updates its price · New · Repeats — skipped; notes name the match, the repeat and new trade "Glass &amp; Mirror".</t>
        </is>
      </c>
      <c r="H64" s="12" t="inlineStr">
        <is>
          <t>Different from 1.0: matches existing items; no PDF reading</t>
        </is>
      </c>
      <c r="I64" s="11" t="inlineStr">
        <is>
          <t>Dane</t>
        </is>
      </c>
      <c r="J64" s="15" t="n"/>
      <c r="K64" s="15" t="n"/>
      <c r="L64" s="15" t="n"/>
      <c r="M64" s="16" t="n"/>
      <c r="N64" s="17" t="n"/>
      <c r="O64" s="17" t="n"/>
      <c r="P64" s="15" t="n"/>
    </row>
    <row r="65">
      <c r="A65" s="11" t="n">
        <v>3</v>
      </c>
      <c r="B65" s="11" t="inlineStr">
        <is>
          <t>3.13</t>
        </is>
      </c>
      <c r="C65" s="12" t="inlineStr">
        <is>
          <t>Import and export</t>
        </is>
      </c>
      <c r="D65" s="12" t="inlineStr">
        <is>
          <t>Price book</t>
        </is>
      </c>
      <c r="E65" s="13" t="inlineStr">
        <is>
          <t>Finish the import</t>
        </is>
      </c>
      <c r="F65" s="14" t="inlineStr">
        <is>
          <t>1. Keep "Rows that match" on "Update the price"
2. Click "Import 3 rows"</t>
        </is>
      </c>
      <c r="G65" s="14" t="inlineStr">
        <is>
          <t>A message says "2 items added · 1 updated · 1 skipped"; the shower screen and wallpaper join My Items and Vinyl flooring becomes S$7.30.</t>
        </is>
      </c>
      <c r="H65" s="12" t="inlineStr">
        <is>
          <t>Different from 1.0: repeats skipped, matches updated, no duplicates</t>
        </is>
      </c>
      <c r="I65" s="11" t="inlineStr">
        <is>
          <t>Dane</t>
        </is>
      </c>
      <c r="J65" s="15" t="n"/>
      <c r="K65" s="15" t="n"/>
      <c r="L65" s="15" t="n"/>
      <c r="M65" s="16" t="n"/>
      <c r="N65" s="17" t="n"/>
      <c r="O65" s="17" t="n"/>
      <c r="P65" s="15" t="n"/>
    </row>
    <row r="66">
      <c r="A66" s="11" t="n">
        <v>3</v>
      </c>
      <c r="B66" s="11" t="inlineStr">
        <is>
          <t>3.14</t>
        </is>
      </c>
      <c r="C66" s="12" t="inlineStr">
        <is>
          <t>Delete safely, save a section</t>
        </is>
      </c>
      <c r="D66" s="12" t="inlineStr">
        <is>
          <t>Price book</t>
        </is>
      </c>
      <c r="E66" s="13" t="inlineStr">
        <is>
          <t>Delete an item that quotes already use</t>
        </is>
      </c>
      <c r="F66" s="14" t="inlineStr">
        <is>
          <t>1. Point at "Electrical point, new" and open its ⋮ menu › "Delete"
2. Read the warning, then click "Delete" (don't press Undo)</t>
        </is>
      </c>
      <c r="G66" s="14" t="inlineStr">
        <is>
          <t>The warning says the quotes already carrying it keep the line and it can be restored from Deleted Items; the item leaves the list.</t>
        </is>
      </c>
      <c r="H66" s="12" t="inlineStr">
        <is>
          <t>Different from 1.0: deleted items can be restored</t>
        </is>
      </c>
      <c r="I66" s="11" t="inlineStr">
        <is>
          <t>Dane</t>
        </is>
      </c>
      <c r="J66" s="15" t="n"/>
      <c r="K66" s="15" t="n"/>
      <c r="L66" s="15" t="n"/>
      <c r="M66" s="16" t="n"/>
      <c r="N66" s="17" t="n"/>
      <c r="O66" s="17" t="n"/>
      <c r="P66" s="15" t="n"/>
    </row>
    <row r="67">
      <c r="A67" s="11" t="n">
        <v>3</v>
      </c>
      <c r="B67" s="11" t="inlineStr">
        <is>
          <t>3.15</t>
        </is>
      </c>
      <c r="C67" s="12" t="inlineStr">
        <is>
          <t>Delete safely, save a section</t>
        </is>
      </c>
      <c r="D67" s="12" t="inlineStr">
        <is>
          <t>Price book</t>
        </is>
      </c>
      <c r="E67" s="13" t="inlineStr">
        <is>
          <t>Bring the deleted item back</t>
        </is>
      </c>
      <c r="F67" s="14" t="inlineStr">
        <is>
          <t>1. Click the ⋮ menu ("More options", top right) › "Deleted Items · 1"
2. Point at "Delete Forever" on Electrical point, new
3. Click "Restore"</t>
        </is>
      </c>
      <c r="G67" s="14" t="inlineStr">
        <is>
          <t>"Delete Forever" is greyed out — it is on quotes, restore it instead — and "Restore" puts the item back in My Items.</t>
        </is>
      </c>
      <c r="H67" s="12" t="inlineStr">
        <is>
          <t>Different from 1.0: items on quotes can't be deleted forever</t>
        </is>
      </c>
      <c r="I67" s="11" t="inlineStr">
        <is>
          <t>Dane</t>
        </is>
      </c>
      <c r="J67" s="15" t="n"/>
      <c r="K67" s="15" t="n"/>
      <c r="L67" s="15" t="n"/>
      <c r="M67" s="16" t="n"/>
      <c r="N67" s="17" t="n"/>
      <c r="O67" s="17" t="n"/>
      <c r="P67" s="15" t="n"/>
    </row>
    <row r="68">
      <c r="A68" s="11" t="n">
        <v>3</v>
      </c>
      <c r="B68" s="11" t="inlineStr">
        <is>
          <t>3.16</t>
        </is>
      </c>
      <c r="C68" s="12" t="inlineStr">
        <is>
          <t>Delete safely, save a section</t>
        </is>
      </c>
      <c r="D68" s="12" t="inlineStr">
        <is>
          <t>Price book</t>
        </is>
      </c>
      <c r="E68" s="13" t="inlineStr">
        <is>
          <t>Save a whole section for future quotes</t>
        </is>
      </c>
      <c r="F68" s="14" t="inlineStr">
        <is>
          <t>1. Click the "My Sections" tab, then "New" › "New section"
2. "Section name": Feature wall package · "Property type": HDB 4-Room · "Tags": Feature wall, Living room
3. Click "Add an item" twice: Fluted feature wall panel, 60, sqft, 42.00 · LED strip light, 1, set, 280.00 (Item · Qty · Unit · Unit price)
4. Click "Save"</t>
        </is>
      </c>
      <c r="G68" s="14" t="inlineStr">
        <is>
          <t>A message says "Feature wall package added to My Sections"; its card reads "2 items · S$2,800.00 · HDB 4-Room".</t>
        </is>
      </c>
      <c r="H68" s="12" t="inlineStr">
        <is>
          <t>Different from 1.0: Packages are now My Sections</t>
        </is>
      </c>
      <c r="I68" s="11" t="inlineStr">
        <is>
          <t>Dane</t>
        </is>
      </c>
      <c r="J68" s="15" t="n"/>
      <c r="K68" s="15" t="n"/>
      <c r="L68" s="15" t="n"/>
      <c r="M68" s="16" t="n"/>
      <c r="N68" s="17" t="n"/>
      <c r="O68" s="17" t="n"/>
      <c r="P68" s="15" t="n"/>
    </row>
    <row r="69">
      <c r="A69" s="11" t="n">
        <v>3</v>
      </c>
      <c r="B69" s="11" t="inlineStr">
        <is>
          <t>3.17</t>
        </is>
      </c>
      <c r="C69" s="12" t="inlineStr">
        <is>
          <t>The template libraries</t>
        </is>
      </c>
      <c r="D69" s="12" t="inlineStr">
        <is>
          <t>Templates</t>
        </is>
      </c>
      <c r="E69" s="13" t="inlineStr">
        <is>
          <t>Open the studio's templates</t>
        </is>
      </c>
      <c r="F69" s="14" t="inlineStr">
        <is>
          <t>1. Click "Company" › "Templates"</t>
        </is>
      </c>
      <c r="G69" s="14" t="inlineStr">
        <is>
          <t>It opens on "Quotes": "Default Quote PDF" with a "Default" chip, the "HDB" and "Show flats" folders, and a "1 awaiting approval" chip.</t>
        </is>
      </c>
      <c r="H69" s="12" t="inlineStr">
        <is>
          <t>Different from 1.0: Company › Templates, with drafts and versions</t>
        </is>
      </c>
      <c r="I69" s="11" t="inlineStr">
        <is>
          <t>Dane</t>
        </is>
      </c>
      <c r="J69" s="15" t="n"/>
      <c r="K69" s="15" t="n"/>
      <c r="L69" s="15" t="n"/>
      <c r="M69" s="16" t="n"/>
      <c r="N69" s="17" t="n"/>
      <c r="O69" s="17" t="n"/>
      <c r="P69" s="15" t="n"/>
    </row>
    <row r="70">
      <c r="A70" s="11" t="n">
        <v>3</v>
      </c>
      <c r="B70" s="11" t="inlineStr">
        <is>
          <t>3.18</t>
        </is>
      </c>
      <c r="C70" s="12" t="inlineStr">
        <is>
          <t>The template libraries</t>
        </is>
      </c>
      <c r="D70" s="12" t="inlineStr">
        <is>
          <t>Templates</t>
        </is>
      </c>
      <c r="E70" s="13" t="inlineStr">
        <is>
          <t>Make a 40/60 payment split</t>
        </is>
      </c>
      <c r="F70" s="14" t="inlineStr">
        <is>
          <t>1. Click the "Payments" tab › "New" › "Blank split"
2. Click the name "Untitled split" and type 40/60
3. Change the first "Share (%)" to 40 and read the line beside "Total"
4. Change the second to 60, then click "Done"</t>
        </is>
      </c>
      <c r="G70" s="14" t="inlineStr">
        <is>
          <t>At 90% it warns "10% short — the last payment will not close the quote"; at 100% it reads "Adds up to the quote".</t>
        </is>
      </c>
      <c r="H70" s="12" t="inlineStr">
        <is>
          <t>Same as 1.0</t>
        </is>
      </c>
      <c r="I70" s="11" t="inlineStr">
        <is>
          <t>Dane</t>
        </is>
      </c>
      <c r="J70" s="15" t="n"/>
      <c r="K70" s="15" t="n"/>
      <c r="L70" s="15" t="n"/>
      <c r="M70" s="16" t="n"/>
      <c r="N70" s="17" t="n"/>
      <c r="O70" s="17" t="n"/>
      <c r="P70" s="15" t="n"/>
    </row>
    <row r="71">
      <c r="A71" s="11" t="n">
        <v>3</v>
      </c>
      <c r="B71" s="11" t="inlineStr">
        <is>
          <t>3.19</t>
        </is>
      </c>
      <c r="C71" s="12" t="inlineStr">
        <is>
          <t>The template libraries</t>
        </is>
      </c>
      <c r="D71" s="12" t="inlineStr">
        <is>
          <t>Templates</t>
        </is>
      </c>
      <c r="E71" s="13" t="inlineStr">
        <is>
          <t>Write a reusable site-protection note</t>
        </is>
      </c>
      <c r="F71" s="14" t="inlineStr">
        <is>
          <t>1. Click the "T&amp;Cs &amp; Notes" tab › "New" › "Additional Notes"
2. Rename "Untitled template" to Site protection
3. In the text, type: Floors and lifts are protected before works start by — then "Insert Token" › "Studio Name"
4. Click "Done"</t>
        </is>
      </c>
      <c r="G71" s="14" t="inlineStr">
        <is>
          <t>The text ends with [Studio Name], filled in on each quote; the gallery shows "Site protection" with a "Notes" chip.</t>
        </is>
      </c>
      <c r="H71" s="12" t="inlineStr">
        <is>
          <t>Different from 1.0: [bracket] tokens, one library for both</t>
        </is>
      </c>
      <c r="I71" s="11" t="inlineStr">
        <is>
          <t>Dane</t>
        </is>
      </c>
      <c r="J71" s="15" t="n"/>
      <c r="K71" s="15" t="n"/>
      <c r="L71" s="15" t="n"/>
      <c r="M71" s="16" t="n"/>
      <c r="N71" s="17" t="n"/>
      <c r="O71" s="17" t="n"/>
      <c r="P71" s="15" t="n"/>
    </row>
    <row r="72">
      <c r="A72" s="11" t="n">
        <v>3</v>
      </c>
      <c r="B72" s="11" t="inlineStr">
        <is>
          <t>3.20</t>
        </is>
      </c>
      <c r="C72" s="12" t="inlineStr">
        <is>
          <t>The template libraries</t>
        </is>
      </c>
      <c r="D72" s="12" t="inlineStr">
        <is>
          <t>Templates</t>
        </is>
      </c>
      <c r="E72" s="13" t="inlineStr">
        <is>
          <t>Save a site-visit checklist as a task template</t>
        </is>
      </c>
      <c r="F72" s="14" t="inlineStr">
        <is>
          <t>1. Click the "Tasks" tab › "New" › "Blank template"; name it Site visit checklist
2. Change "First step" to Measure the site; "Due in (days)": 1
3. Click "Add a step": Photograph the existing condition; "Due in (days)": 1
4. Click "Done"</t>
        </is>
      </c>
      <c r="G72" s="14" t="inlineStr">
        <is>
          <t>Its card reads "2 steps · keeps members · descriptions" with a "Due dates" chip, ready for any lead's Tasks tab.</t>
        </is>
      </c>
      <c r="H72" s="12" t="inlineStr">
        <is>
          <t>New in 2.0</t>
        </is>
      </c>
      <c r="I72" s="11" t="inlineStr">
        <is>
          <t>Dane</t>
        </is>
      </c>
      <c r="J72" s="15" t="n"/>
      <c r="K72" s="15" t="n"/>
      <c r="L72" s="15" t="n"/>
      <c r="M72" s="16" t="n"/>
      <c r="N72" s="17" t="n"/>
      <c r="O72" s="17" t="n"/>
      <c r="P72" s="15" t="n"/>
    </row>
    <row r="73">
      <c r="A73" s="11" t="n">
        <v>3</v>
      </c>
      <c r="B73" s="11" t="inlineStr">
        <is>
          <t>3.21</t>
        </is>
      </c>
      <c r="C73" s="12" t="inlineStr">
        <is>
          <t>Contract templates</t>
        </is>
      </c>
      <c r="D73" s="12" t="inlineStr">
        <is>
          <t>Templates</t>
        </is>
      </c>
      <c r="E73" s="13" t="inlineStr">
        <is>
          <t>Start a contract template from the studio agreement</t>
        </is>
      </c>
      <c r="F73" s="14" t="inlineStr">
        <is>
          <t>1. Click the "Contracts" tab › "New" › "From the studio agreement"
2. Click the title and rename it Renovation Agreement (HDB)
3. Click "eSignatures" and look under "Before the client signs"
4. Close the panel and click "Done"</t>
        </is>
      </c>
      <c r="G73" s="14" t="inlineStr">
        <is>
          <t>"Read to the end" and "Tick to accept" are already on for a new template; the gallery now lists "Renovation Agreement (HDB)".</t>
        </is>
      </c>
      <c r="H73" s="12" t="inlineStr">
        <is>
          <t>Different from 1.0: read-and-accept set on the template</t>
        </is>
      </c>
      <c r="I73" s="11" t="inlineStr">
        <is>
          <t>Dane</t>
        </is>
      </c>
      <c r="J73" s="15" t="n"/>
      <c r="K73" s="15" t="n"/>
      <c r="L73" s="15" t="n"/>
      <c r="M73" s="16" t="n"/>
      <c r="N73" s="17" t="n"/>
      <c r="O73" s="17" t="n"/>
      <c r="P73" s="15" t="n"/>
    </row>
    <row r="74">
      <c r="A74" s="11" t="n">
        <v>3</v>
      </c>
      <c r="B74" s="11" t="inlineStr">
        <is>
          <t>3.22</t>
        </is>
      </c>
      <c r="C74" s="12" t="inlineStr">
        <is>
          <t>Contract templates</t>
        </is>
      </c>
      <c r="D74" s="12" t="inlineStr">
        <is>
          <t>Templates</t>
        </is>
      </c>
      <c r="E74" s="13" t="inlineStr">
        <is>
          <t>Make the studio agreement the default contract</t>
        </is>
      </c>
      <c r="F74" s="14" t="inlineStr">
        <is>
          <t>1. On the "Contracts" tab, open the "Agreements" folder
2. On "Interior Design Service Agreement", open the ⋮ menu › "Set as default"</t>
        </is>
      </c>
      <c r="G74" s="14" t="inlineStr">
        <is>
          <t>A message says it is the default contract template and its card carries a "Default" chip.</t>
        </is>
      </c>
      <c r="H74" s="12" t="inlineStr">
        <is>
          <t>Same as 1.0</t>
        </is>
      </c>
      <c r="I74" s="11" t="inlineStr">
        <is>
          <t>Dane</t>
        </is>
      </c>
      <c r="J74" s="15" t="n"/>
      <c r="K74" s="15" t="n"/>
      <c r="L74" s="15" t="n"/>
      <c r="M74" s="16" t="n"/>
      <c r="N74" s="17" t="n"/>
      <c r="O74" s="17" t="n"/>
      <c r="P74" s="15" t="n"/>
    </row>
    <row r="75">
      <c r="A75" s="11" t="n">
        <v>3</v>
      </c>
      <c r="B75" s="11" t="inlineStr">
        <is>
          <t>3.23</t>
        </is>
      </c>
      <c r="C75" s="12" t="inlineStr">
        <is>
          <t>Build a quote template</t>
        </is>
      </c>
      <c r="D75" s="12" t="inlineStr">
        <is>
          <t>Templates</t>
        </is>
      </c>
      <c r="E75" s="13" t="inlineStr">
        <is>
          <t>Start a quote template from a ready-made design</t>
        </is>
      </c>
      <c r="F75" s="14" t="inlineStr">
        <is>
          <t>1. Click the "Quotes" tab › "New" › "Use a ready-made design"
2. Click the "Presentation" card ("Preview" shows its pages; "Back" returns)
3. "Template name": Studio Presentation, then click "Create template"
4. Click "Got it" on the tip bar</t>
        </is>
      </c>
      <c r="G75" s="14" t="inlineStr">
        <is>
          <t>The template editor opens on "Studio Presentation" with a "Draft" chip and a cover in the studio's accent colour.</t>
        </is>
      </c>
      <c r="H75" s="12" t="inlineStr">
        <is>
          <t>Different from 1.0: whole designs, not preset overlays</t>
        </is>
      </c>
      <c r="I75" s="11" t="inlineStr">
        <is>
          <t>Dane</t>
        </is>
      </c>
      <c r="J75" s="15" t="n"/>
      <c r="K75" s="15" t="n"/>
      <c r="L75" s="15" t="n"/>
      <c r="M75" s="16" t="n"/>
      <c r="N75" s="17" t="n"/>
      <c r="O75" s="17" t="n"/>
      <c r="P75" s="15" t="n"/>
    </row>
    <row r="76">
      <c r="A76" s="11" t="n">
        <v>3</v>
      </c>
      <c r="B76" s="11" t="inlineStr">
        <is>
          <t>3.24</t>
        </is>
      </c>
      <c r="C76" s="12" t="inlineStr">
        <is>
          <t>Build a quote template</t>
        </is>
      </c>
      <c r="D76" s="12" t="inlineStr">
        <is>
          <t>Templates</t>
        </is>
      </c>
      <c r="E76" s="13" t="inlineStr">
        <is>
          <t>Add a thank-you line to the page</t>
        </is>
      </c>
      <c r="F76" s="14" t="inlineStr">
        <is>
          <t>1. On the "Page" tab (left), click "Title &amp; intro"
2. Click "Add to the page" (bottom left) › "Text"
3. On the right, replace the words in "Text" with: Thank you for choosing Demo Studio,</t>
        </is>
      </c>
      <c r="G76" s="14" t="inlineStr">
        <is>
          <t>A "Text" row appears under "Title &amp; intro" and your sentence prints under "Scope of works" on the page.</t>
        </is>
      </c>
      <c r="H76" s="12" t="inlineStr">
        <is>
          <t>Different from 1.0: added to the template, not per lead</t>
        </is>
      </c>
      <c r="I76" s="11" t="inlineStr">
        <is>
          <t>Dane</t>
        </is>
      </c>
      <c r="J76" s="15" t="n"/>
      <c r="K76" s="15" t="n"/>
      <c r="L76" s="15" t="n"/>
      <c r="M76" s="16" t="n"/>
      <c r="N76" s="17" t="n"/>
      <c r="O76" s="17" t="n"/>
      <c r="P76" s="15" t="n"/>
    </row>
    <row r="77">
      <c r="A77" s="11" t="n">
        <v>3</v>
      </c>
      <c r="B77" s="11" t="inlineStr">
        <is>
          <t>3.25</t>
        </is>
      </c>
      <c r="C77" s="12" t="inlineStr">
        <is>
          <t>Build a quote template</t>
        </is>
      </c>
      <c r="D77" s="12" t="inlineStr">
        <is>
          <t>Templates</t>
        </is>
      </c>
      <c r="E77" s="13" t="inlineStr">
        <is>
          <t>Put the client's name into your line</t>
        </is>
      </c>
      <c r="F77" s="14" t="inlineStr">
        <is>
          <t>1. Beside the "Text" box, click "Insert a field" (the { } button)
2. Pick "Client name"</t>
        </is>
      </c>
      <c r="G77" s="14" t="inlineStr">
        <is>
          <t>The box ends with {client_name}; under it: "Prints as: Thank you for choosing Demo Studio, Mr &amp; Mrs Tan" — the sample client.</t>
        </is>
      </c>
      <c r="H77" s="12" t="inlineStr">
        <is>
          <t>Same as 1.0</t>
        </is>
      </c>
      <c r="I77" s="11" t="inlineStr">
        <is>
          <t>Dane</t>
        </is>
      </c>
      <c r="J77" s="15" t="n"/>
      <c r="K77" s="15" t="n"/>
      <c r="L77" s="15" t="n"/>
      <c r="M77" s="16" t="n"/>
      <c r="N77" s="17" t="n"/>
      <c r="O77" s="17" t="n"/>
      <c r="P77" s="15" t="n"/>
    </row>
    <row r="78">
      <c r="A78" s="11" t="n">
        <v>3</v>
      </c>
      <c r="B78" s="11" t="inlineStr">
        <is>
          <t>3.26</t>
        </is>
      </c>
      <c r="C78" s="12" t="inlineStr">
        <is>
          <t>Build a quote template</t>
        </is>
      </c>
      <c r="D78" s="12" t="inlineStr">
        <is>
          <t>Templates</t>
        </is>
      </c>
      <c r="E78" s="13" t="inlineStr">
        <is>
          <t>Remove the line by mistake, then undo</t>
        </is>
      </c>
      <c r="F78" s="14" t="inlineStr">
        <is>
          <t>1. At the top right, click "Remove from the page" (the bin)
2. On the message "Text removed", click "Undo"</t>
        </is>
      </c>
      <c r="G78" s="14" t="inlineStr">
        <is>
          <t>The Text block disappears from the page and the list, then comes back in the same place.</t>
        </is>
      </c>
      <c r="H78" s="12" t="inlineStr">
        <is>
          <t>Same as 1.0</t>
        </is>
      </c>
      <c r="I78" s="11" t="inlineStr">
        <is>
          <t>Dane</t>
        </is>
      </c>
      <c r="J78" s="15" t="n"/>
      <c r="K78" s="15" t="n"/>
      <c r="L78" s="15" t="n"/>
      <c r="M78" s="16" t="n"/>
      <c r="N78" s="17" t="n"/>
      <c r="O78" s="17" t="n"/>
      <c r="P78" s="15" t="n"/>
    </row>
    <row r="79">
      <c r="A79" s="11" t="n">
        <v>3</v>
      </c>
      <c r="B79" s="11" t="inlineStr">
        <is>
          <t>3.27</t>
        </is>
      </c>
      <c r="C79" s="12" t="inlineStr">
        <is>
          <t>Build a quote template</t>
        </is>
      </c>
      <c r="D79" s="12" t="inlineStr">
        <is>
          <t>Templates</t>
        </is>
      </c>
      <c r="E79" s="13" t="inlineStr">
        <is>
          <t>See the template drawn with a real quote</t>
        </is>
      </c>
      <c r="F79" s="14" t="inlineStr">
        <is>
          <t>1. At the top, click "Preview with: Sample quote"
2. Pick any "OM-…" quote
3. When checked, switch back to "Sample quote"</t>
        </is>
      </c>
      <c r="G79" s="14" t="inlineStr">
        <is>
          <t>The pages redraw with that quote's client, lines and totals, then with the sample quote again.</t>
        </is>
      </c>
      <c r="H79" s="12" t="inlineStr">
        <is>
          <t>Different from 1.0: your own quotes, not a fixed sample</t>
        </is>
      </c>
      <c r="I79" s="11" t="inlineStr">
        <is>
          <t>Dane</t>
        </is>
      </c>
      <c r="J79" s="15" t="n"/>
      <c r="K79" s="15" t="n"/>
      <c r="L79" s="15" t="n"/>
      <c r="M79" s="16" t="n"/>
      <c r="N79" s="17" t="n"/>
      <c r="O79" s="17" t="n"/>
      <c r="P79" s="15" t="n"/>
    </row>
    <row r="80">
      <c r="A80" s="11" t="n">
        <v>3</v>
      </c>
      <c r="B80" s="11" t="inlineStr">
        <is>
          <t>3.28</t>
        </is>
      </c>
      <c r="C80" s="12" t="inlineStr">
        <is>
          <t>Make it yours and publish</t>
        </is>
      </c>
      <c r="D80" s="12" t="inlineStr">
        <is>
          <t>Templates</t>
        </is>
      </c>
      <c r="E80" s="13" t="inlineStr">
        <is>
          <t>Give this template its own colour</t>
        </is>
      </c>
      <c r="F80" s="14" t="inlineStr">
        <is>
          <t>1. Click the "Brand" tab (left)
2. Under "Colours", click the "Accent" swatch and pick a dark green</t>
        </is>
      </c>
      <c r="G80" s="14" t="inlineStr">
        <is>
          <t>The cover and the room bands turn green; the Accent row ends "· this template" with a reset button. The brand kit is untouched.</t>
        </is>
      </c>
      <c r="H80" s="12" t="inlineStr">
        <is>
          <t>New in 2.0</t>
        </is>
      </c>
      <c r="I80" s="11" t="inlineStr">
        <is>
          <t>Dane</t>
        </is>
      </c>
      <c r="J80" s="15" t="n"/>
      <c r="K80" s="15" t="n"/>
      <c r="L80" s="15" t="n"/>
      <c r="M80" s="16" t="n"/>
      <c r="N80" s="17" t="n"/>
      <c r="O80" s="17" t="n"/>
      <c r="P80" s="15" t="n"/>
    </row>
    <row r="81">
      <c r="A81" s="11" t="n">
        <v>3</v>
      </c>
      <c r="B81" s="11" t="inlineStr">
        <is>
          <t>3.29</t>
        </is>
      </c>
      <c r="C81" s="12" t="inlineStr">
        <is>
          <t>Make it yours and publish</t>
        </is>
      </c>
      <c r="D81" s="12" t="inlineStr">
        <is>
          <t>Templates</t>
        </is>
      </c>
      <c r="E81" s="13" t="inlineStr">
        <is>
          <t>Number the items A1, A2 in each room</t>
        </is>
      </c>
      <c r="F81" s="14" t="inlineStr">
        <is>
          <t>1. Click the "Page" tab, then "Items table" in the list
2. On the right, "Item numbers": A1 · A2 · B1</t>
        </is>
      </c>
      <c r="G81" s="14" t="inlineStr">
        <is>
          <t>Item numbers on the page read A1, A2… in the first room and B1, B2… in the next.</t>
        </is>
      </c>
      <c r="H81" s="12" t="inlineStr">
        <is>
          <t>Same as 1.0</t>
        </is>
      </c>
      <c r="I81" s="11" t="inlineStr">
        <is>
          <t>Dane</t>
        </is>
      </c>
      <c r="J81" s="15" t="n"/>
      <c r="K81" s="15" t="n"/>
      <c r="L81" s="15" t="n"/>
      <c r="M81" s="16" t="n"/>
      <c r="N81" s="17" t="n"/>
      <c r="O81" s="17" t="n"/>
      <c r="P81" s="15" t="n"/>
    </row>
    <row r="82">
      <c r="A82" s="11" t="n">
        <v>3</v>
      </c>
      <c r="B82" s="11" t="inlineStr">
        <is>
          <t>3.30</t>
        </is>
      </c>
      <c r="C82" s="12" t="inlineStr">
        <is>
          <t>Make it yours and publish</t>
        </is>
      </c>
      <c r="D82" s="12" t="inlineStr">
        <is>
          <t>Templates</t>
        </is>
      </c>
      <c r="E82" s="13" t="inlineStr">
        <is>
          <t>Choose what a new quote starts with</t>
        </is>
      </c>
      <c r="F82" s="14" t="inlineStr">
        <is>
          <t>1. Click the "New quotes" tab
2. "Payment schedule": 40/60 · "Additional Notes": Site protection</t>
        </is>
      </c>
      <c r="G82" s="14" t="inlineStr">
        <is>
          <t>Your split and note are offered from the libraries; the tab warns "Not published yet — quotes can use this template once you press Publish."</t>
        </is>
      </c>
      <c r="H82" s="12" t="inlineStr">
        <is>
          <t>Different from 1.0: sections and defaults, never priced lines</t>
        </is>
      </c>
      <c r="I82" s="11" t="inlineStr">
        <is>
          <t>Dane</t>
        </is>
      </c>
      <c r="J82" s="15" t="n"/>
      <c r="K82" s="15" t="n"/>
      <c r="L82" s="15" t="n"/>
      <c r="M82" s="16" t="n"/>
      <c r="N82" s="17" t="n"/>
      <c r="O82" s="17" t="n"/>
      <c r="P82" s="15" t="n"/>
    </row>
    <row r="83">
      <c r="A83" s="11" t="n">
        <v>3</v>
      </c>
      <c r="B83" s="11" t="inlineStr">
        <is>
          <t>3.31</t>
        </is>
      </c>
      <c r="C83" s="12" t="inlineStr">
        <is>
          <t>Make it yours and publish</t>
        </is>
      </c>
      <c r="D83" s="12" t="inlineStr">
        <is>
          <t>Templates</t>
        </is>
      </c>
      <c r="E83" s="13" t="inlineStr">
        <is>
          <t>Publish the template and make it the default</t>
        </is>
      </c>
      <c r="F83" s="14" t="inlineStr">
        <is>
          <t>1. Click "Publish" (top right)
2. "What changed": First version · turn on "Make it the studio’s default"
3. Click "Publish"</t>
        </is>
      </c>
      <c r="G83" s="14" t="inlineStr">
        <is>
          <t>A message says "Studio Presentation published"; the top shows "Published v1" and "Default", and the button now reads "Published".</t>
        </is>
      </c>
      <c r="H83" s="12" t="inlineStr">
        <is>
          <t>Different from 1.0: drafts publish as numbered versions</t>
        </is>
      </c>
      <c r="I83" s="11" t="inlineStr">
        <is>
          <t>Dane</t>
        </is>
      </c>
      <c r="J83" s="15" t="n"/>
      <c r="K83" s="15" t="n"/>
      <c r="L83" s="15" t="n"/>
      <c r="M83" s="16" t="n"/>
      <c r="N83" s="17" t="n"/>
      <c r="O83" s="17" t="n"/>
      <c r="P83" s="15" t="n"/>
    </row>
    <row r="84">
      <c r="A84" s="11" t="n">
        <v>3</v>
      </c>
      <c r="B84" s="11" t="inlineStr">
        <is>
          <t>3.32</t>
        </is>
      </c>
      <c r="C84" s="12" t="inlineStr">
        <is>
          <t>Make it yours and publish</t>
        </is>
      </c>
      <c r="D84" s="12" t="inlineStr">
        <is>
          <t>Templates</t>
        </is>
      </c>
      <c r="E84" s="13" t="inlineStr">
        <is>
          <t>See the template's version history</t>
        </is>
      </c>
      <c r="F84" s="14" t="inlineStr">
        <is>
          <t>1. Click "History" (the clock icon at the top)</t>
        </is>
      </c>
      <c r="G84" s="14" t="inlineStr">
        <is>
          <t>The History panel lists v1 marked "Current", your note "First version" and your name.</t>
        </is>
      </c>
      <c r="H84" s="12" t="inlineStr">
        <is>
          <t>New in 2.0</t>
        </is>
      </c>
      <c r="I84" s="11" t="inlineStr">
        <is>
          <t>Dane</t>
        </is>
      </c>
      <c r="J84" s="15" t="n"/>
      <c r="K84" s="15" t="n"/>
      <c r="L84" s="15" t="n"/>
      <c r="M84" s="16" t="n"/>
      <c r="N84" s="17" t="n"/>
      <c r="O84" s="17" t="n"/>
      <c r="P84" s="15" t="n"/>
    </row>
    <row r="85">
      <c r="A85" s="11" t="n">
        <v>3</v>
      </c>
      <c r="B85" s="11" t="inlineStr">
        <is>
          <t>3.33</t>
        </is>
      </c>
      <c r="C85" s="12" t="inlineStr">
        <is>
          <t>The studio's default</t>
        </is>
      </c>
      <c r="D85" s="12" t="inlineStr">
        <is>
          <t>Templates</t>
        </is>
      </c>
      <c r="E85" s="13" t="inlineStr">
        <is>
          <t>Check the default moved in the gallery</t>
        </is>
      </c>
      <c r="F85" s="14" t="inlineStr">
        <is>
          <t>1. Close the History panel
2. Click the back arrow ("Back to Quote templates")</t>
        </is>
      </c>
      <c r="G85" s="14" t="inlineStr">
        <is>
          <t>"Studio Presentation" now carries the "Default" chip and "Published v1"; "Default Quote PDF" no longer does.</t>
        </is>
      </c>
      <c r="H85" s="12" t="inlineStr">
        <is>
          <t>Same as 1.0</t>
        </is>
      </c>
      <c r="I85" s="11" t="inlineStr">
        <is>
          <t>Dane</t>
        </is>
      </c>
      <c r="J85" s="15" t="n"/>
      <c r="K85" s="15" t="n"/>
      <c r="L85" s="15" t="n"/>
      <c r="M85" s="16" t="n"/>
      <c r="N85" s="17" t="n"/>
      <c r="O85" s="17" t="n"/>
      <c r="P85" s="15" t="n"/>
    </row>
    <row r="86">
      <c r="A86" s="11" t="n">
        <v>3</v>
      </c>
      <c r="B86" s="11" t="inlineStr">
        <is>
          <t>3.34</t>
        </is>
      </c>
      <c r="C86" s="12" t="inlineStr">
        <is>
          <t>The studio's default</t>
        </is>
      </c>
      <c r="D86" s="12" t="inlineStr">
        <is>
          <t>Templates</t>
        </is>
      </c>
      <c r="E86" s="13" t="inlineStr">
        <is>
          <t>See the default in the brand kit preview</t>
        </is>
      </c>
      <c r="F86" s="14" t="inlineStr">
        <is>
          <t>1. Click the "Brand kit" tab</t>
        </is>
      </c>
      <c r="G86" s="14" t="inlineStr">
        <is>
          <t>The preview on the right is labelled "Default template · Studio Presentation" and shows its first page.</t>
        </is>
      </c>
      <c r="H86" s="12" t="inlineStr">
        <is>
          <t>New in 2.0</t>
        </is>
      </c>
      <c r="I86" s="11" t="inlineStr">
        <is>
          <t>Dane</t>
        </is>
      </c>
      <c r="J86" s="15" t="n"/>
      <c r="K86" s="15" t="n"/>
      <c r="L86" s="15" t="n"/>
      <c r="M86" s="16" t="n"/>
      <c r="N86" s="17" t="n"/>
      <c r="O86" s="17" t="n"/>
      <c r="P86" s="15" t="n"/>
    </row>
    <row r="87">
      <c r="A87" s="11" t="n">
        <v>3</v>
      </c>
      <c r="B87" s="11" t="inlineStr">
        <is>
          <t>3.35</t>
        </is>
      </c>
      <c r="C87" s="12" t="inlineStr">
        <is>
          <t>The studio's default</t>
        </is>
      </c>
      <c r="D87" s="12" t="inlineStr">
        <is>
          <t>Templates</t>
        </is>
      </c>
      <c r="E87" s="13" t="inlineStr">
        <is>
          <t>Look at the deleted templates</t>
        </is>
      </c>
      <c r="F87" s="14" t="inlineStr">
        <is>
          <t>1. Click the "Quotes" tab
2. Click the ⋮ menu ("More options", top right) › "Deleted Templates · 2"
3. Close the panel</t>
        </is>
      </c>
      <c r="G87" s="14" t="inlineStr">
        <is>
          <t>"Copy of Default Quote PDF" and "Test" wait there with "Restore" and "Delete Forever" — nothing is lost at once.</t>
        </is>
      </c>
      <c r="H87" s="12" t="inlineStr">
        <is>
          <t>Different from 1.0: deleted templates can be restored</t>
        </is>
      </c>
      <c r="I87" s="11" t="inlineStr">
        <is>
          <t>Dane</t>
        </is>
      </c>
      <c r="J87" s="15" t="n"/>
      <c r="K87" s="15" t="n"/>
      <c r="L87" s="15" t="n"/>
      <c r="M87" s="16" t="n"/>
      <c r="N87" s="17" t="n"/>
      <c r="O87" s="17" t="n"/>
      <c r="P87" s="15" t="n"/>
    </row>
    <row r="88">
      <c r="A88" s="11" t="n">
        <v>3</v>
      </c>
      <c r="B88" s="11" t="inlineStr">
        <is>
          <t>3.36</t>
        </is>
      </c>
      <c r="C88" s="12" t="inlineStr">
        <is>
          <t>The studio's default</t>
        </is>
      </c>
      <c r="D88" s="12" t="inlineStr">
        <is>
          <t>Templates</t>
        </is>
      </c>
      <c r="E88" s="13" t="inlineStr">
        <is>
          <t>Put the studio's default back</t>
        </is>
      </c>
      <c r="F88" s="14" t="inlineStr">
        <is>
          <t>1. On "Default Quote PDF", open the ⋮ menu › "Set as default"</t>
        </is>
      </c>
      <c r="G88" s="14" t="inlineStr">
        <is>
          <t>A message says "Default Quote PDF is the default template" and the Default chip moves back — chapter 6's quotes start from it.</t>
        </is>
      </c>
      <c r="H88" s="12" t="inlineStr">
        <is>
          <t>Same as 1.0</t>
        </is>
      </c>
      <c r="I88" s="11" t="inlineStr">
        <is>
          <t>Dane</t>
        </is>
      </c>
      <c r="J88" s="15" t="n"/>
      <c r="K88" s="15" t="n"/>
      <c r="L88" s="15" t="n"/>
      <c r="M88" s="16" t="n"/>
      <c r="N88" s="17" t="n"/>
      <c r="O88" s="17" t="n"/>
      <c r="P88" s="15" t="n"/>
    </row>
    <row r="89">
      <c r="A89" s="11" t="n">
        <v>3</v>
      </c>
      <c r="B89" s="11" t="inlineStr">
        <is>
          <t>3.37</t>
        </is>
      </c>
      <c r="C89" s="12" t="inlineStr">
        <is>
          <t>The question bank</t>
        </is>
      </c>
      <c r="D89" s="12" t="inlineStr">
        <is>
          <t>Company</t>
        </is>
      </c>
      <c r="E89" s="13" t="inlineStr">
        <is>
          <t>Add a question every new lead starts with</t>
        </is>
      </c>
      <c r="F89" s="14" t="inlineStr">
        <is>
          <t>1. Click "Company" › "Questionnaire", then "Add question"
2. "Question": Will anyone work from home? · "Type": Single select
3. "Option 1": Yes, every day · "Add option": Some days · "Add option": No
4. Click "Add"</t>
        </is>
      </c>
      <c r="G89" s="14" t="inlineStr">
        <is>
          <t>A message says "Question added"; it joins the bottom of the "Question bank" with a "Single select" chip and "Active" on.</t>
        </is>
      </c>
      <c r="H89" s="12" t="inlineStr">
        <is>
          <t>Same as 1.0</t>
        </is>
      </c>
      <c r="I89" s="11" t="inlineStr">
        <is>
          <t>Dane</t>
        </is>
      </c>
      <c r="J89" s="15" t="n"/>
      <c r="K89" s="15" t="n"/>
      <c r="L89" s="15" t="n"/>
      <c r="M89" s="16" t="n"/>
      <c r="N89" s="17" t="n"/>
      <c r="O89" s="17" t="n"/>
      <c r="P89" s="15" t="n"/>
    </row>
    <row r="90">
      <c r="A90" s="11" t="n">
        <v>3</v>
      </c>
      <c r="B90" s="11" t="inlineStr">
        <is>
          <t>3.38</t>
        </is>
      </c>
      <c r="C90" s="12" t="inlineStr">
        <is>
          <t>The question bank</t>
        </is>
      </c>
      <c r="D90" s="12" t="inlineStr">
        <is>
          <t>Company</t>
        </is>
      </c>
      <c r="E90" s="13" t="inlineStr">
        <is>
          <t>Move your question higher in the list</t>
        </is>
      </c>
      <c r="F90" s="14" t="inlineStr">
        <is>
          <t>1. On your new question, click "Move up" (the up arrow) twice</t>
        </is>
      </c>
      <c r="G90" s="14" t="inlineStr">
        <is>
          <t>A message says "Order saved" each time and the question sits two places higher; Sophia's questionnaire (chapter 4) follows this order.</t>
        </is>
      </c>
      <c r="H90" s="12" t="inlineStr">
        <is>
          <t>Same as 1.0</t>
        </is>
      </c>
      <c r="I90" s="11" t="inlineStr">
        <is>
          <t>Dane</t>
        </is>
      </c>
      <c r="J90" s="15" t="n"/>
      <c r="K90" s="15" t="n"/>
      <c r="L90" s="15" t="n"/>
      <c r="M90" s="16" t="n"/>
      <c r="N90" s="17" t="n"/>
      <c r="O90" s="17" t="n"/>
      <c r="P90" s="15" t="n"/>
    </row>
    <row r="91" ht="22" customHeight="1">
      <c r="A91" s="9" t="inlineStr">
        <is>
          <t>Chapter 4 · Leads arrive — Add, import and capture leads; find them in the list.</t>
        </is>
      </c>
      <c r="M91" s="10" t="n"/>
    </row>
    <row r="92">
      <c r="A92" s="11" t="n">
        <v>4</v>
      </c>
      <c r="B92" s="11" t="inlineStr">
        <is>
          <t>4.01</t>
        </is>
      </c>
      <c r="C92" s="12" t="inlineStr">
        <is>
          <t>A new enquiry by hand</t>
        </is>
      </c>
      <c r="D92" s="12" t="inlineStr">
        <is>
          <t>Leads</t>
        </is>
      </c>
      <c r="E92" s="13" t="inlineStr">
        <is>
          <t>Open a new lead form with one key</t>
        </is>
      </c>
      <c r="F92" s="14" t="inlineStr">
        <is>
          <t>1. Click "Leads" in the side navigation
2. Click an empty part of the page (not a search box)
3. Press the C key</t>
        </is>
      </c>
      <c r="G92" s="14" t="inlineStr">
        <is>
          <t>The "Create New Lead" form opens with the cursor already in "Lead name".</t>
        </is>
      </c>
      <c r="H92" s="12" t="inlineStr">
        <is>
          <t>Same as 1.0</t>
        </is>
      </c>
      <c r="I92" s="11" t="inlineStr">
        <is>
          <t>Dane</t>
        </is>
      </c>
      <c r="J92" s="15" t="n"/>
      <c r="K92" s="15" t="n"/>
      <c r="L92" s="15" t="n"/>
      <c r="M92" s="16" t="n"/>
      <c r="N92" s="17" t="n"/>
      <c r="O92" s="17" t="n"/>
      <c r="P92" s="15" t="n"/>
    </row>
    <row r="93">
      <c r="A93" s="11" t="n">
        <v>4</v>
      </c>
      <c r="B93" s="11" t="inlineStr">
        <is>
          <t>4.02</t>
        </is>
      </c>
      <c r="C93" s="12" t="inlineStr">
        <is>
          <t>A new enquiry by hand</t>
        </is>
      </c>
      <c r="D93" s="12" t="inlineStr">
        <is>
          <t>Leads</t>
        </is>
      </c>
      <c r="E93" s="13" t="inlineStr">
        <is>
          <t>Let the document reader fill a lead for you</t>
        </is>
      </c>
      <c r="F93" s="14" t="inlineStr">
        <is>
          <t>1. In the open form, click "Fill from a document"
2. Press "Upload" (no file needed — this is a demo)
3. Look at the fields, then press "Cancel" at the bottom</t>
        </is>
      </c>
      <c r="G93" s="14" t="inlineStr">
        <is>
          <t>Empty fields fill with a sample enquiry (Nurul Hassan, Condo 3-bedder, East) and a PDF is attached; Cancel closes without saving anything.</t>
        </is>
      </c>
      <c r="H93" s="12" t="inlineStr">
        <is>
          <t>Different from 1.0: fixed sample values stand in for AI reading</t>
        </is>
      </c>
      <c r="I93" s="11" t="inlineStr">
        <is>
          <t>Dane</t>
        </is>
      </c>
      <c r="J93" s="15" t="n"/>
      <c r="K93" s="15" t="n"/>
      <c r="L93" s="15" t="n"/>
      <c r="M93" s="16" t="n"/>
      <c r="N93" s="17" t="n"/>
      <c r="O93" s="17" t="n"/>
      <c r="P93" s="15" t="n"/>
    </row>
    <row r="94">
      <c r="A94" s="11" t="n">
        <v>4</v>
      </c>
      <c r="B94" s="11" t="inlineStr">
        <is>
          <t>4.03</t>
        </is>
      </c>
      <c r="C94" s="12" t="inlineStr">
        <is>
          <t>A new enquiry by hand</t>
        </is>
      </c>
      <c r="D94" s="12" t="inlineStr">
        <is>
          <t>Leads</t>
        </is>
      </c>
      <c r="E94" s="13" t="inlineStr">
        <is>
          <t>Get warned about a lead you already have</t>
        </is>
      </c>
      <c r="F94" s="14" t="inlineStr">
        <is>
          <t>1. Click "Add Lead", then "Create New Lead"
2. "Lead name": Test Duplicate · "Lead phone number": 9123 8803
3. Press "Create"
4. In the warning, press "Open existing lead"</t>
        </is>
      </c>
      <c r="G94" s="14" t="inlineStr">
        <is>
          <t>"A lead with this phone already exists" names Kenji Sato · 9123 8803 · Lost; the button opens his lead and nothing new is created.</t>
        </is>
      </c>
      <c r="H94" s="12" t="inlineStr">
        <is>
          <t>Different from 1.0: "Create anyway" creates it, not held for review</t>
        </is>
      </c>
      <c r="I94" s="11" t="inlineStr">
        <is>
          <t>Dane</t>
        </is>
      </c>
      <c r="J94" s="15" t="n"/>
      <c r="K94" s="15" t="n"/>
      <c r="L94" s="15" t="n"/>
      <c r="M94" s="16" t="n"/>
      <c r="N94" s="17" t="n"/>
      <c r="O94" s="17" t="n"/>
      <c r="P94" s="15" t="n"/>
    </row>
    <row r="95">
      <c r="A95" s="11" t="n">
        <v>4</v>
      </c>
      <c r="B95" s="11" t="inlineStr">
        <is>
          <t>4.04</t>
        </is>
      </c>
      <c r="C95" s="12" t="inlineStr">
        <is>
          <t>Sophia Wong gets in touch</t>
        </is>
      </c>
      <c r="D95" s="12" t="inlineStr">
        <is>
          <t>Leads</t>
        </is>
      </c>
      <c r="E95" s="13" t="inlineStr">
        <is>
          <t>Start Sophia's lead and test the budget limit</t>
        </is>
      </c>
      <c r="F95" s="14" t="inlineStr">
        <is>
          <t>1. Back on "Leads", click "Add Lead", then "Create New Lead"
2. "Lead name" Sophia Wong · "Lead phone number" 9765 4321 · "Lead source" Referral · "Property type" HDB 4-Room · "Property address" Blk 201 Tampines Street 21 · "District" East — leave "Assign member" empty
3. Open "Additional info": "Lead email" sophia.wong@example.com · "Estimated budget (S$)" 500
4. Press "Create"</t>
        </is>
      </c>
      <c r="G95" s="14" t="inlineStr">
        <is>
          <t>The form stays open and the budget box says "Enter a budget between S$1,000 and S$5,000,000".</t>
        </is>
      </c>
      <c r="H95" s="12" t="inlineStr">
        <is>
          <t>Same as 1.0</t>
        </is>
      </c>
      <c r="I95" s="11" t="inlineStr">
        <is>
          <t>Dane</t>
        </is>
      </c>
      <c r="J95" s="15" t="n"/>
      <c r="K95" s="15" t="n"/>
      <c r="L95" s="15" t="n"/>
      <c r="M95" s="16" t="n"/>
      <c r="N95" s="17" t="n"/>
      <c r="O95" s="17" t="n"/>
      <c r="P95" s="15" t="n"/>
    </row>
    <row r="96">
      <c r="A96" s="11" t="n">
        <v>4</v>
      </c>
      <c r="B96" s="11" t="inlineStr">
        <is>
          <t>4.05</t>
        </is>
      </c>
      <c r="C96" s="12" t="inlineStr">
        <is>
          <t>Sophia Wong gets in touch</t>
        </is>
      </c>
      <c r="D96" s="12" t="inlineStr">
        <is>
          <t>Leads</t>
        </is>
      </c>
      <c r="E96" s="13" t="inlineStr">
        <is>
          <t>Save Sophia's lead with her floor plan attached</t>
        </is>
      </c>
      <c r="F96" s="14" t="inlineStr">
        <is>
          <t>1. Change "Estimated budget (S$)" to 60,000
2. "Condition" Resale · "Key collection" in 3 months (fill any custom field your studio still has)
3. Under "Attach files (optional)" press "Attach" and pick sophia-floor-plan.pdf
4. Press "Create"</t>
        </is>
      </c>
      <c r="G96" s="14" t="inlineStr">
        <is>
          <t>"Successfully Created"; Sophia Wong tops the list in New, with a coloured band on the left and "Assign" under Members.</t>
        </is>
      </c>
      <c r="H96" s="12" t="inlineStr">
        <is>
          <t>Different from 1.0: one name field; only name and phone required</t>
        </is>
      </c>
      <c r="I96" s="11" t="inlineStr">
        <is>
          <t>Dane</t>
        </is>
      </c>
      <c r="J96" s="15" t="n"/>
      <c r="K96" s="15" t="n"/>
      <c r="L96" s="15" t="n"/>
      <c r="M96" s="16" t="n"/>
      <c r="N96" s="17" t="n"/>
      <c r="O96" s="17" t="n"/>
      <c r="P96" s="15" t="n"/>
    </row>
    <row r="97">
      <c r="A97" s="11" t="n">
        <v>4</v>
      </c>
      <c r="B97" s="11" t="inlineStr">
        <is>
          <t>4.06</t>
        </is>
      </c>
      <c r="C97" s="12" t="inlineStr">
        <is>
          <t>Leads from files</t>
        </is>
      </c>
      <c r="D97" s="12" t="inlineStr">
        <is>
          <t>Leads</t>
        </is>
      </c>
      <c r="E97" s="13" t="inlineStr">
        <is>
          <t>Upload a spreadsheet of new leads</t>
        </is>
      </c>
      <c r="F97" s="14" t="inlineStr">
        <is>
          <t>1. Click "Add Lead", then "Import from File"
2. Drop new-leads.xlsx on "Drop your file or browse"
3. Press "Next"
4. Read the column list, then press "Next" again</t>
        </is>
      </c>
      <c r="G97" s="14" t="inlineStr">
        <is>
          <t>"Success!" says "Detected 5 line(s)"; all 11 columns are tagged "Auto-matched"; the preview table lists the five rows.</t>
        </is>
      </c>
      <c r="H97" s="12" t="inlineStr">
        <is>
          <t>New in 2.0</t>
        </is>
      </c>
      <c r="I97" s="11" t="inlineStr">
        <is>
          <t>Dane</t>
        </is>
      </c>
      <c r="J97" s="15" t="n"/>
      <c r="K97" s="15" t="n"/>
      <c r="L97" s="15" t="n"/>
      <c r="M97" s="16" t="n"/>
      <c r="N97" s="17" t="n"/>
      <c r="O97" s="17" t="n"/>
      <c r="P97" s="15" t="n"/>
    </row>
    <row r="98">
      <c r="A98" s="11" t="n">
        <v>4</v>
      </c>
      <c r="B98" s="11" t="inlineStr">
        <is>
          <t>4.07</t>
        </is>
      </c>
      <c r="C98" s="12" t="inlineStr">
        <is>
          <t>Leads from files</t>
        </is>
      </c>
      <c r="D98" s="12" t="inlineStr">
        <is>
          <t>Leads</t>
        </is>
      </c>
      <c r="E98" s="13" t="inlineStr">
        <is>
          <t>Send the clean leads straight to your list</t>
        </is>
      </c>
      <c r="F98" s="14" t="inlineStr">
        <is>
          <t>1. Press "Import"
2. In "Lead routing" choose "Add to my lead listing", press "Import"
3. Read the result, press "Done"</t>
        </is>
      </c>
      <c r="G98" s="14" t="inlineStr">
        <is>
          <t>"4 of 5 records imported successfully" · "3 leads added to your listing · 1 possible duplicate sent to review"; three new leads appear.</t>
        </is>
      </c>
      <c r="H98" s="12" t="inlineStr">
        <is>
          <t>New in 2.0</t>
        </is>
      </c>
      <c r="I98" s="11" t="inlineStr">
        <is>
          <t>Dane</t>
        </is>
      </c>
      <c r="J98" s="15" t="n"/>
      <c r="K98" s="15" t="n"/>
      <c r="L98" s="15" t="n"/>
      <c r="M98" s="16" t="n"/>
      <c r="N98" s="17" t="n"/>
      <c r="O98" s="17" t="n"/>
      <c r="P98" s="15" t="n"/>
    </row>
    <row r="99">
      <c r="A99" s="11" t="n">
        <v>4</v>
      </c>
      <c r="B99" s="11" t="inlineStr">
        <is>
          <t>4.08</t>
        </is>
      </c>
      <c r="C99" s="12" t="inlineStr">
        <is>
          <t>Leads from files</t>
        </is>
      </c>
      <c r="D99" s="12" t="inlineStr">
        <is>
          <t>Leads</t>
        </is>
      </c>
      <c r="E99" s="13" t="inlineStr">
        <is>
          <t>See the import on record, with the row it skipped</t>
        </is>
      </c>
      <c r="F99" s="14" t="inlineStr">
        <is>
          <t>1. On Leads, click ⋮ ("More options"), then "Lead Import History"
2. Find new-leads.xlsx
3. Click "Download Skipped Records"</t>
        </is>
      </c>
      <c r="G99" s="14" t="inlineStr">
        <is>
          <t>The row reads 5 total, 4 imported and "1 error detected across 1 skipped lead"; the download lists the nameless row with "Missing Lead Name".</t>
        </is>
      </c>
      <c r="H99" s="12" t="inlineStr">
        <is>
          <t>New in 2.0</t>
        </is>
      </c>
      <c r="I99" s="11" t="inlineStr">
        <is>
          <t>Dane</t>
        </is>
      </c>
      <c r="J99" s="15" t="n"/>
      <c r="K99" s="15" t="n"/>
      <c r="L99" s="15" t="n"/>
      <c r="M99" s="16" t="n"/>
      <c r="N99" s="17" t="n"/>
      <c r="O99" s="17" t="n"/>
      <c r="P99" s="15" t="n"/>
    </row>
    <row r="100">
      <c r="A100" s="11" t="n">
        <v>4</v>
      </c>
      <c r="B100" s="11" t="inlineStr">
        <is>
          <t>4.09</t>
        </is>
      </c>
      <c r="C100" s="12" t="inlineStr">
        <is>
          <t>Leads from files</t>
        </is>
      </c>
      <c r="D100" s="12" t="inlineStr">
        <is>
          <t>Leads</t>
        </is>
      </c>
      <c r="E100" s="13" t="inlineStr">
        <is>
          <t>Import a PDF lead sheet to check first</t>
        </is>
      </c>
      <c r="F100" s="14" t="inlineStr">
        <is>
          <t>1. Back on Leads, click "Add Lead", then "Import from File"
2. Drop homematch-lead-sheet.pdf, press "Next" twice
3. Press "Import", choose "Review and approve manually", press "Import"
4. Press "Done"</t>
        </is>
      </c>
      <c r="G100" s="14" t="inlineStr">
        <is>
          <t>"Detected 2 line(s)"; the result reads "2 of 2 records imported successfully" and "2 leads waiting in Review imported leads"; the list itself is unchanged.</t>
        </is>
      </c>
      <c r="H100" s="12" t="inlineStr">
        <is>
          <t>New in 2.0</t>
        </is>
      </c>
      <c r="I100" s="11" t="inlineStr">
        <is>
          <t>Dane</t>
        </is>
      </c>
      <c r="J100" s="15" t="n"/>
      <c r="K100" s="15" t="n"/>
      <c r="L100" s="15" t="n"/>
      <c r="M100" s="16" t="n"/>
      <c r="N100" s="17" t="n"/>
      <c r="O100" s="17" t="n"/>
      <c r="P100" s="15" t="n"/>
    </row>
    <row r="101">
      <c r="A101" s="11" t="n">
        <v>4</v>
      </c>
      <c r="B101" s="11" t="inlineStr">
        <is>
          <t>4.10</t>
        </is>
      </c>
      <c r="C101" s="12" t="inlineStr">
        <is>
          <t>Review what came in</t>
        </is>
      </c>
      <c r="D101" s="12" t="inlineStr">
        <is>
          <t>Leads</t>
        </is>
      </c>
      <c r="E101" s="13" t="inlineStr">
        <is>
          <t>Open the review queue</t>
        </is>
      </c>
      <c r="F101" s="14" t="inlineStr">
        <is>
          <t>1. On Leads, click the "Review imported leads" bar at the bottom
2. Find Gerald Tan and your two PDF leads
3. Switch on "Show only duplicates", then off again</t>
        </is>
      </c>
      <c r="G101" s="14" t="inlineStr">
        <is>
          <t>Gerald Tan is tagged DUPLICATE with "Matches: Gerald Tan"; Vanessa Ho and Samuel Yeo are PENDING; the switch narrows the queue to duplicates.</t>
        </is>
      </c>
      <c r="H101" s="12" t="inlineStr">
        <is>
          <t>Same as 1.0</t>
        </is>
      </c>
      <c r="I101" s="11" t="inlineStr">
        <is>
          <t>Dane</t>
        </is>
      </c>
      <c r="J101" s="15" t="n"/>
      <c r="K101" s="15" t="n"/>
      <c r="L101" s="15" t="n"/>
      <c r="M101" s="16" t="n"/>
      <c r="N101" s="17" t="n"/>
      <c r="O101" s="17" t="n"/>
      <c r="P101" s="15" t="n"/>
    </row>
    <row r="102">
      <c r="A102" s="11" t="n">
        <v>4</v>
      </c>
      <c r="B102" s="11" t="inlineStr">
        <is>
          <t>4.11</t>
        </is>
      </c>
      <c r="C102" s="12" t="inlineStr">
        <is>
          <t>Review what came in</t>
        </is>
      </c>
      <c r="D102" s="12" t="inlineStr">
        <is>
          <t>Leads</t>
        </is>
      </c>
      <c r="E102" s="13" t="inlineStr">
        <is>
          <t>Merge the repeat enquiry into Gerald's lead</t>
        </is>
      </c>
      <c r="F102" s="14" t="inlineStr">
        <is>
          <t>1. On Gerald Tan's card press "View &amp; Merge"
2. In the "Budget (S$)" row, click the round button beside 120,000 (the "New" column)
3. Read the "Merged result" column
4. Press "Merge into Existing"</t>
        </is>
      </c>
      <c r="G102" s="14" t="inlineStr">
        <is>
          <t>Phone says "identical - matched on this"; Email and District fill in by themselves; "Merged into the existing lead"; Gerald's budget becomes 120,000.</t>
        </is>
      </c>
      <c r="H102" s="12" t="inlineStr">
        <is>
          <t>Different from 1.0: side by side; you pick each clashing value</t>
        </is>
      </c>
      <c r="I102" s="11" t="inlineStr">
        <is>
          <t>Dane</t>
        </is>
      </c>
      <c r="J102" s="15" t="n"/>
      <c r="K102" s="15" t="n"/>
      <c r="L102" s="15" t="n"/>
      <c r="M102" s="16" t="n"/>
      <c r="N102" s="17" t="n"/>
      <c r="O102" s="17" t="n"/>
      <c r="P102" s="15" t="n"/>
    </row>
    <row r="103">
      <c r="A103" s="11" t="n">
        <v>4</v>
      </c>
      <c r="B103" s="11" t="inlineStr">
        <is>
          <t>4.12</t>
        </is>
      </c>
      <c r="C103" s="12" t="inlineStr">
        <is>
          <t>Review what came in</t>
        </is>
      </c>
      <c r="D103" s="12" t="inlineStr">
        <is>
          <t>Leads</t>
        </is>
      </c>
      <c r="E103" s="13" t="inlineStr">
        <is>
          <t>Approve the two PDF leads</t>
        </is>
      </c>
      <c r="F103" s="14" t="inlineStr">
        <is>
          <t>1. In the queue, click the "Others (2)" chip
2. On Vanessa Ho's card press "Approve"
3. On Samuel Yeo's card press "Approve"
4. Close the queue</t>
        </is>
      </c>
      <c r="G103" s="14" t="inlineStr">
        <is>
          <t>Each press says "Lead approved and added to your leads"; both leads now show in the list in New.</t>
        </is>
      </c>
      <c r="H103" s="12" t="inlineStr">
        <is>
          <t>Same as 1.0</t>
        </is>
      </c>
      <c r="I103" s="11" t="inlineStr">
        <is>
          <t>Dane</t>
        </is>
      </c>
      <c r="J103" s="15" t="n"/>
      <c r="K103" s="15" t="n"/>
      <c r="L103" s="15" t="n"/>
      <c r="M103" s="16" t="n"/>
      <c r="N103" s="17" t="n"/>
      <c r="O103" s="17" t="n"/>
      <c r="P103" s="15" t="n"/>
    </row>
    <row r="104">
      <c r="A104" s="11" t="n">
        <v>4</v>
      </c>
      <c r="B104" s="11" t="inlineStr">
        <is>
          <t>4.13</t>
        </is>
      </c>
      <c r="C104" s="12" t="inlineStr">
        <is>
          <t>Leads that arrive by themselves</t>
        </is>
      </c>
      <c r="D104" s="12" t="inlineStr">
        <is>
          <t>Company</t>
        </is>
      </c>
      <c r="E104" s="13" t="inlineStr">
        <is>
          <t>Receive a lead from an ad form (Webhooks)</t>
        </is>
      </c>
      <c r="F104" s="14" t="inlineStr">
        <is>
          <t>1. On Leads, click "Add Lead", then "Link to Zapier"
2. In the "Webhooks" card, find the "Google Ads" row
3. Press "Simulate a POST (demo)"</t>
        </is>
      </c>
      <c r="G104" s="14" t="inlineStr">
        <is>
          <t>A message says someone "arrived via Google Ads" (new, or a known number sent to review); the counters rise and "Recent activity" gains a row.</t>
        </is>
      </c>
      <c r="H104" s="12" t="inlineStr">
        <is>
          <t>Different from 1.0: a demo POST stands in for real traffic</t>
        </is>
      </c>
      <c r="I104" s="11" t="inlineStr">
        <is>
          <t>Dane</t>
        </is>
      </c>
      <c r="J104" s="15" t="n"/>
      <c r="K104" s="15" t="n"/>
      <c r="L104" s="15" t="n"/>
      <c r="M104" s="16" t="n"/>
      <c r="N104" s="17" t="n"/>
      <c r="O104" s="17" t="n"/>
      <c r="P104" s="15" t="n"/>
    </row>
    <row r="105">
      <c r="A105" s="11" t="n">
        <v>4</v>
      </c>
      <c r="B105" s="11" t="inlineStr">
        <is>
          <t>4.14</t>
        </is>
      </c>
      <c r="C105" s="12" t="inlineStr">
        <is>
          <t>Leads that arrive by themselves</t>
        </is>
      </c>
      <c r="D105" s="12" t="inlineStr">
        <is>
          <t>Company</t>
        </is>
      </c>
      <c r="E105" s="13" t="inlineStr">
        <is>
          <t>Pick up leads from portal emails</t>
        </is>
      </c>
      <c r="F105" s="14" t="inlineStr">
        <is>
          <t>1. Scroll to the "Email lead sources" card
2. Press "Connect Gmail"
3. Press "Sync now"</t>
        </is>
      </c>
      <c r="G105" s="14" t="inlineStr">
        <is>
          <t>"Gmail connected — the platforms below are monitored"; the card turns ACTIVE; Sync now names who "enquired via @…" and EMAILS FOUND reads 1.</t>
        </is>
      </c>
      <c r="H105" s="12" t="inlineStr">
        <is>
          <t>Different from 1.0: a stand-in inbox; each sync plays one enquiry</t>
        </is>
      </c>
      <c r="I105" s="11" t="inlineStr">
        <is>
          <t>Dane</t>
        </is>
      </c>
      <c r="J105" s="15" t="n"/>
      <c r="K105" s="15" t="n"/>
      <c r="L105" s="15" t="n"/>
      <c r="M105" s="16" t="n"/>
      <c r="N105" s="17" t="n"/>
      <c r="O105" s="17" t="n"/>
      <c r="P105" s="15" t="n"/>
    </row>
    <row r="106">
      <c r="A106" s="11" t="n">
        <v>4</v>
      </c>
      <c r="B106" s="11" t="inlineStr">
        <is>
          <t>4.15</t>
        </is>
      </c>
      <c r="C106" s="12" t="inlineStr">
        <is>
          <t>Leads that arrive by themselves</t>
        </is>
      </c>
      <c r="D106" s="12" t="inlineStr">
        <is>
          <t>Leads</t>
        </is>
      </c>
      <c r="E106" s="13" t="inlineStr">
        <is>
          <t>Check the lead that came from Qanvast</t>
        </is>
      </c>
      <c r="F106" s="14" t="inlineStr">
        <is>
          <t>1. On Leads, open Hakim Salleh
2. Look at the source chip, then open ⋮ ("More options")
3. Click "Qanvast Ops" in the side navigation and find Hakim Salleh</t>
        </is>
      </c>
      <c r="G106" s="14" t="inlineStr">
        <is>
          <t>His QANVAST chip is green and the menu offers "Return Lead"; Qanvast Ops lists him with Return window "Opens in 7 days".</t>
        </is>
      </c>
      <c r="H106" s="12" t="inlineStr">
        <is>
          <t>New in 2.0</t>
        </is>
      </c>
      <c r="I106" s="11" t="inlineStr">
        <is>
          <t>Dane</t>
        </is>
      </c>
      <c r="J106" s="15" t="n"/>
      <c r="K106" s="15" t="n"/>
      <c r="L106" s="15" t="n"/>
      <c r="M106" s="16" t="n"/>
      <c r="N106" s="17" t="n"/>
      <c r="O106" s="17" t="n"/>
      <c r="P106" s="15" t="n"/>
    </row>
    <row r="107">
      <c r="A107" s="11" t="n">
        <v>4</v>
      </c>
      <c r="B107" s="11" t="inlineStr">
        <is>
          <t>4.16</t>
        </is>
      </c>
      <c r="C107" s="12" t="inlineStr">
        <is>
          <t>Find your way around the list</t>
        </is>
      </c>
      <c r="D107" s="12" t="inlineStr">
        <is>
          <t>Leads</t>
        </is>
      </c>
      <c r="E107" s="13" t="inlineStr">
        <is>
          <t>Find Sophia by part of her phone number</t>
        </is>
      </c>
      <c r="F107" s="14" t="inlineStr">
        <is>
          <t>1. On Leads, click the search box ("Search name, phone, email…")
2. Type 9765
3. Replace it with zzzz
4. Press "Clear All"</t>
        </is>
      </c>
      <c r="G107" s="14" t="inlineStr">
        <is>
          <t>9765 leaves only Sophia Wong, digits highlighted; zzzz shows "No results found"; "Clear All" brings every lead back.</t>
        </is>
      </c>
      <c r="H107" s="12" t="inlineStr">
        <is>
          <t>Different from 1.0: matches anything shown; phone at any length</t>
        </is>
      </c>
      <c r="I107" s="11" t="inlineStr">
        <is>
          <t>Dane</t>
        </is>
      </c>
      <c r="J107" s="15" t="n"/>
      <c r="K107" s="15" t="n"/>
      <c r="L107" s="15" t="n"/>
      <c r="M107" s="16" t="n"/>
      <c r="N107" s="17" t="n"/>
      <c r="O107" s="17" t="n"/>
      <c r="P107" s="15" t="n"/>
    </row>
    <row r="108">
      <c r="A108" s="11" t="n">
        <v>4</v>
      </c>
      <c r="B108" s="11" t="inlineStr">
        <is>
          <t>4.17</t>
        </is>
      </c>
      <c r="C108" s="12" t="inlineStr">
        <is>
          <t>Find your way around the list</t>
        </is>
      </c>
      <c r="D108" s="12" t="inlineStr">
        <is>
          <t>Leads</t>
        </is>
      </c>
      <c r="E108" s="13" t="inlineStr">
        <is>
          <t>Show only leads nobody owns yet</t>
        </is>
      </c>
      <c r="F108" s="14" t="inlineStr">
        <is>
          <t>1. Click the Filters icon ("Filters")
2. Open "Quick filters" and tick "Unassigned"
3. Press "Done"</t>
        </is>
      </c>
      <c r="G108" s="14" t="inlineStr">
        <is>
          <t>Only leads with "Assign" under Members remain — Sophia Wong and the new imports among them; the Filters icon shows 1.</t>
        </is>
      </c>
      <c r="H108" s="12" t="inlineStr">
        <is>
          <t>Different from 1.0: no Hot filter; Unseen added</t>
        </is>
      </c>
      <c r="I108" s="11" t="inlineStr">
        <is>
          <t>Dane</t>
        </is>
      </c>
      <c r="J108" s="15" t="n"/>
      <c r="K108" s="15" t="n"/>
      <c r="L108" s="15" t="n"/>
      <c r="M108" s="16" t="n"/>
      <c r="N108" s="17" t="n"/>
      <c r="O108" s="17" t="n"/>
      <c r="P108" s="15" t="n"/>
    </row>
    <row r="109">
      <c r="A109" s="11" t="n">
        <v>4</v>
      </c>
      <c r="B109" s="11" t="inlineStr">
        <is>
          <t>4.18</t>
        </is>
      </c>
      <c r="C109" s="12" t="inlineStr">
        <is>
          <t>Find your way around the list</t>
        </is>
      </c>
      <c r="D109" s="12" t="inlineStr">
        <is>
          <t>Leads</t>
        </is>
      </c>
      <c r="E109" s="13" t="inlineStr">
        <is>
          <t>Give two new leads to Alex in one go</t>
        </is>
      </c>
      <c r="F109" s="14" t="inlineStr">
        <is>
          <t>1. With the filter still on, tick Aaron Goh and Priscilla Low (not Sophia)
2. In the bar at the bottom press "Assign"
3. Tick "Alex", then press "Assign"</t>
        </is>
      </c>
      <c r="G109" s="14" t="inlineStr">
        <is>
          <t>The bar counts 2; "2 leads assigned to Alex" appears and both leave the Unassigned list; Sophia stays unassigned.</t>
        </is>
      </c>
      <c r="H109" s="12" t="inlineStr">
        <is>
          <t>Different from 1.0: adds members; never replaces or unassigns</t>
        </is>
      </c>
      <c r="I109" s="11" t="inlineStr">
        <is>
          <t>Dane</t>
        </is>
      </c>
      <c r="J109" s="15" t="n"/>
      <c r="K109" s="15" t="n"/>
      <c r="L109" s="15" t="n"/>
      <c r="M109" s="16" t="n"/>
      <c r="N109" s="17" t="n"/>
      <c r="O109" s="17" t="n"/>
      <c r="P109" s="15" t="n"/>
    </row>
    <row r="110">
      <c r="A110" s="11" t="n">
        <v>4</v>
      </c>
      <c r="B110" s="11" t="inlineStr">
        <is>
          <t>4.19</t>
        </is>
      </c>
      <c r="C110" s="12" t="inlineStr">
        <is>
          <t>Find your way around the list</t>
        </is>
      </c>
      <c r="D110" s="12" t="inlineStr">
        <is>
          <t>Leads</t>
        </is>
      </c>
      <c r="E110" s="13" t="inlineStr">
        <is>
          <t>Narrow the list to leads created this month</t>
        </is>
      </c>
      <c r="F110" s="14" t="inlineStr">
        <is>
          <t>1. Click "Filters", then "Date"
2. Choose "This month"
3. Press "Done"</t>
        </is>
      </c>
      <c r="G110" s="14" t="inlineStr">
        <is>
          <t>Only unassigned leads created since the 1st of this month remain, today's included; the Filters icon shows 2.</t>
        </is>
      </c>
      <c r="H110" s="12" t="inlineStr">
        <is>
          <t>Same as 1.0</t>
        </is>
      </c>
      <c r="I110" s="11" t="inlineStr">
        <is>
          <t>Dane</t>
        </is>
      </c>
      <c r="J110" s="15" t="n"/>
      <c r="K110" s="15" t="n"/>
      <c r="L110" s="15" t="n"/>
      <c r="M110" s="16" t="n"/>
      <c r="N110" s="17" t="n"/>
      <c r="O110" s="17" t="n"/>
      <c r="P110" s="15" t="n"/>
    </row>
    <row r="111">
      <c r="A111" s="11" t="n">
        <v>4</v>
      </c>
      <c r="B111" s="11" t="inlineStr">
        <is>
          <t>4.20</t>
        </is>
      </c>
      <c r="C111" s="12" t="inlineStr">
        <is>
          <t>Share and shape the list</t>
        </is>
      </c>
      <c r="D111" s="12" t="inlineStr">
        <is>
          <t>Leads</t>
        </is>
      </c>
      <c r="E111" s="13" t="inlineStr">
        <is>
          <t>Export exactly what the list shows</t>
        </is>
      </c>
      <c r="F111" s="14" t="inlineStr">
        <is>
          <t>1. Click ⋮ ("More options"), then "Export all as…"
2. Choose "What the list shows"; "Columns": As the list shows; "Choose file format": XLSX
3. Press "Export"
4. Then "Filters" › "Clear All" › "Done"</t>
        </is>
      </c>
      <c r="G111" s="14" t="inlineStr">
        <is>
          <t>The summary line counts those leads and columns; an XLSX downloads with "Exported … as XLSX"; Clear All brings every lead back.</t>
        </is>
      </c>
      <c r="H111" s="12" t="inlineStr">
        <is>
          <t>Different from 1.0: all or shown leads; four formats</t>
        </is>
      </c>
      <c r="I111" s="11" t="inlineStr">
        <is>
          <t>Dane</t>
        </is>
      </c>
      <c r="J111" s="15" t="n"/>
      <c r="K111" s="15" t="n"/>
      <c r="L111" s="15" t="n"/>
      <c r="M111" s="16" t="n"/>
      <c r="N111" s="17" t="n"/>
      <c r="O111" s="17" t="n"/>
      <c r="P111" s="15" t="n"/>
    </row>
    <row r="112">
      <c r="A112" s="11" t="n">
        <v>4</v>
      </c>
      <c r="B112" s="11" t="inlineStr">
        <is>
          <t>4.21</t>
        </is>
      </c>
      <c r="C112" s="12" t="inlineStr">
        <is>
          <t>Share and shape the list</t>
        </is>
      </c>
      <c r="D112" s="12" t="inlineStr">
        <is>
          <t>Leads</t>
        </is>
      </c>
      <c r="E112" s="13" t="inlineStr">
        <is>
          <t>Look at one stage, one source and one member</t>
        </is>
      </c>
      <c r="F112" s="14" t="inlineStr">
        <is>
          <t>1. Click "All Leads (…)" and pick "Contacted"
2. "Filters": in "Source" tick Qanvast, in "Members" tick Dane, in "Sort" pick "Oldest at the top"; "Done"
3. Read the list
4. "Filters" › "Clear All" › "Done"; then the pill › "All Leads"</t>
        </is>
      </c>
      <c r="G112" s="14" t="inlineStr">
        <is>
          <t>The pill reads "Contacted (2)" with a dot: Jasmine Lee above Gavin See; clearing both brings every lead back.</t>
        </is>
      </c>
      <c r="H112" s="12" t="inlineStr">
        <is>
          <t>Different from 1.0: stages on the pill; filters combine freely</t>
        </is>
      </c>
      <c r="I112" s="11" t="inlineStr">
        <is>
          <t>Dane</t>
        </is>
      </c>
      <c r="J112" s="15" t="n"/>
      <c r="K112" s="15" t="n"/>
      <c r="L112" s="15" t="n"/>
      <c r="M112" s="16" t="n"/>
      <c r="N112" s="17" t="n"/>
      <c r="O112" s="17" t="n"/>
      <c r="P112" s="15" t="n"/>
    </row>
    <row r="113">
      <c r="A113" s="11" t="n">
        <v>4</v>
      </c>
      <c r="B113" s="11" t="inlineStr">
        <is>
          <t>4.22</t>
        </is>
      </c>
      <c r="C113" s="12" t="inlineStr">
        <is>
          <t>Share and shape the list</t>
        </is>
      </c>
      <c r="D113" s="12" t="inlineStr">
        <is>
          <t>Leads</t>
        </is>
      </c>
      <c r="E113" s="13" t="inlineStr">
        <is>
          <t>Add the District and follow-up columns</t>
        </is>
      </c>
      <c r="F113" s="14" t="inlineStr">
        <is>
          <t>1. Click the "Column settings" icon (right of Filters)
2. Switch on "District", "Next follow-up" and "Last contact"
3. Press "Done"</t>
        </is>
      </c>
      <c r="G113" s="14" t="inlineStr">
        <is>
          <t>Three columns appear; on Sophia's row DISTRICT reads East and LAST CONTACT reads "No contact yet".</t>
        </is>
      </c>
      <c r="H113" s="12" t="inlineStr">
        <is>
          <t>New in 2.0</t>
        </is>
      </c>
      <c r="I113" s="11" t="inlineStr">
        <is>
          <t>Dane</t>
        </is>
      </c>
      <c r="J113" s="15" t="n"/>
      <c r="K113" s="15" t="n"/>
      <c r="L113" s="15" t="n"/>
      <c r="M113" s="16" t="n"/>
      <c r="N113" s="17" t="n"/>
      <c r="O113" s="17" t="n"/>
      <c r="P113" s="15" t="n"/>
    </row>
    <row r="114">
      <c r="A114" s="11" t="n">
        <v>4</v>
      </c>
      <c r="B114" s="11" t="inlineStr">
        <is>
          <t>4.23</t>
        </is>
      </c>
      <c r="C114" s="12" t="inlineStr">
        <is>
          <t>Share and shape the list</t>
        </is>
      </c>
      <c r="D114" s="12" t="inlineStr">
        <is>
          <t>Leads</t>
        </is>
      </c>
      <c r="E114" s="13" t="inlineStr">
        <is>
          <t>See the board and the owner-first rule</t>
        </is>
      </c>
      <c r="F114" s="14" t="inlineStr">
        <is>
          <t>1. Switch to the board ("Kanban view", top right of the list)
2. Drag Sophia Wong's card from New to Contacted
3. Switch back to "Table view"</t>
        </is>
      </c>
      <c r="G114" s="14" t="inlineStr">
        <is>
          <t>Seven stage columns sit under ACTIVE and INACTIVE; Sophia's card springs back with "Assign a member first".</t>
        </is>
      </c>
      <c r="H114" s="12" t="inlineStr">
        <is>
          <t>Different from 1.0: seven stage columns, not four buckets</t>
        </is>
      </c>
      <c r="I114" s="11" t="inlineStr">
        <is>
          <t>Dane</t>
        </is>
      </c>
      <c r="J114" s="15" t="n"/>
      <c r="K114" s="15" t="n"/>
      <c r="L114" s="15" t="n"/>
      <c r="M114" s="16" t="n"/>
      <c r="N114" s="17" t="n"/>
      <c r="O114" s="17" t="n"/>
      <c r="P114" s="15" t="n"/>
    </row>
    <row r="115" ht="22" customHeight="1">
      <c r="A115" s="9" t="inlineStr">
        <is>
          <t>Chapter 5 · Work your lead — Sophia Wong: assign, call, notes, tasks, files, questionnaire, meeting.</t>
        </is>
      </c>
      <c r="M115" s="10" t="n"/>
    </row>
    <row r="116">
      <c r="A116" s="11" t="n">
        <v>5</v>
      </c>
      <c r="B116" s="11" t="inlineStr">
        <is>
          <t>5.01</t>
        </is>
      </c>
      <c r="C116" s="12" t="inlineStr">
        <is>
          <t>Meet your new lead</t>
        </is>
      </c>
      <c r="D116" s="12" t="inlineStr">
        <is>
          <t>Lead details</t>
        </is>
      </c>
      <c r="E116" s="13" t="inlineStr">
        <is>
          <t>Open Sophia's lead</t>
        </is>
      </c>
      <c r="F116" s="14" t="inlineStr">
        <is>
          <t>1. On Leads, click Sophia Wong's name
2. Read the header
3. Press the back arrow, look at her row, then open her again</t>
        </is>
      </c>
      <c r="G116" s="14" t="inlineStr">
        <is>
          <t>Her "Overview" opens with chips 9765 4321 · S$ 60K · HDB 4-ROOM · REFERRAL and "Stage: New"; her row's band is gone.</t>
        </is>
      </c>
      <c r="H116" s="12" t="inlineStr">
        <is>
          <t>Different from 1.0: a full page with tabs, not a drawer</t>
        </is>
      </c>
      <c r="I116" s="11" t="inlineStr">
        <is>
          <t>Dane</t>
        </is>
      </c>
      <c r="J116" s="15" t="n"/>
      <c r="K116" s="15" t="n"/>
      <c r="L116" s="15" t="n"/>
      <c r="M116" s="16" t="n"/>
      <c r="N116" s="17" t="n"/>
      <c r="O116" s="17" t="n"/>
      <c r="P116" s="15" t="n"/>
    </row>
    <row r="117">
      <c r="A117" s="11" t="n">
        <v>5</v>
      </c>
      <c r="B117" s="11" t="inlineStr">
        <is>
          <t>5.02</t>
        </is>
      </c>
      <c r="C117" s="12" t="inlineStr">
        <is>
          <t>Meet your new lead</t>
        </is>
      </c>
      <c r="D117" s="12" t="inlineStr">
        <is>
          <t>Lead details</t>
        </is>
      </c>
      <c r="E117" s="13" t="inlineStr">
        <is>
          <t>Check her details on the left</t>
        </is>
      </c>
      <c r="F117" s="14" t="inlineStr">
        <is>
          <t>1. On her Overview, read the left column
2. Look at "Lead info", "Property info" and "Other info"</t>
        </is>
      </c>
      <c r="G117" s="14" t="inlineStr">
        <is>
          <t>Lead info: Stage New, Source Referral, Budget (S$) 60,000; Property info: HDB 4-Room, District East, Resale, in 3 months, her address.</t>
        </is>
      </c>
      <c r="H117" s="12" t="inlineStr">
        <is>
          <t>Same as 1.0</t>
        </is>
      </c>
      <c r="I117" s="11" t="inlineStr">
        <is>
          <t>Dane</t>
        </is>
      </c>
      <c r="J117" s="15" t="n"/>
      <c r="K117" s="15" t="n"/>
      <c r="L117" s="15" t="n"/>
      <c r="M117" s="16" t="n"/>
      <c r="N117" s="17" t="n"/>
      <c r="O117" s="17" t="n"/>
      <c r="P117" s="15" t="n"/>
    </row>
    <row r="118">
      <c r="A118" s="11" t="n">
        <v>5</v>
      </c>
      <c r="B118" s="11" t="inlineStr">
        <is>
          <t>5.03</t>
        </is>
      </c>
      <c r="C118" s="12" t="inlineStr">
        <is>
          <t>Meet your new lead</t>
        </is>
      </c>
      <c r="D118" s="12" t="inlineStr">
        <is>
          <t>Lead details</t>
        </is>
      </c>
      <c r="E118" s="13" t="inlineStr">
        <is>
          <t>Try to move her before anyone owns her</t>
        </is>
      </c>
      <c r="F118" s="14" t="inlineStr">
        <is>
          <t>1. Click "Stage: New" and point at "Contacted"
2. Close the menu
3. Point at, then press, "Convert to Project"</t>
        </is>
      </c>
      <c r="G118" s="14" t="inlineStr">
        <is>
          <t>Contacted is greyed with "Assign a member first"; Convert to Project wears a lock and answers "Assign a member first".</t>
        </is>
      </c>
      <c r="H118" s="12" t="inlineStr">
        <is>
          <t>Same as 1.0</t>
        </is>
      </c>
      <c r="I118" s="11" t="inlineStr">
        <is>
          <t>Dane</t>
        </is>
      </c>
      <c r="J118" s="15" t="n"/>
      <c r="K118" s="15" t="n"/>
      <c r="L118" s="15" t="n"/>
      <c r="M118" s="16" t="n"/>
      <c r="N118" s="17" t="n"/>
      <c r="O118" s="17" t="n"/>
      <c r="P118" s="15" t="n"/>
    </row>
    <row r="119">
      <c r="A119" s="11" t="n">
        <v>5</v>
      </c>
      <c r="B119" s="11" t="inlineStr">
        <is>
          <t>5.04</t>
        </is>
      </c>
      <c r="C119" s="12" t="inlineStr">
        <is>
          <t>Give her an owner</t>
        </is>
      </c>
      <c r="D119" s="12" t="inlineStr">
        <is>
          <t>Lead details</t>
        </is>
      </c>
      <c r="E119" s="13" t="inlineStr">
        <is>
          <t>Assign the member the studio suggests</t>
        </is>
      </c>
      <c r="F119" s="14" t="inlineStr">
        <is>
          <t>1. In the left column, under "Collaborators", click "Assign Member"
2. Read the "Suggested · …" box
3. Press "Assign to Sarah", then "Assign"</t>
        </is>
      </c>
      <c r="G119" s="14" t="inlineStr">
        <is>
          <t>"Suggested · Sarah" explains why (HDB 4-Room, East area); "Members updated" and Sarah shows under Collaborators.</t>
        </is>
      </c>
      <c r="H119" s="12" t="inlineStr">
        <is>
          <t>Different from 1.0: a line in Assign, scored the same way</t>
        </is>
      </c>
      <c r="I119" s="11" t="inlineStr">
        <is>
          <t>Dane</t>
        </is>
      </c>
      <c r="J119" s="15" t="n"/>
      <c r="K119" s="15" t="n"/>
      <c r="L119" s="15" t="n"/>
      <c r="M119" s="16" t="n"/>
      <c r="N119" s="17" t="n"/>
      <c r="O119" s="17" t="n"/>
      <c r="P119" s="15" t="n"/>
    </row>
    <row r="120">
      <c r="A120" s="11" t="n">
        <v>5</v>
      </c>
      <c r="B120" s="11" t="inlineStr">
        <is>
          <t>5.05</t>
        </is>
      </c>
      <c r="C120" s="12" t="inlineStr">
        <is>
          <t>Give her an owner</t>
        </is>
      </c>
      <c r="D120" s="12" t="inlineStr">
        <is>
          <t>Lead details</t>
        </is>
      </c>
      <c r="E120" s="13" t="inlineStr">
        <is>
          <t>Set a reminder to follow up tomorrow</t>
        </is>
      </c>
      <c r="F120" s="14" t="inlineStr">
        <is>
          <t>1. In the "LEAD STAGES" card click "Next follow-up" (None set)
2. In "Set a follow-up", pick tomorrow at 10:00 AM for "When"
3. Keep the "Task" name, press "Save"</t>
        </is>
      </c>
      <c r="G120" s="14" t="inlineStr">
        <is>
          <t>"Follow-up set for …" appears; Next follow-up now reads "Follow up with Sophia Wong" with tomorrow's date.</t>
        </is>
      </c>
      <c r="H120" s="12" t="inlineStr">
        <is>
          <t>Different from 1.0: the follow-up is a task, not a lead date</t>
        </is>
      </c>
      <c r="I120" s="11" t="inlineStr">
        <is>
          <t>Dane</t>
        </is>
      </c>
      <c r="J120" s="15" t="n"/>
      <c r="K120" s="15" t="n"/>
      <c r="L120" s="15" t="n"/>
      <c r="M120" s="16" t="n"/>
      <c r="N120" s="17" t="n"/>
      <c r="O120" s="17" t="n"/>
      <c r="P120" s="15" t="n"/>
    </row>
    <row r="121">
      <c r="A121" s="11" t="n">
        <v>5</v>
      </c>
      <c r="B121" s="11" t="inlineStr">
        <is>
          <t>5.06</t>
        </is>
      </c>
      <c r="C121" s="12" t="inlineStr">
        <is>
          <t>Give her an owner</t>
        </is>
      </c>
      <c r="D121" s="12" t="inlineStr">
        <is>
          <t>Lead details</t>
        </is>
      </c>
      <c r="E121" s="13" t="inlineStr">
        <is>
          <t>Add her NRIC and correct her key collection</t>
        </is>
      </c>
      <c r="F121" s="14" t="inlineStr">
        <is>
          <t>1. Open ⋮ ("More options"), then "Edit"
2. "NRIC / FIN": S8812345D · "Key collection": Collected
3. Press "Save"</t>
        </is>
      </c>
      <c r="G121" s="14" t="inlineStr">
        <is>
          <t>"Successfully Updated"; Lead info shows NRIC / FIN S8812345D and Property info shows Key collection Collected.</t>
        </is>
      </c>
      <c r="H121" s="12" t="inlineStr">
        <is>
          <t>Same as 1.0</t>
        </is>
      </c>
      <c r="I121" s="11" t="inlineStr">
        <is>
          <t>Dane</t>
        </is>
      </c>
      <c r="J121" s="15" t="n"/>
      <c r="K121" s="15" t="n"/>
      <c r="L121" s="15" t="n"/>
      <c r="M121" s="16" t="n"/>
      <c r="N121" s="17" t="n"/>
      <c r="O121" s="17" t="n"/>
      <c r="P121" s="15" t="n"/>
    </row>
    <row r="122">
      <c r="A122" s="11" t="n">
        <v>5</v>
      </c>
      <c r="B122" s="11" t="inlineStr">
        <is>
          <t>5.07</t>
        </is>
      </c>
      <c r="C122" s="12" t="inlineStr">
        <is>
          <t>Log the first call</t>
        </is>
      </c>
      <c r="D122" s="12" t="inlineStr">
        <is>
          <t>Lead details</t>
        </is>
      </c>
      <c r="E122" s="13" t="inlineStr">
        <is>
          <t>Check the call log asks for what it needs</t>
        </is>
      </c>
      <c r="F122" s="14" t="inlineStr">
        <is>
          <t>1. Click "Stage: New", then "Contacted"
2. In the "Move stage" window press "Save" without filling anything</t>
        </is>
      </c>
      <c r="G122" s="14" t="inlineStr">
        <is>
          <t>"Moving to Contacted"; red messages under the empty fields and "Unable to move. Please fill in the required fields."; channels include "In person".</t>
        </is>
      </c>
      <c r="H122" s="12" t="inlineStr">
        <is>
          <t>Different from 1.0: a screenshot is needed to log contact</t>
        </is>
      </c>
      <c r="I122" s="11" t="inlineStr">
        <is>
          <t>Dane</t>
        </is>
      </c>
      <c r="J122" s="15" t="n"/>
      <c r="K122" s="15" t="n"/>
      <c r="L122" s="15" t="n"/>
      <c r="M122" s="16" t="n"/>
      <c r="N122" s="17" t="n"/>
      <c r="O122" s="17" t="n"/>
      <c r="P122" s="15" t="n"/>
    </row>
    <row r="123">
      <c r="A123" s="11" t="n">
        <v>5</v>
      </c>
      <c r="B123" s="11" t="inlineStr">
        <is>
          <t>5.08</t>
        </is>
      </c>
      <c r="C123" s="12" t="inlineStr">
        <is>
          <t>Log the first call</t>
        </is>
      </c>
      <c r="D123" s="12" t="inlineStr">
        <is>
          <t>Lead details</t>
        </is>
      </c>
      <c r="E123" s="13" t="inlineStr">
        <is>
          <t>Log the call and pick the suggested tasks</t>
        </is>
      </c>
      <c r="F123" s="14" t="inlineStr">
        <is>
          <t>1. "Contacted via" Call · "Date &amp; Time" today, now · "Outcome" Callback requested
2. Under "Schedule a call/meeting (optional)": two days from now, 11:00 AM · "Preferred mode" Call
3. Under "Attach screenshots of your call attempts" press "Attach", then "Save"
4. In "Suggested tasks" tick the suggestion, press "Save"</t>
        </is>
      </c>
      <c r="G123" s="14" t="inlineStr">
        <is>
          <t>"Auto added" shows "Follow up with the client via Call on …"; then "Moved to Contacted" and the button reads "Stage: Contacted".</t>
        </is>
      </c>
      <c r="H123" s="12" t="inlineStr">
        <is>
          <t>Different from 1.0: a scheduled call becomes a task automatically</t>
        </is>
      </c>
      <c r="I123" s="11" t="inlineStr">
        <is>
          <t>Dane</t>
        </is>
      </c>
      <c r="J123" s="15" t="n"/>
      <c r="K123" s="15" t="n"/>
      <c r="L123" s="15" t="n"/>
      <c r="M123" s="16" t="n"/>
      <c r="N123" s="17" t="n"/>
      <c r="O123" s="17" t="n"/>
      <c r="P123" s="15" t="n"/>
    </row>
    <row r="124">
      <c r="A124" s="11" t="n">
        <v>5</v>
      </c>
      <c r="B124" s="11" t="inlineStr">
        <is>
          <t>5.09</t>
        </is>
      </c>
      <c r="C124" s="12" t="inlineStr">
        <is>
          <t>Log the first call</t>
        </is>
      </c>
      <c r="D124" s="12" t="inlineStr">
        <is>
          <t>Lead details</t>
        </is>
      </c>
      <c r="E124" s="13" t="inlineStr">
        <is>
          <t>Find the call in Notes &amp; Logs</t>
        </is>
      </c>
      <c r="F124" s="14" t="inlineStr">
        <is>
          <t>1. Open the "Notes &amp; Logs" tab
2. Click the Call contact log in the list</t>
        </is>
      </c>
      <c r="G124" s="14" t="inlineStr">
        <is>
          <t>The log shows Call · Callback requested; its header reads "Added during stage movement — view only".</t>
        </is>
      </c>
      <c r="H124" s="12" t="inlineStr">
        <is>
          <t>New in 2.0</t>
        </is>
      </c>
      <c r="I124" s="11" t="inlineStr">
        <is>
          <t>Dane</t>
        </is>
      </c>
      <c r="J124" s="15" t="n"/>
      <c r="K124" s="15" t="n"/>
      <c r="L124" s="15" t="n"/>
      <c r="M124" s="16" t="n"/>
      <c r="N124" s="17" t="n"/>
      <c r="O124" s="17" t="n"/>
      <c r="P124" s="15" t="n"/>
    </row>
    <row r="125">
      <c r="A125" s="11" t="n">
        <v>5</v>
      </c>
      <c r="B125" s="11" t="inlineStr">
        <is>
          <t>5.10</t>
        </is>
      </c>
      <c r="C125" s="12" t="inlineStr">
        <is>
          <t>Notes and tasks</t>
        </is>
      </c>
      <c r="D125" s="12" t="inlineStr">
        <is>
          <t>Lead details</t>
        </is>
      </c>
      <c r="E125" s="13" t="inlineStr">
        <is>
          <t>Write a quick note that saves itself</t>
        </is>
      </c>
      <c r="F125" s="14" t="inlineStr">
        <is>
          <t>1. In "Notes &amp; Logs" click "New", then "Note"
2. Title: Site visit prep; write a line about her kitchen
3. Click another item in the list</t>
        </is>
      </c>
      <c r="G125" s="14" t="inlineStr">
        <is>
          <t>The note stays in the list under its title — there is no Save button to press.</t>
        </is>
      </c>
      <c r="H125" s="12" t="inlineStr">
        <is>
          <t>Different from 1.0: many dated notes, not one field</t>
        </is>
      </c>
      <c r="I125" s="11" t="inlineStr">
        <is>
          <t>Dane</t>
        </is>
      </c>
      <c r="J125" s="15" t="n"/>
      <c r="K125" s="15" t="n"/>
      <c r="L125" s="15" t="n"/>
      <c r="M125" s="16" t="n"/>
      <c r="N125" s="17" t="n"/>
      <c r="O125" s="17" t="n"/>
      <c r="P125" s="15" t="n"/>
    </row>
    <row r="126">
      <c r="A126" s="11" t="n">
        <v>5</v>
      </c>
      <c r="B126" s="11" t="inlineStr">
        <is>
          <t>5.11</t>
        </is>
      </c>
      <c r="C126" s="12" t="inlineStr">
        <is>
          <t>Notes and tasks</t>
        </is>
      </c>
      <c r="D126" s="12" t="inlineStr">
        <is>
          <t>Lead details</t>
        </is>
      </c>
      <c r="E126" s="13" t="inlineStr">
        <is>
          <t>Log a WhatsApp chat with Auto Fill</t>
        </is>
      </c>
      <c r="F126" s="14" t="inlineStr">
        <is>
          <t>1. Click "New", then "Contact Log"
2. Press "Auto Fill", then "Upload"
3. In "Add tasks" press "Save"
4. Press "Save" under the log (if "Add tasks" opens again, press "Cancel")</t>
        </is>
      </c>
      <c r="G126" s="14" t="inlineStr">
        <is>
          <t>The log fills with WhatsApp · Connected and a meeting in three days; "1 task added", then "Contact log saved".</t>
        </is>
      </c>
      <c r="H126" s="12" t="inlineStr">
        <is>
          <t>Different from 1.0: a sample fill stands in for AI reading</t>
        </is>
      </c>
      <c r="I126" s="11" t="inlineStr">
        <is>
          <t>Dane</t>
        </is>
      </c>
      <c r="J126" s="15" t="n"/>
      <c r="K126" s="15" t="n"/>
      <c r="L126" s="15" t="n"/>
      <c r="M126" s="16" t="n"/>
      <c r="N126" s="17" t="n"/>
      <c r="O126" s="17" t="n"/>
      <c r="P126" s="15" t="n"/>
    </row>
    <row r="127">
      <c r="A127" s="11" t="n">
        <v>5</v>
      </c>
      <c r="B127" s="11" t="inlineStr">
        <is>
          <t>5.12</t>
        </is>
      </c>
      <c r="C127" s="12" t="inlineStr">
        <is>
          <t>Notes and tasks</t>
        </is>
      </c>
      <c r="D127" s="12" t="inlineStr">
        <is>
          <t>Lead details</t>
        </is>
      </c>
      <c r="E127" s="13" t="inlineStr">
        <is>
          <t>Tick off the follow-up you just did</t>
        </is>
      </c>
      <c r="F127" s="14" t="inlineStr">
        <is>
          <t>1. Open the "Tasks" tab
2. Find "Follow up with Sophia Wong"
3. Click its round check ("Mark as completed")</t>
        </is>
      </c>
      <c r="G127" s="14" t="inlineStr">
        <is>
          <t>The list holds your follow-ups with due dates and the suggestion; the ticked one now shows a filled check.</t>
        </is>
      </c>
      <c r="H127" s="12" t="inlineStr">
        <is>
          <t>New in 2.0</t>
        </is>
      </c>
      <c r="I127" s="11" t="inlineStr">
        <is>
          <t>Dane</t>
        </is>
      </c>
      <c r="J127" s="15" t="n"/>
      <c r="K127" s="15" t="n"/>
      <c r="L127" s="15" t="n"/>
      <c r="M127" s="16" t="n"/>
      <c r="N127" s="17" t="n"/>
      <c r="O127" s="17" t="n"/>
      <c r="P127" s="15" t="n"/>
    </row>
    <row r="128">
      <c r="A128" s="11" t="n">
        <v>5</v>
      </c>
      <c r="B128" s="11" t="inlineStr">
        <is>
          <t>5.13</t>
        </is>
      </c>
      <c r="C128" s="12" t="inlineStr">
        <is>
          <t>Notes and tasks</t>
        </is>
      </c>
      <c r="D128" s="12" t="inlineStr">
        <is>
          <t>Lead details</t>
        </is>
      </c>
      <c r="E128" s="13" t="inlineStr">
        <is>
          <t>Add a task and give it a due date</t>
        </is>
      </c>
      <c r="F128" s="14" t="inlineStr">
        <is>
          <t>1. Click "Add Task", then "Create New Task"
2. Type Send Sophia the HDB renovation checklist, press Enter
3. In its "Due date" cell click the calendar ("Set due date") and pick Friday</t>
        </is>
      </c>
      <c r="G128" s="14" t="inlineStr">
        <is>
          <t>The new task sits in the list with Friday as its due date.</t>
        </is>
      </c>
      <c r="H128" s="12" t="inlineStr">
        <is>
          <t>New in 2.0</t>
        </is>
      </c>
      <c r="I128" s="11" t="inlineStr">
        <is>
          <t>Dane</t>
        </is>
      </c>
      <c r="J128" s="15" t="n"/>
      <c r="K128" s="15" t="n"/>
      <c r="L128" s="15" t="n"/>
      <c r="M128" s="16" t="n"/>
      <c r="N128" s="17" t="n"/>
      <c r="O128" s="17" t="n"/>
      <c r="P128" s="15" t="n"/>
    </row>
    <row r="129">
      <c r="A129" s="11" t="n">
        <v>5</v>
      </c>
      <c r="B129" s="11" t="inlineStr">
        <is>
          <t>5.14</t>
        </is>
      </c>
      <c r="C129" s="12" t="inlineStr">
        <is>
          <t>Her files</t>
        </is>
      </c>
      <c r="D129" s="12" t="inlineStr">
        <is>
          <t>Lead details</t>
        </is>
      </c>
      <c r="E129" s="13" t="inlineStr">
        <is>
          <t>Find her floor plan and make a folder</t>
        </is>
      </c>
      <c r="F129" s="14" t="inlineStr">
        <is>
          <t>1. Open the "Files" tab
2. Check sophia-floor-plan.pdf is there
3. Click the "New Folder" icon, name it Site photos, press "Save"</t>
        </is>
      </c>
      <c r="G129" s="14" t="inlineStr">
        <is>
          <t>The floor plan attached when she was created is listed; "Folder created" and a Site photos folder appears.</t>
        </is>
      </c>
      <c r="H129" s="12" t="inlineStr">
        <is>
          <t>Different from 1.0: folders, trash and comments</t>
        </is>
      </c>
      <c r="I129" s="11" t="inlineStr">
        <is>
          <t>Dane</t>
        </is>
      </c>
      <c r="J129" s="15" t="n"/>
      <c r="K129" s="15" t="n"/>
      <c r="L129" s="15" t="n"/>
      <c r="M129" s="16" t="n"/>
      <c r="N129" s="17" t="n"/>
      <c r="O129" s="17" t="n"/>
      <c r="P129" s="15" t="n"/>
    </row>
    <row r="130">
      <c r="A130" s="11" t="n">
        <v>5</v>
      </c>
      <c r="B130" s="11" t="inlineStr">
        <is>
          <t>5.15</t>
        </is>
      </c>
      <c r="C130" s="12" t="inlineStr">
        <is>
          <t>Her files</t>
        </is>
      </c>
      <c r="D130" s="12" t="inlineStr">
        <is>
          <t>Lead details</t>
        </is>
      </c>
      <c r="E130" s="13" t="inlineStr">
        <is>
          <t>Upload a photo into the folder</t>
        </is>
      </c>
      <c r="F130" s="14" t="inlineStr">
        <is>
          <t>1. Click the Site photos folder to open it
2. Click "New File", then "From Local Files"
3. Pick sophia-living-room.jpg</t>
        </is>
      </c>
      <c r="G130" s="14" t="inlineStr">
        <is>
          <t>"Uploading 1 file", then "File uploaded"; a tile named sophia-living-room.jpg appears, showing her living-room photo.</t>
        </is>
      </c>
      <c r="H130" s="12" t="inlineStr">
        <is>
          <t>Same as 1.0</t>
        </is>
      </c>
      <c r="I130" s="11" t="inlineStr">
        <is>
          <t>Dane</t>
        </is>
      </c>
      <c r="J130" s="15" t="n"/>
      <c r="K130" s="15" t="n"/>
      <c r="L130" s="15" t="n"/>
      <c r="M130" s="16" t="n"/>
      <c r="N130" s="17" t="n"/>
      <c r="O130" s="17" t="n"/>
      <c r="P130" s="15" t="n"/>
    </row>
    <row r="131">
      <c r="A131" s="11" t="n">
        <v>5</v>
      </c>
      <c r="B131" s="11" t="inlineStr">
        <is>
          <t>5.16</t>
        </is>
      </c>
      <c r="C131" s="12" t="inlineStr">
        <is>
          <t>Her files</t>
        </is>
      </c>
      <c r="D131" s="12" t="inlineStr">
        <is>
          <t>Lead details</t>
        </is>
      </c>
      <c r="E131" s="13" t="inlineStr">
        <is>
          <t>Leave your team a comment on the photo</t>
        </is>
      </c>
      <c r="F131" s="14" t="inlineStr">
        <is>
          <t>1. Double-click the photo to open it
2. Click the "Comments" icon (top right)
3. Type Check the window measurements, press Enter
4. Press the back arrow ("Back to Files")</t>
        </is>
      </c>
      <c r="G131" s="14" t="inlineStr">
        <is>
          <t>Your comment appears under your name; the panel notes "Clients can’t see these comments".</t>
        </is>
      </c>
      <c r="H131" s="12" t="inlineStr">
        <is>
          <t>New in 2.0</t>
        </is>
      </c>
      <c r="I131" s="11" t="inlineStr">
        <is>
          <t>Dane</t>
        </is>
      </c>
      <c r="J131" s="15" t="n"/>
      <c r="K131" s="15" t="n"/>
      <c r="L131" s="15" t="n"/>
      <c r="M131" s="16" t="n"/>
      <c r="N131" s="17" t="n"/>
      <c r="O131" s="17" t="n"/>
      <c r="P131" s="15" t="n"/>
    </row>
    <row r="132">
      <c r="A132" s="11" t="n">
        <v>5</v>
      </c>
      <c r="B132" s="11" t="inlineStr">
        <is>
          <t>5.17</t>
        </is>
      </c>
      <c r="C132" s="12" t="inlineStr">
        <is>
          <t>What does she need?</t>
        </is>
      </c>
      <c r="D132" s="12" t="inlineStr">
        <is>
          <t>Lead details</t>
        </is>
      </c>
      <c r="E132" s="13" t="inlineStr">
        <is>
          <t>Answer one of the studio's questions</t>
        </is>
      </c>
      <c r="F132" s="14" t="inlineStr">
        <is>
          <t>1. Open the "Questionnaire" tab
2. On the first question press "Answer"
3. Type a short answer, press "Save"</t>
        </is>
      </c>
      <c r="G132" s="14" t="inlineStr">
        <is>
          <t>Her lead already holds the studio's questions (Company › Questionnaire, chapter 3's included); "Answer saved" and your answer shows after "A:".</t>
        </is>
      </c>
      <c r="H132" s="12" t="inlineStr">
        <is>
          <t>Different from 1.0: the studio answers here; clients use the portal</t>
        </is>
      </c>
      <c r="I132" s="11" t="inlineStr">
        <is>
          <t>Dane</t>
        </is>
      </c>
      <c r="J132" s="15" t="n"/>
      <c r="K132" s="15" t="n"/>
      <c r="L132" s="15" t="n"/>
      <c r="M132" s="16" t="n"/>
      <c r="N132" s="17" t="n"/>
      <c r="O132" s="17" t="n"/>
      <c r="P132" s="15" t="n"/>
    </row>
    <row r="133">
      <c r="A133" s="11" t="n">
        <v>5</v>
      </c>
      <c r="B133" s="11" t="inlineStr">
        <is>
          <t>5.18</t>
        </is>
      </c>
      <c r="C133" s="12" t="inlineStr">
        <is>
          <t>What does she need?</t>
        </is>
      </c>
      <c r="D133" s="12" t="inlineStr">
        <is>
          <t>Lead details</t>
        </is>
      </c>
      <c r="E133" s="13" t="inlineStr">
        <is>
          <t>Ask Sophia to answer the rest herself</t>
        </is>
      </c>
      <c r="F133" s="14" t="inlineStr">
        <is>
          <t>1. Press "Ask Client"
2. In "Ask the client", press "Copy" beside the portal link
3. Press "Send via WhatsApp"</t>
        </is>
      </c>
      <c r="G133" s="14" t="inlineStr">
        <is>
          <t>"Notification sent to Sophia Wong" (no WhatsApp tab opens here); the summary now reads "Client asked on" with today's date.</t>
        </is>
      </c>
      <c r="H133" s="12" t="inlineStr">
        <is>
          <t>Different from 1.0: the ask is recorded; no 5-minute limit</t>
        </is>
      </c>
      <c r="I133" s="11" t="inlineStr">
        <is>
          <t>Dane</t>
        </is>
      </c>
      <c r="J133" s="15" t="n"/>
      <c r="K133" s="15" t="n"/>
      <c r="L133" s="15" t="n"/>
      <c r="M133" s="16" t="n"/>
      <c r="N133" s="17" t="n"/>
      <c r="O133" s="17" t="n"/>
      <c r="P133" s="15" t="n"/>
    </row>
    <row r="134">
      <c r="A134" s="11" t="n">
        <v>5</v>
      </c>
      <c r="B134" s="11" t="inlineStr">
        <is>
          <t>5.19</t>
        </is>
      </c>
      <c r="C134" s="12" t="inlineStr">
        <is>
          <t>The showroom visit</t>
        </is>
      </c>
      <c r="D134" s="12" t="inlineStr">
        <is>
          <t>Lead details</t>
        </is>
      </c>
      <c r="E134" s="13" t="inlineStr">
        <is>
          <t>Record the showroom meeting</t>
        </is>
      </c>
      <c r="F134" s="14" t="inlineStr">
        <is>
          <t>1. Click "Stage: Contacted", then "Met"
2. "Where": Showroom · "Date &amp; Time": today, now
3. Press "Save"</t>
        </is>
      </c>
      <c r="G134" s="14" t="inlineStr">
        <is>
          <t>"Moved to Met"; the header button reads "Stage: Met".</t>
        </is>
      </c>
      <c r="H134" s="12" t="inlineStr">
        <is>
          <t>Different from 1.0: a meeting log with where and when</t>
        </is>
      </c>
      <c r="I134" s="11" t="inlineStr">
        <is>
          <t>Dane</t>
        </is>
      </c>
      <c r="J134" s="15" t="n"/>
      <c r="K134" s="15" t="n"/>
      <c r="L134" s="15" t="n"/>
      <c r="M134" s="16" t="n"/>
      <c r="N134" s="17" t="n"/>
      <c r="O134" s="17" t="n"/>
      <c r="P134" s="15" t="n"/>
    </row>
    <row r="135">
      <c r="A135" s="11" t="n">
        <v>5</v>
      </c>
      <c r="B135" s="11" t="inlineStr">
        <is>
          <t>5.20</t>
        </is>
      </c>
      <c r="C135" s="12" t="inlineStr">
        <is>
          <t>The showroom visit</t>
        </is>
      </c>
      <c r="D135" s="12" t="inlineStr">
        <is>
          <t>Lead details</t>
        </is>
      </c>
      <c r="E135" s="13" t="inlineStr">
        <is>
          <t>Look back at the call — stages never move back</t>
        </is>
      </c>
      <c r="F135" s="14" t="inlineStr">
        <is>
          <t>1. In the "LEAD STAGES" card, click the "Contacted" row
2. Read the window, then press "Cancel"</t>
        </is>
      </c>
      <c r="G135" s="14" t="inlineStr">
        <is>
          <t>"Contacted details" opens read-only, with "Edit" on the log and "Add Log" at the top; there is no Save button.</t>
        </is>
      </c>
      <c r="H135" s="12" t="inlineStr">
        <is>
          <t>Different from 1.0: done stages open read-only; nothing moves back</t>
        </is>
      </c>
      <c r="I135" s="11" t="inlineStr">
        <is>
          <t>Dane</t>
        </is>
      </c>
      <c r="J135" s="15" t="n"/>
      <c r="K135" s="15" t="n"/>
      <c r="L135" s="15" t="n"/>
      <c r="M135" s="16" t="n"/>
      <c r="N135" s="17" t="n"/>
      <c r="O135" s="17" t="n"/>
      <c r="P135" s="15" t="n"/>
    </row>
    <row r="136">
      <c r="A136" s="11" t="n">
        <v>5</v>
      </c>
      <c r="B136" s="11" t="inlineStr">
        <is>
          <t>5.21</t>
        </is>
      </c>
      <c r="C136" s="12" t="inlineStr">
        <is>
          <t>The showroom visit</t>
        </is>
      </c>
      <c r="D136" s="12" t="inlineStr">
        <is>
          <t>Lead details</t>
        </is>
      </c>
      <c r="E136" s="13" t="inlineStr">
        <is>
          <t>Read her journey at a glance</t>
        </is>
      </c>
      <c r="F136" s="14" t="inlineStr">
        <is>
          <t>1. On "Overview", read the "LEAD STAGES" card
2. Read the three lines under the stages</t>
        </is>
      </c>
      <c r="G136" s="14" t="inlineStr">
        <is>
          <t>New, Contacted ticked, Met current; Next follow-up shows your earliest dated task; Response time reads like "Assigned in … · First contact in …".</t>
        </is>
      </c>
      <c r="H136" s="12" t="inlineStr">
        <is>
          <t>Different from 1.0: one line instead of a Response time card</t>
        </is>
      </c>
      <c r="I136" s="11" t="inlineStr">
        <is>
          <t>Dane</t>
        </is>
      </c>
      <c r="J136" s="15" t="n"/>
      <c r="K136" s="15" t="n"/>
      <c r="L136" s="15" t="n"/>
      <c r="M136" s="16" t="n"/>
      <c r="N136" s="17" t="n"/>
      <c r="O136" s="17" t="n"/>
      <c r="P136" s="15" t="n"/>
    </row>
    <row r="137">
      <c r="A137" s="11" t="n">
        <v>5</v>
      </c>
      <c r="B137" s="11" t="inlineStr">
        <is>
          <t>5.22</t>
        </is>
      </c>
      <c r="C137" s="12" t="inlineStr">
        <is>
          <t>The day's record</t>
        </is>
      </c>
      <c r="D137" s="12" t="inlineStr">
        <is>
          <t>Lead details</t>
        </is>
      </c>
      <c r="E137" s="13" t="inlineStr">
        <is>
          <t>Read everything that happened to her lead</t>
        </is>
      </c>
      <c r="F137" s="14" t="inlineStr">
        <is>
          <t>1. Open the "Activity" tab
2. Scroll through today</t>
        </is>
      </c>
      <c r="G137" s="14" t="inlineStr">
        <is>
          <t>Among the lines: "You assigned Sarah to this lead.", "You edited the lead — …" and "You asked Sophia Wong to answer the questionnaire."</t>
        </is>
      </c>
      <c r="H137" s="12" t="inlineStr">
        <is>
          <t>Different from 1.0: built from records, plus logged edits and asks</t>
        </is>
      </c>
      <c r="I137" s="11" t="inlineStr">
        <is>
          <t>Dane</t>
        </is>
      </c>
      <c r="J137" s="15" t="n"/>
      <c r="K137" s="15" t="n"/>
      <c r="L137" s="15" t="n"/>
      <c r="M137" s="16" t="n"/>
      <c r="N137" s="17" t="n"/>
      <c r="O137" s="17" t="n"/>
      <c r="P137" s="15" t="n"/>
    </row>
    <row r="138">
      <c r="A138" s="11" t="n">
        <v>5</v>
      </c>
      <c r="B138" s="11" t="inlineStr">
        <is>
          <t>5.23</t>
        </is>
      </c>
      <c r="C138" s="12" t="inlineStr">
        <is>
          <t>The day's record</t>
        </is>
      </c>
      <c r="D138" s="12" t="inlineStr">
        <is>
          <t>Leads</t>
        </is>
      </c>
      <c r="E138" s="13" t="inlineStr">
        <is>
          <t>See Sophia's progress from the list</t>
        </is>
      </c>
      <c r="F138" s="14" t="inlineStr">
        <is>
          <t>1. Go back to "Leads"
2. Find Sophia Wong's row</t>
        </is>
      </c>
      <c r="G138" s="14" t="inlineStr">
        <is>
          <t>Stage Met, Sarah under Members, a task in Tasks, and the District, Next follow-up and Last contact columns filled in.</t>
        </is>
      </c>
      <c r="H138" s="12" t="inlineStr">
        <is>
          <t>Same as 1.0</t>
        </is>
      </c>
      <c r="I138" s="11" t="inlineStr">
        <is>
          <t>Dane</t>
        </is>
      </c>
      <c r="J138" s="15" t="n"/>
      <c r="K138" s="15" t="n"/>
      <c r="L138" s="15" t="n"/>
      <c r="M138" s="16" t="n"/>
      <c r="N138" s="17" t="n"/>
      <c r="O138" s="17" t="n"/>
      <c r="P138" s="15" t="n"/>
    </row>
    <row r="139" ht="22" customHeight="1">
      <c r="A139" s="9" t="inlineStr">
        <is>
          <t>Chapter 6 · Quote it — Sophia’s quote, from template to the client’s confirmation.</t>
        </is>
      </c>
      <c r="M139" s="10" t="n"/>
    </row>
    <row r="140">
      <c r="A140" s="11" t="n">
        <v>6</v>
      </c>
      <c r="B140" s="11" t="inlineStr">
        <is>
          <t>6.01</t>
        </is>
      </c>
      <c r="C140" s="12" t="inlineStr">
        <is>
          <t>Start Sophia’s quote</t>
        </is>
      </c>
      <c r="D140" s="12" t="inlineStr">
        <is>
          <t>Quotes</t>
        </is>
      </c>
      <c r="E140" s="13" t="inlineStr">
        <is>
          <t>Start Sophia’s quote from your default template</t>
        </is>
      </c>
      <c r="F140" s="14" t="inlineStr">
        <is>
          <t>1. Open Sophia Wong and click the "Quotes" tab
2. Click "Create Quote"
3. In "Start a quote for Sophia Wong", click the tile marked "Default" (if it is not there, click "View all")</t>
        </is>
      </c>
      <c r="G140" s="14" t="inlineStr">
        <is>
          <t>The quote editor opens as a Draft, "Version 1", titled Sophia Wong; the Template card in General Info shows your template marked "Default".</t>
        </is>
      </c>
      <c r="H140" s="12" t="inlineStr">
        <is>
          <t>Same as 1.0</t>
        </is>
      </c>
      <c r="I140" s="11" t="inlineStr">
        <is>
          <t>Dane</t>
        </is>
      </c>
      <c r="J140" s="15" t="n"/>
      <c r="K140" s="15" t="n"/>
      <c r="L140" s="15" t="n"/>
      <c r="M140" s="16" t="n"/>
      <c r="N140" s="17" t="n"/>
      <c r="O140" s="17" t="n"/>
      <c r="P140" s="15" t="n"/>
    </row>
    <row r="141">
      <c r="A141" s="11" t="n">
        <v>6</v>
      </c>
      <c r="B141" s="11" t="inlineStr">
        <is>
          <t>6.02</t>
        </is>
      </c>
      <c r="C141" s="12" t="inlineStr">
        <is>
          <t>Start Sophia’s quote</t>
        </is>
      </c>
      <c r="D141" s="12" t="inlineStr">
        <is>
          <t>Quotes</t>
        </is>
      </c>
      <c r="E141" s="13" t="inlineStr">
        <is>
          <t>Check what the quote filled in for you</t>
        </is>
      </c>
      <c r="F141" s="14" t="inlineStr">
        <is>
          <t>1. Look at "General Info"
2. Read "Client", "Property Type", "Prepared by" and "Quote Valid Until"
3. Scroll down to "Items"</t>
        </is>
      </c>
      <c r="G141" s="14" t="inlineStr">
        <is>
          <t>Client Sophia Wong, Property Type HDB 4-Room, Prepared by Dane and a valid-until date are filled; Items shows any starter sections your template has.</t>
        </is>
      </c>
      <c r="H141" s="12" t="inlineStr">
        <is>
          <t>Different from 1.0: settings belong to each quote, not the lead</t>
        </is>
      </c>
      <c r="I141" s="11" t="inlineStr">
        <is>
          <t>Dane</t>
        </is>
      </c>
      <c r="J141" s="15" t="n"/>
      <c r="K141" s="15" t="n"/>
      <c r="L141" s="15" t="n"/>
      <c r="M141" s="16" t="n"/>
      <c r="N141" s="17" t="n"/>
      <c r="O141" s="17" t="n"/>
      <c r="P141" s="15" t="n"/>
    </row>
    <row r="142">
      <c r="A142" s="11" t="n">
        <v>6</v>
      </c>
      <c r="B142" s="11" t="inlineStr">
        <is>
          <t>6.03</t>
        </is>
      </c>
      <c r="C142" s="12" t="inlineStr">
        <is>
          <t>Start Sophia’s quote</t>
        </is>
      </c>
      <c r="D142" s="12" t="inlineStr">
        <is>
          <t>Quotes</t>
        </is>
      </c>
      <c r="E142" s="13" t="inlineStr">
        <is>
          <t>Give the quote a clear name</t>
        </is>
      </c>
      <c r="F142" s="14" t="inlineStr">
        <is>
          <t>1. Click "More options" (⋮, top right of the editor)
2. Choose "Rename Quote"
3. Type "Tampines 4-room renovation" in "Quote title"
4. Click "Rename"</t>
        </is>
      </c>
      <c r="G142" s="14" t="inlineStr">
        <is>
          <t>The header title changes to Tampines 4-room renovation and the header says "Saved just now".</t>
        </is>
      </c>
      <c r="H142" s="12" t="inlineStr">
        <is>
          <t>Same as 1.0</t>
        </is>
      </c>
      <c r="I142" s="11" t="inlineStr">
        <is>
          <t>Dane</t>
        </is>
      </c>
      <c r="J142" s="15" t="n"/>
      <c r="K142" s="15" t="n"/>
      <c r="L142" s="15" t="n"/>
      <c r="M142" s="16" t="n"/>
      <c r="N142" s="17" t="n"/>
      <c r="O142" s="17" t="n"/>
      <c r="P142" s="15" t="n"/>
    </row>
    <row r="143">
      <c r="A143" s="11" t="n">
        <v>6</v>
      </c>
      <c r="B143" s="11" t="inlineStr">
        <is>
          <t>6.04</t>
        </is>
      </c>
      <c r="C143" s="12" t="inlineStr">
        <is>
          <t>Start Sophia’s quote</t>
        </is>
      </c>
      <c r="D143" s="12" t="inlineStr">
        <is>
          <t>Quotes</t>
        </is>
      </c>
      <c r="E143" s="13" t="inlineStr">
        <is>
          <t>Try to send the quote while it is still empty</t>
        </is>
      </c>
      <c r="F143" s="14" t="inlineStr">
        <is>
          <t>1. Click "Send" (top right)
2. Choose "Send for confirmation"
3. Click "Show me" on the message</t>
        </is>
      </c>
      <c r="G143" s="14" t="inlineStr">
        <is>
          <t>Nothing is sent: the message reads "Before you send: No items to price", and "Show me" takes you to Items.</t>
        </is>
      </c>
      <c r="H143" s="12" t="inlineStr">
        <is>
          <t>Different from 1.0: Send checks the quote before it goes</t>
        </is>
      </c>
      <c r="I143" s="11" t="inlineStr">
        <is>
          <t>Dane</t>
        </is>
      </c>
      <c r="J143" s="15" t="n"/>
      <c r="K143" s="15" t="n"/>
      <c r="L143" s="15" t="n"/>
      <c r="M143" s="16" t="n"/>
      <c r="N143" s="17" t="n"/>
      <c r="O143" s="17" t="n"/>
      <c r="P143" s="15" t="n"/>
    </row>
    <row r="144">
      <c r="A144" s="11" t="n">
        <v>6</v>
      </c>
      <c r="B144" s="11" t="inlineStr">
        <is>
          <t>6.05</t>
        </is>
      </c>
      <c r="C144" s="12" t="inlineStr">
        <is>
          <t>Add the work</t>
        </is>
      </c>
      <c r="D144" s="12" t="inlineStr">
        <is>
          <t>Quotes</t>
        </is>
      </c>
      <c r="E144" s="13" t="inlineStr">
        <is>
          <t>Add your fluted feature wall panel from My Items</t>
        </is>
      </c>
      <c r="F144" s="14" t="inlineStr">
        <is>
          <t>1. Make sure the button above the table reads "View by: None" (if not, click it and pick "None")
2. Click in the "Add Item" box under the table and type "Fluted"
3. Under "My Items", click "Fluted feature wall panel"</t>
        </is>
      </c>
      <c r="G144" s="14" t="inlineStr">
        <is>
          <t>A "Fluted feature wall panel" line appears with the unit and price you saved in chapter 3; the tab reads "Items (1)".</t>
        </is>
      </c>
      <c r="H144" s="12" t="inlineStr">
        <is>
          <t>Same as 1.0</t>
        </is>
      </c>
      <c r="I144" s="11" t="inlineStr">
        <is>
          <t>Dane</t>
        </is>
      </c>
      <c r="J144" s="15" t="n"/>
      <c r="K144" s="15" t="n"/>
      <c r="L144" s="15" t="n"/>
      <c r="M144" s="16" t="n"/>
      <c r="N144" s="17" t="n"/>
      <c r="O144" s="17" t="n"/>
      <c r="P144" s="15" t="n"/>
    </row>
    <row r="145">
      <c r="A145" s="11" t="n">
        <v>6</v>
      </c>
      <c r="B145" s="11" t="inlineStr">
        <is>
          <t>6.06</t>
        </is>
      </c>
      <c r="C145" s="12" t="inlineStr">
        <is>
          <t>Add the work</t>
        </is>
      </c>
      <c r="D145" s="12" t="inlineStr">
        <is>
          <t>Quotes</t>
        </is>
      </c>
      <c r="E145" s="13" t="inlineStr">
        <is>
          <t>Pick an item from the Price book window</t>
        </is>
      </c>
      <c r="F145" s="14" t="inlineStr">
        <is>
          <t>1. Click "Price book" (the link to the right of the "Add Item" box)
2. Under "My Items", tick "Design consultation and 3D drawings"
3. Click "Add 1 item"</t>
        </is>
      </c>
      <c r="G145" s="14" t="inlineStr">
        <is>
          <t>The "Price book" window closes and "Design consultation and 3D drawings" is added at the end of the table; the tab reads "Items (2)".</t>
        </is>
      </c>
      <c r="H145" s="12" t="inlineStr">
        <is>
          <t>Same as 1.0</t>
        </is>
      </c>
      <c r="I145" s="11" t="inlineStr">
        <is>
          <t>Dane</t>
        </is>
      </c>
      <c r="J145" s="15" t="n"/>
      <c r="K145" s="15" t="n"/>
      <c r="L145" s="15" t="n"/>
      <c r="M145" s="16" t="n"/>
      <c r="N145" s="17" t="n"/>
      <c r="O145" s="17" t="n"/>
      <c r="P145" s="15" t="n"/>
    </row>
    <row r="146">
      <c r="A146" s="11" t="n">
        <v>6</v>
      </c>
      <c r="B146" s="11" t="inlineStr">
        <is>
          <t>6.07</t>
        </is>
      </c>
      <c r="C146" s="12" t="inlineStr">
        <is>
          <t>Add the work</t>
        </is>
      </c>
      <c r="D146" s="12" t="inlineStr">
        <is>
          <t>Quotes</t>
        </is>
      </c>
      <c r="E146" s="13" t="inlineStr">
        <is>
          <t>Paste a block of lines copied from Excel</t>
        </is>
      </c>
      <c r="F146" s="14" t="inlineStr">
        <is>
          <t>1. Open uat-files/sophia-items-to-paste.xlsx in Excel, Numbers or Google Sheets
2. Select all 9 rows (header included) and copy them
3. Click in the "Add Item" box and paste (⌘V, or Ctrl+V on Windows)
4. In "Paste from a spreadsheet", check each column’s pick, then click "Add 8 items"</t>
        </is>
      </c>
      <c r="G146" s="14" t="inlineStr">
        <is>
          <t>The window reads "9 rows · 8 columns…" with "First row is a header" ticked; eight lines land with their qty, unit, cost and category.</t>
        </is>
      </c>
      <c r="H146" s="12" t="inlineStr">
        <is>
          <t>Different from 1.0: paste anywhere, choosing what each column becomes</t>
        </is>
      </c>
      <c r="I146" s="11" t="inlineStr">
        <is>
          <t>Dane</t>
        </is>
      </c>
      <c r="J146" s="15" t="n"/>
      <c r="K146" s="15" t="n"/>
      <c r="L146" s="15" t="n"/>
      <c r="M146" s="16" t="n"/>
      <c r="N146" s="17" t="n"/>
      <c r="O146" s="17" t="n"/>
      <c r="P146" s="15" t="n"/>
    </row>
    <row r="147">
      <c r="A147" s="11" t="n">
        <v>6</v>
      </c>
      <c r="B147" s="11" t="inlineStr">
        <is>
          <t>6.08</t>
        </is>
      </c>
      <c r="C147" s="12" t="inlineStr">
        <is>
          <t>Add the work</t>
        </is>
      </c>
      <c r="D147" s="12" t="inlineStr">
        <is>
          <t>Quotes</t>
        </is>
      </c>
      <c r="E147" s="13" t="inlineStr">
        <is>
          <t>Edit quantities with the keyboard, as in Excel</t>
        </is>
      </c>
      <c r="F147" s="14" t="inlineStr">
        <is>
          <t>1. Click the "Qty" of "Waterproofing to bathroom floors", press ⌘A (Ctrl+A), type 3 and press Enter
2. Press Tab once, then click an empty part of the page
3. Press ⌘Z (Ctrl+Z on Windows)</t>
        </is>
      </c>
      <c r="G147" s="14" t="inlineStr">
        <is>
          <t>Enter jumps down to the next line’s Qty and Tab moves one box right; ⌘Z puts Waterproofing back to 2 and its total follows.</t>
        </is>
      </c>
      <c r="H147" s="12" t="inlineStr">
        <is>
          <t>Different from 1.0: one grid with Excel keys everywhere</t>
        </is>
      </c>
      <c r="I147" s="11" t="inlineStr">
        <is>
          <t>Dane</t>
        </is>
      </c>
      <c r="J147" s="15" t="n"/>
      <c r="K147" s="15" t="n"/>
      <c r="L147" s="15" t="n"/>
      <c r="M147" s="16" t="n"/>
      <c r="N147" s="17" t="n"/>
      <c r="O147" s="17" t="n"/>
      <c r="P147" s="15" t="n"/>
    </row>
    <row r="148">
      <c r="A148" s="11" t="n">
        <v>6</v>
      </c>
      <c r="B148" s="11" t="inlineStr">
        <is>
          <t>6.09</t>
        </is>
      </c>
      <c r="C148" s="12" t="inlineStr">
        <is>
          <t>Add the work</t>
        </is>
      </c>
      <c r="D148" s="12" t="inlineStr">
        <is>
          <t>Quotes</t>
        </is>
      </c>
      <c r="E148" s="13" t="inlineStr">
        <is>
          <t>Drag a line to a new place</t>
        </is>
      </c>
      <c r="F148" s="14" t="inlineStr">
        <is>
          <t>1. Hover "Painting, whole unit"
2. Grab its handle at the left of the row ("Drag to reorder")
3. Drag it above "Lighting points" and let go</t>
        </is>
      </c>
      <c r="G148" s="14" t="inlineStr">
        <is>
          <t>Painting now sits above Lighting points and the line numbers follow the new order.</t>
        </is>
      </c>
      <c r="H148" s="12" t="inlineStr">
        <is>
          <t>Same as 1.0</t>
        </is>
      </c>
      <c r="I148" s="11" t="inlineStr">
        <is>
          <t>Dane</t>
        </is>
      </c>
      <c r="J148" s="15" t="n"/>
      <c r="K148" s="15" t="n"/>
      <c r="L148" s="15" t="n"/>
      <c r="M148" s="16" t="n"/>
      <c r="N148" s="17" t="n"/>
      <c r="O148" s="17" t="n"/>
      <c r="P148" s="15" t="n"/>
    </row>
    <row r="149">
      <c r="A149" s="11" t="n">
        <v>6</v>
      </c>
      <c r="B149" s="11" t="inlineStr">
        <is>
          <t>6.10</t>
        </is>
      </c>
      <c r="C149" s="12" t="inlineStr">
        <is>
          <t>Add the work</t>
        </is>
      </c>
      <c r="D149" s="12" t="inlineStr">
        <is>
          <t>Quotes</t>
        </is>
      </c>
      <c r="E149" s="13" t="inlineStr">
        <is>
          <t>Group the kitchen lines into a section</t>
        </is>
      </c>
      <c r="F149" s="14" t="inlineStr">
        <is>
          <t>1. Tick the boxes of "Hacking of kitchen floor and wall tiles", "Homogeneous floor tiles, supply and lay", "Kitchen top and bottom cabinets" and "Quartz countertop"
2. Click "New section" above the table
3. Type "Kitchen" over "New section" and press Enter</t>
        </is>
      </c>
      <c r="G149" s="14" t="inlineStr">
        <is>
          <t>A "Kitchen" section now holds the four lines and shows their total; the other lines stay outside it.</t>
        </is>
      </c>
      <c r="H149" s="12" t="inlineStr">
        <is>
          <t>Different from 1.0: sections belong to this quote, not the lead</t>
        </is>
      </c>
      <c r="I149" s="11" t="inlineStr">
        <is>
          <t>Dane</t>
        </is>
      </c>
      <c r="J149" s="15" t="n"/>
      <c r="K149" s="15" t="n"/>
      <c r="L149" s="15" t="n"/>
      <c r="M149" s="16" t="n"/>
      <c r="N149" s="17" t="n"/>
      <c r="O149" s="17" t="n"/>
      <c r="P149" s="15" t="n"/>
    </row>
    <row r="150">
      <c r="A150" s="11" t="n">
        <v>6</v>
      </c>
      <c r="B150" s="11" t="inlineStr">
        <is>
          <t>6.11</t>
        </is>
      </c>
      <c r="C150" s="12" t="inlineStr">
        <is>
          <t>Add the work</t>
        </is>
      </c>
      <c r="D150" s="12" t="inlineStr">
        <is>
          <t>Quotes</t>
        </is>
      </c>
      <c r="E150" s="13" t="inlineStr">
        <is>
          <t>Add a sub-section inside Kitchen</t>
        </is>
      </c>
      <c r="F150" s="14" t="inlineStr">
        <is>
          <t>1. Inside Kitchen, tick "Kitchen top and bottom cabinets" and "Quartz countertop"
2. In the bar at the bottom of the screen, click "Section"
3. Type "Cabinetry" and press Enter</t>
        </is>
      </c>
      <c r="G150" s="14" t="inlineStr">
        <is>
          <t>A "Cabinetry" sub-section sits inside Kitchen with the two lines, numbered one level down.</t>
        </is>
      </c>
      <c r="H150" s="12" t="inlineStr">
        <is>
          <t>Same as 1.0</t>
        </is>
      </c>
      <c r="I150" s="11" t="inlineStr">
        <is>
          <t>Dane</t>
        </is>
      </c>
      <c r="J150" s="15" t="n"/>
      <c r="K150" s="15" t="n"/>
      <c r="L150" s="15" t="n"/>
      <c r="M150" s="16" t="n"/>
      <c r="N150" s="17" t="n"/>
      <c r="O150" s="17" t="n"/>
      <c r="P150" s="15" t="n"/>
    </row>
    <row r="151">
      <c r="A151" s="11" t="n">
        <v>6</v>
      </c>
      <c r="B151" s="11" t="inlineStr">
        <is>
          <t>6.12</t>
        </is>
      </c>
      <c r="C151" s="12" t="inlineStr">
        <is>
          <t>Decide how each line prints</t>
        </is>
      </c>
      <c r="D151" s="12" t="inlineStr">
        <is>
          <t>Quotes</t>
        </is>
      </c>
      <c r="E151" s="13" t="inlineStr">
        <is>
          <t>Give the design work free of charge</t>
        </is>
      </c>
      <c r="F151" s="14" t="inlineStr">
        <is>
          <t>1. Hover "Design consultation and 3D drawings" and click its "More options" (⋮)
2. Choose "Print as"
3. Choose "FOC" (note "By client" is in the list too)</t>
        </is>
      </c>
      <c r="G151" s="14" t="inlineStr">
        <is>
          <t>An "FOC" tag appears beside the line, the message says it prints as FOC and is not counted, and the Subtotal drops.</t>
        </is>
      </c>
      <c r="H151" s="12" t="inlineStr">
        <is>
          <t>Same as 1.0</t>
        </is>
      </c>
      <c r="I151" s="11" t="inlineStr">
        <is>
          <t>Dane</t>
        </is>
      </c>
      <c r="J151" s="15" t="n"/>
      <c r="K151" s="15" t="n"/>
      <c r="L151" s="15" t="n"/>
      <c r="M151" s="16" t="n"/>
      <c r="N151" s="17" t="n"/>
      <c r="O151" s="17" t="n"/>
      <c r="P151" s="15" t="n"/>
    </row>
    <row r="152">
      <c r="A152" s="11" t="n">
        <v>6</v>
      </c>
      <c r="B152" s="11" t="inlineStr">
        <is>
          <t>6.13</t>
        </is>
      </c>
      <c r="C152" s="12" t="inlineStr">
        <is>
          <t>Decide how each line prints</t>
        </is>
      </c>
      <c r="D152" s="12" t="inlineStr">
        <is>
          <t>Quotes</t>
        </is>
      </c>
      <c r="E152" s="13" t="inlineStr">
        <is>
          <t>Highlight the countertop line</t>
        </is>
      </c>
      <c r="F152" s="14" t="inlineStr">
        <is>
          <t>1. Open "More options" (⋮) on "Quartz countertop"
2. Choose "Highlight"
3. Choose "Accent text"</t>
        </is>
      </c>
      <c r="G152" s="14" t="inlineStr">
        <is>
          <t>The line’s words turn your brand’s accent colour and the message says "Highlighted — Accent text".</t>
        </is>
      </c>
      <c r="H152" s="12" t="inlineStr">
        <is>
          <t>Same as 1.0</t>
        </is>
      </c>
      <c r="I152" s="11" t="inlineStr">
        <is>
          <t>Dane</t>
        </is>
      </c>
      <c r="J152" s="15" t="n"/>
      <c r="K152" s="15" t="n"/>
      <c r="L152" s="15" t="n"/>
      <c r="M152" s="16" t="n"/>
      <c r="N152" s="17" t="n"/>
      <c r="O152" s="17" t="n"/>
      <c r="P152" s="15" t="n"/>
    </row>
    <row r="153">
      <c r="A153" s="11" t="n">
        <v>6</v>
      </c>
      <c r="B153" s="11" t="inlineStr">
        <is>
          <t>6.14</t>
        </is>
      </c>
      <c r="C153" s="12" t="inlineStr">
        <is>
          <t>Decide how each line prints</t>
        </is>
      </c>
      <c r="D153" s="12" t="inlineStr">
        <is>
          <t>Quotes</t>
        </is>
      </c>
      <c r="E153" s="13" t="inlineStr">
        <is>
          <t>Offer the fluted wall as an optional extra</t>
        </is>
      </c>
      <c r="F153" s="14" t="inlineStr">
        <is>
          <t>1. Open "More options" (⋮) on "Fluted feature wall panel"
2. Choose "Mark as Optional"</t>
        </is>
      </c>
      <c r="G153" s="14" t="inlineStr">
        <is>
          <t>The message says it prints in its own section, out of the totals; the Subtotal no longer includes the panel.</t>
        </is>
      </c>
      <c r="H153" s="12" t="inlineStr">
        <is>
          <t>Different from 1.0: optional lines never count in the totals</t>
        </is>
      </c>
      <c r="I153" s="11" t="inlineStr">
        <is>
          <t>Dane</t>
        </is>
      </c>
      <c r="J153" s="15" t="n"/>
      <c r="K153" s="15" t="n"/>
      <c r="L153" s="15" t="n"/>
      <c r="M153" s="16" t="n"/>
      <c r="N153" s="17" t="n"/>
      <c r="O153" s="17" t="n"/>
      <c r="P153" s="15" t="n"/>
    </row>
    <row r="154">
      <c r="A154" s="11" t="n">
        <v>6</v>
      </c>
      <c r="B154" s="11" t="inlineStr">
        <is>
          <t>6.15</t>
        </is>
      </c>
      <c r="C154" s="12" t="inlineStr">
        <is>
          <t>Decide how each line prints</t>
        </is>
      </c>
      <c r="D154" s="12" t="inlineStr">
        <is>
          <t>Quotes</t>
        </is>
      </c>
      <c r="E154" s="13" t="inlineStr">
        <is>
          <t>See the warning when a line sells below cost</t>
        </is>
      </c>
      <c r="F154" s="14" t="inlineStr">
        <is>
          <t>1. Make sure the "Cost" column shows (turn it on in "Column settings" if not)
2. Click the "Unit Price" of "Lighting points", press ⌘A (Ctrl+A), type 40 and press Enter
3. Hover the red "Below cost" tag
4. Click "Undo" (the curved arrow above the table)</t>
        </is>
      </c>
      <c r="G154" s="14" t="inlineStr">
        <is>
          <t>A red "Below cost" tag appears; its tip says how far under cost it sells. Undo puts 65 back and the tag goes.</t>
        </is>
      </c>
      <c r="H154" s="12" t="inlineStr">
        <is>
          <t>Same as 1.0</t>
        </is>
      </c>
      <c r="I154" s="11" t="inlineStr">
        <is>
          <t>Dane</t>
        </is>
      </c>
      <c r="J154" s="15" t="n"/>
      <c r="K154" s="15" t="n"/>
      <c r="L154" s="15" t="n"/>
      <c r="M154" s="16" t="n"/>
      <c r="N154" s="17" t="n"/>
      <c r="O154" s="17" t="n"/>
      <c r="P154" s="15" t="n"/>
    </row>
    <row r="155">
      <c r="A155" s="11" t="n">
        <v>6</v>
      </c>
      <c r="B155" s="11" t="inlineStr">
        <is>
          <t>6.16</t>
        </is>
      </c>
      <c r="C155" s="12" t="inlineStr">
        <is>
          <t>Decide how each line prints</t>
        </is>
      </c>
      <c r="D155" s="12" t="inlineStr">
        <is>
          <t>Quotes</t>
        </is>
      </c>
      <c r="E155" s="13" t="inlineStr">
        <is>
          <t>Show who supplies a line and its product link</t>
        </is>
      </c>
      <c r="F155" s="14" t="inlineStr">
        <is>
          <t>1. Click "Column settings" (the sliders icon above the table), switch on "Vendor/Sub" and "Website Link", click "Done"
2. On "Kitchen top and bottom cabinets", click "Add vendor", choose "Add vendor", type "Wood Craft Carpentry", click "Save"
3. In the same line’s "Add link" box type "woodcraft.sg" and press Enter</t>
        </is>
      </c>
      <c r="G155" s="14" t="inlineStr">
        <is>
          <t>Both columns appear; the cabinets line shows vendor Wood Craft Carpentry and the link woodcraft.sg. Neither ever prints for the client.</t>
        </is>
      </c>
      <c r="H155" s="12" t="inlineStr">
        <is>
          <t>Same as 1.0</t>
        </is>
      </c>
      <c r="I155" s="11" t="inlineStr">
        <is>
          <t>Dane</t>
        </is>
      </c>
      <c r="J155" s="15" t="n"/>
      <c r="K155" s="15" t="n"/>
      <c r="L155" s="15" t="n"/>
      <c r="M155" s="16" t="n"/>
      <c r="N155" s="17" t="n"/>
      <c r="O155" s="17" t="n"/>
      <c r="P155" s="15" t="n"/>
    </row>
    <row r="156">
      <c r="A156" s="11" t="n">
        <v>6</v>
      </c>
      <c r="B156" s="11" t="inlineStr">
        <is>
          <t>6.17</t>
        </is>
      </c>
      <c r="C156" s="12" t="inlineStr">
        <is>
          <t>Get the money right</t>
        </is>
      </c>
      <c r="D156" s="12" t="inlineStr">
        <is>
          <t>Quotes</t>
        </is>
      </c>
      <c r="E156" s="13" t="inlineStr">
        <is>
          <t>Add a named discount</t>
        </is>
      </c>
      <c r="F156" s="14" t="inlineStr">
        <is>
          <t>1. In the totals card under the table, click "Add a discount"
2. Type "Opening promotion" in "Discount name"
3. Click the "%" button next to it, choose "S$", then type 500
4. Click anywhere outside the box</t>
        </is>
      </c>
      <c r="G156" s="14" t="inlineStr">
        <is>
          <t>A row "Opening promotion −S$500.00" appears above GST and the Total drops by the discount and its GST.</t>
        </is>
      </c>
      <c r="H156" s="12" t="inlineStr">
        <is>
          <t>Different from 1.0: several named discounts per quote, not one per lead</t>
        </is>
      </c>
      <c r="I156" s="11" t="inlineStr">
        <is>
          <t>Dane</t>
        </is>
      </c>
      <c r="J156" s="15" t="n"/>
      <c r="K156" s="15" t="n"/>
      <c r="L156" s="15" t="n"/>
      <c r="M156" s="16" t="n"/>
      <c r="N156" s="17" t="n"/>
      <c r="O156" s="17" t="n"/>
      <c r="P156" s="15" t="n"/>
    </row>
    <row r="157">
      <c r="A157" s="11" t="n">
        <v>6</v>
      </c>
      <c r="B157" s="11" t="inlineStr">
        <is>
          <t>6.18</t>
        </is>
      </c>
      <c r="C157" s="12" t="inlineStr">
        <is>
          <t>Get the money right</t>
        </is>
      </c>
      <c r="D157" s="12" t="inlineStr">
        <is>
          <t>Quotes</t>
        </is>
      </c>
      <c r="E157" s="13" t="inlineStr">
        <is>
          <t>Check your margin by category, then look at rounding</t>
        </is>
      </c>
      <c r="F157" s="14" t="inlineStr">
        <is>
          <t>1. In "By category" (left of the totals), click "Margin"
2. Read each category’s margin and "Margin · owners only" in the totals
3. Click "Round Prices" next to Total, look at the list, then click "Cancel"</t>
        </is>
      </c>
      <c r="G157" s="14" t="inlineStr">
        <is>
          <t>As owner you see a margin % per category; "Round selling prices" lists the lines it would change and Cancel leaves them as they are.</t>
        </is>
      </c>
      <c r="H157" s="12" t="inlineStr">
        <is>
          <t>Same as 1.0</t>
        </is>
      </c>
      <c r="I157" s="11" t="inlineStr">
        <is>
          <t>Dane</t>
        </is>
      </c>
      <c r="J157" s="15" t="n"/>
      <c r="K157" s="15" t="n"/>
      <c r="L157" s="15" t="n"/>
      <c r="M157" s="16" t="n"/>
      <c r="N157" s="17" t="n"/>
      <c r="O157" s="17" t="n"/>
      <c r="P157" s="15" t="n"/>
    </row>
    <row r="158">
      <c r="A158" s="11" t="n">
        <v>6</v>
      </c>
      <c r="B158" s="11" t="inlineStr">
        <is>
          <t>6.19</t>
        </is>
      </c>
      <c r="C158" s="12" t="inlineStr">
        <is>
          <t>Schedule, terms, files and signature</t>
        </is>
      </c>
      <c r="D158" s="12" t="inlineStr">
        <is>
          <t>Quotes</t>
        </is>
      </c>
      <c r="E158" s="13" t="inlineStr">
        <is>
          <t>Try another payment split, then undo it</t>
        </is>
      </c>
      <c r="F158" s="14" t="inlineStr">
        <is>
          <t>1. Click the "Payment Schedule" tab
2. Click the split button (it shows the current split, e.g. "Default: 10/30/30/30")
3. Choose "20/40/40"
4. Click "Undo" on the message</t>
        </is>
      </c>
      <c r="G158" s="14" t="inlineStr">
        <is>
          <t>The rows change to 20/40/40 with amounts worked out from the quote total; Undo brings the original split back.</t>
        </is>
      </c>
      <c r="H158" s="12" t="inlineStr">
        <is>
          <t>Same as 1.0</t>
        </is>
      </c>
      <c r="I158" s="11" t="inlineStr">
        <is>
          <t>Dane</t>
        </is>
      </c>
      <c r="J158" s="15" t="n"/>
      <c r="K158" s="15" t="n"/>
      <c r="L158" s="15" t="n"/>
      <c r="M158" s="16" t="n"/>
      <c r="N158" s="17" t="n"/>
      <c r="O158" s="17" t="n"/>
      <c r="P158" s="15" t="n"/>
    </row>
    <row r="159">
      <c r="A159" s="11" t="n">
        <v>6</v>
      </c>
      <c r="B159" s="11" t="inlineStr">
        <is>
          <t>6.20</t>
        </is>
      </c>
      <c r="C159" s="12" t="inlineStr">
        <is>
          <t>Schedule, terms, files and signature</t>
        </is>
      </c>
      <c r="D159" s="12" t="inlineStr">
        <is>
          <t>Quotes</t>
        </is>
      </c>
      <c r="E159" s="13" t="inlineStr">
        <is>
          <t>Add your standard Terms and Conditions</t>
        </is>
      </c>
      <c r="F159" s="14" t="inlineStr">
        <is>
          <t>1. Click the "Terms and Conditions" tab
2. Click "My Templates"
3. Click "Add" beside "Terms and Conditions for HDB Works"</t>
        </is>
      </c>
      <c r="G159" s="14" t="inlineStr">
        <is>
          <t>The terms fill the box, the message says "“Terms and Conditions for HDB Works” added", and "Show in client view" is on.</t>
        </is>
      </c>
      <c r="H159" s="12" t="inlineStr">
        <is>
          <t>Same as 1.0</t>
        </is>
      </c>
      <c r="I159" s="11" t="inlineStr">
        <is>
          <t>Dane</t>
        </is>
      </c>
      <c r="J159" s="15" t="n"/>
      <c r="K159" s="15" t="n"/>
      <c r="L159" s="15" t="n"/>
      <c r="M159" s="16" t="n"/>
      <c r="N159" s="17" t="n"/>
      <c r="O159" s="17" t="n"/>
      <c r="P159" s="15" t="n"/>
    </row>
    <row r="160">
      <c r="A160" s="11" t="n">
        <v>6</v>
      </c>
      <c r="B160" s="11" t="inlineStr">
        <is>
          <t>6.21</t>
        </is>
      </c>
      <c r="C160" s="12" t="inlineStr">
        <is>
          <t>Schedule, terms, files and signature</t>
        </is>
      </c>
      <c r="D160" s="12" t="inlineStr">
        <is>
          <t>Quotes</t>
        </is>
      </c>
      <c r="E160" s="13" t="inlineStr">
        <is>
          <t>Let Maison AI draft the Additional Notes</t>
        </is>
      </c>
      <c r="F160" s="14" t="inlineStr">
        <is>
          <t>1. Click the "Additional Notes" tab
2. Click "Write with AI"
3. Read the notes it wrote</t>
        </is>
      </c>
      <c r="G160" s="14" t="inlineStr">
        <is>
          <t>After a short "Writing…", notes about this quote appear and the message says "Maison AI wrote your additional notes", with Undo.</t>
        </is>
      </c>
      <c r="H160" s="12" t="inlineStr">
        <is>
          <t>New in 2.0</t>
        </is>
      </c>
      <c r="I160" s="11" t="inlineStr">
        <is>
          <t>Dane</t>
        </is>
      </c>
      <c r="J160" s="15" t="n"/>
      <c r="K160" s="15" t="n"/>
      <c r="L160" s="15" t="n"/>
      <c r="M160" s="16" t="n"/>
      <c r="N160" s="17" t="n"/>
      <c r="O160" s="17" t="n"/>
      <c r="P160" s="15" t="n"/>
    </row>
    <row r="161">
      <c r="A161" s="11" t="n">
        <v>6</v>
      </c>
      <c r="B161" s="11" t="inlineStr">
        <is>
          <t>6.22</t>
        </is>
      </c>
      <c r="C161" s="12" t="inlineStr">
        <is>
          <t>Schedule, terms, files and signature</t>
        </is>
      </c>
      <c r="D161" s="12" t="inlineStr">
        <is>
          <t>Quotes</t>
        </is>
      </c>
      <c r="E161" s="13" t="inlineStr">
        <is>
          <t>Share a mood-board file with the quote</t>
        </is>
      </c>
      <c r="F161" s="14" t="inlineStr">
        <is>
          <t>1. Click the "Files (0)" tab
2. Drag uat-files/kitchen-moodboard.jpg from your computer onto "Drop your file or browse"
3. Hover "Show in client view" and read its tip</t>
        </is>
      </c>
      <c r="G161" s="14" t="inlineStr">
        <is>
          <t>A tile for the file appears, the tab reads "Files (1)", and the tip says the files show on the client’s confirmation page.</t>
        </is>
      </c>
      <c r="H161" s="12" t="inlineStr">
        <is>
          <t>Same as 1.0</t>
        </is>
      </c>
      <c r="I161" s="11" t="inlineStr">
        <is>
          <t>Dane</t>
        </is>
      </c>
      <c r="J161" s="15" t="n"/>
      <c r="K161" s="15" t="n"/>
      <c r="L161" s="15" t="n"/>
      <c r="M161" s="16" t="n"/>
      <c r="N161" s="17" t="n"/>
      <c r="O161" s="17" t="n"/>
      <c r="P161" s="15" t="n"/>
    </row>
    <row r="162">
      <c r="A162" s="11" t="n">
        <v>6</v>
      </c>
      <c r="B162" s="11" t="inlineStr">
        <is>
          <t>6.23</t>
        </is>
      </c>
      <c r="C162" s="12" t="inlineStr">
        <is>
          <t>Schedule, terms, files and signature</t>
        </is>
      </c>
      <c r="D162" s="12" t="inlineStr">
        <is>
          <t>Quotes</t>
        </is>
      </c>
      <c r="E162" s="13" t="inlineStr">
        <is>
          <t>Sign the quote with a drawn signature</t>
        </is>
      </c>
      <c r="F162" s="14" t="inlineStr">
        <is>
          <t>1. Click the "Signature" tab
2. Click "Edit" beside your name
3. Under "Show signature as" pick "Draw" and draw in the box
4. Click "Save"</t>
        </is>
      </c>
      <c r="G162" s="14" t="inlineStr">
        <is>
          <t>The message says "Signature saved" and your drawing shows in the box, beside the client’s side.</t>
        </is>
      </c>
      <c r="H162" s="12" t="inlineStr">
        <is>
          <t>Same as 1.0</t>
        </is>
      </c>
      <c r="I162" s="11" t="inlineStr">
        <is>
          <t>Dane</t>
        </is>
      </c>
      <c r="J162" s="15" t="n"/>
      <c r="K162" s="15" t="n"/>
      <c r="L162" s="15" t="n"/>
      <c r="M162" s="16" t="n"/>
      <c r="N162" s="17" t="n"/>
      <c r="O162" s="17" t="n"/>
      <c r="P162" s="15" t="n"/>
    </row>
    <row r="163">
      <c r="A163" s="11" t="n">
        <v>6</v>
      </c>
      <c r="B163" s="11" t="inlineStr">
        <is>
          <t>6.24</t>
        </is>
      </c>
      <c r="C163" s="12" t="inlineStr">
        <is>
          <t>See it as Sophia will</t>
        </is>
      </c>
      <c r="D163" s="12" t="inlineStr">
        <is>
          <t>Quotes</t>
        </is>
      </c>
      <c r="E163" s="13" t="inlineStr">
        <is>
          <t>Watch the client’s view while you edit</t>
        </is>
      </c>
      <c r="F163" s="14" t="inlineStr">
        <is>
          <t>1. Click the eye icon ("Client view") in the header
2. Scroll through the pages in the pane
3. Read the note at the foot of the pane</t>
        </is>
      </c>
      <c r="G163" s="14" t="inlineStr">
        <is>
          <t>A "Client view" pane shows the quote as Sophia will get it; the note says "Redraws as you build. Cost and markup never print."</t>
        </is>
      </c>
      <c r="H163" s="12" t="inlineStr">
        <is>
          <t>New in 2.0</t>
        </is>
      </c>
      <c r="I163" s="11" t="inlineStr">
        <is>
          <t>Dane</t>
        </is>
      </c>
      <c r="J163" s="15" t="n"/>
      <c r="K163" s="15" t="n"/>
      <c r="L163" s="15" t="n"/>
      <c r="M163" s="16" t="n"/>
      <c r="N163" s="17" t="n"/>
      <c r="O163" s="17" t="n"/>
      <c r="P163" s="15" t="n"/>
    </row>
    <row r="164">
      <c r="A164" s="11" t="n">
        <v>6</v>
      </c>
      <c r="B164" s="11" t="inlineStr">
        <is>
          <t>6.25</t>
        </is>
      </c>
      <c r="C164" s="12" t="inlineStr">
        <is>
          <t>See it as Sophia will</t>
        </is>
      </c>
      <c r="D164" s="12" t="inlineStr">
        <is>
          <t>Quotes</t>
        </is>
      </c>
      <c r="E164" s="13" t="inlineStr">
        <is>
          <t>Preview the quote and choose what Sophia sees</t>
        </is>
      </c>
      <c r="F164" s="14" t="inlineStr">
        <is>
          <t>1. Click "Preview" in the header
2. Click "What your client sees" and make sure "Optional works" is on
3. Switch on "Internal copy", read the grey card, then switch it off
4. Click the back arrow ("Back to the editor")</t>
        </is>
      </c>
      <c r="G164" s="14" t="inlineStr">
        <is>
          <t>The pages match the client view; "Internal copy" adds a watermark plus "Internal — never printed for the client" with Cost, Selling and Margin.</t>
        </is>
      </c>
      <c r="H164" s="12" t="inlineStr">
        <is>
          <t>Different from 1.0: you choose, per quote, what the client sees</t>
        </is>
      </c>
      <c r="I164" s="11" t="inlineStr">
        <is>
          <t>Dane</t>
        </is>
      </c>
      <c r="J164" s="15" t="n"/>
      <c r="K164" s="15" t="n"/>
      <c r="L164" s="15" t="n"/>
      <c r="M164" s="16" t="n"/>
      <c r="N164" s="17" t="n"/>
      <c r="O164" s="17" t="n"/>
      <c r="P164" s="15" t="n"/>
    </row>
    <row r="165">
      <c r="A165" s="11" t="n">
        <v>6</v>
      </c>
      <c r="B165" s="11" t="inlineStr">
        <is>
          <t>6.26</t>
        </is>
      </c>
      <c r="C165" s="12" t="inlineStr">
        <is>
          <t>Before it goes out</t>
        </is>
      </c>
      <c r="D165" s="12" t="inlineStr">
        <is>
          <t>Quotes</t>
        </is>
      </c>
      <c r="E165" s="13" t="inlineStr">
        <is>
          <t>Save this quote’s setup as a new template</t>
        </is>
      </c>
      <c r="F165" s="14" t="inlineStr">
        <is>
          <t>1. Click "More options" (⋮) › "Save as Template"
2. Keep the name "Tampines 4-room renovation template"
3. Click "Save template"</t>
        </is>
      </c>
      <c r="G165" s="14" t="inlineStr">
        <is>
          <t>The message says it was saved as a draft template, with "Open"; it waits in Company › Templates › Quotes as a draft.</t>
        </is>
      </c>
      <c r="H165" s="12" t="inlineStr">
        <is>
          <t>Different from 1.0: keeps settings and sections, never the lines</t>
        </is>
      </c>
      <c r="I165" s="11" t="inlineStr">
        <is>
          <t>Dane</t>
        </is>
      </c>
      <c r="J165" s="15" t="n"/>
      <c r="K165" s="15" t="n"/>
      <c r="L165" s="15" t="n"/>
      <c r="M165" s="16" t="n"/>
      <c r="N165" s="17" t="n"/>
      <c r="O165" s="17" t="n"/>
      <c r="P165" s="15" t="n"/>
    </row>
    <row r="166">
      <c r="A166" s="11" t="n">
        <v>6</v>
      </c>
      <c r="B166" s="11" t="inlineStr">
        <is>
          <t>6.27</t>
        </is>
      </c>
      <c r="C166" s="12" t="inlineStr">
        <is>
          <t>Before it goes out</t>
        </is>
      </c>
      <c r="D166" s="12" t="inlineStr">
        <is>
          <t>Quotes</t>
        </is>
      </c>
      <c r="E166" s="13" t="inlineStr">
        <is>
          <t>Leave a note on a line for your team</t>
        </is>
      </c>
      <c r="F166" s="14" t="inlineStr">
        <is>
          <t>1. Open "More options" (⋮) on "Full-height wardrobe" › "Comment"
2. Type "Check hinge brand with supplier" in "Chat with your team here"
3. Click "Submit", then close the panel
4. Click the "Comments" icon in the header</t>
        </is>
      </c>
      <c r="G166" s="14" t="inlineStr">
        <is>
          <t>Your comment shows as "You" with "Clients can’t see these comments"; the line shows a comment count; the header’s Comments lists the thread.</t>
        </is>
      </c>
      <c r="H166" s="12" t="inlineStr">
        <is>
          <t>Same as 1.0</t>
        </is>
      </c>
      <c r="I166" s="11" t="inlineStr">
        <is>
          <t>Dane</t>
        </is>
      </c>
      <c r="J166" s="15" t="n"/>
      <c r="K166" s="15" t="n"/>
      <c r="L166" s="15" t="n"/>
      <c r="M166" s="16" t="n"/>
      <c r="N166" s="17" t="n"/>
      <c r="O166" s="17" t="n"/>
      <c r="P166" s="15" t="n"/>
    </row>
    <row r="167">
      <c r="A167" s="11" t="n">
        <v>6</v>
      </c>
      <c r="B167" s="11" t="inlineStr">
        <is>
          <t>6.28</t>
        </is>
      </c>
      <c r="C167" s="12" t="inlineStr">
        <is>
          <t>Send it to Sophia</t>
        </is>
      </c>
      <c r="D167" s="12" t="inlineStr">
        <is>
          <t>Quotes</t>
        </is>
      </c>
      <c r="E167" s="13" t="inlineStr">
        <is>
          <t>Send the quote to Sophia for confirmation</t>
        </is>
      </c>
      <c r="F167" s="14" t="inlineStr">
        <is>
          <t>1. Click "Send" › "Send for confirmation"
2. Check "Client name" and the phone 9765 4321
3. Click "Send via WhatsApp" — a WhatsApp tab opens: close it, do not send</t>
        </is>
      </c>
      <c r="G167" s="14" t="inlineStr">
        <is>
          <t>No approval step for you: the status turns "Sent to Client" and a banner says Sophia has version 1, with "Revise — new version".</t>
        </is>
      </c>
      <c r="H167" s="12" t="inlineStr">
        <is>
          <t>Same as 1.0</t>
        </is>
      </c>
      <c r="I167" s="11" t="inlineStr">
        <is>
          <t>Dane</t>
        </is>
      </c>
      <c r="J167" s="15" t="n"/>
      <c r="K167" s="15" t="n"/>
      <c r="L167" s="15" t="n"/>
      <c r="M167" s="16" t="n"/>
      <c r="N167" s="17" t="n"/>
      <c r="O167" s="17" t="n"/>
      <c r="P167" s="15" t="n"/>
    </row>
    <row r="168">
      <c r="A168" s="11" t="n">
        <v>6</v>
      </c>
      <c r="B168" s="11" t="inlineStr">
        <is>
          <t>6.29</t>
        </is>
      </c>
      <c r="C168" s="12" t="inlineStr">
        <is>
          <t>Send it to Sophia</t>
        </is>
      </c>
      <c r="D168" s="12" t="inlineStr">
        <is>
          <t>Quotes</t>
        </is>
      </c>
      <c r="E168" s="13" t="inlineStr">
        <is>
          <t>Open the confirmation link the way Sophia will</t>
        </is>
      </c>
      <c r="F168" s="14" t="inlineStr">
        <is>
          <t>1. In the editor click "More options" (⋮) › "Copy confirmation link"
2. Open a new browser tab, paste the link and press Enter
3. Look through the page — do not confirm yet
4. Keep this tab open for later</t>
        </is>
      </c>
      <c r="G168" s="14" t="inlineStr">
        <is>
          <t>Your studio and "Private link" on top, the quote, and "Confirm this quote" with the total, the fluted panel under "Optional works" and your file.</t>
        </is>
      </c>
      <c r="H168" s="12" t="inlineStr">
        <is>
          <t>Different from 1.0: the client confirms on a link, no code</t>
        </is>
      </c>
      <c r="I168" s="18" t="inlineStr">
        <is>
          <t>Sophia (client)</t>
        </is>
      </c>
      <c r="J168" s="15" t="n"/>
      <c r="K168" s="15" t="n"/>
      <c r="L168" s="15" t="n"/>
      <c r="M168" s="16" t="n"/>
      <c r="N168" s="17" t="n"/>
      <c r="O168" s="17" t="n"/>
      <c r="P168" s="15" t="n"/>
    </row>
    <row r="169">
      <c r="A169" s="11" t="n">
        <v>6</v>
      </c>
      <c r="B169" s="11" t="inlineStr">
        <is>
          <t>6.30</t>
        </is>
      </c>
      <c r="C169" s="12" t="inlineStr">
        <is>
          <t>Send it to Sophia</t>
        </is>
      </c>
      <c r="D169" s="12" t="inlineStr">
        <is>
          <t>Quotes</t>
        </is>
      </c>
      <c r="E169" s="13" t="inlineStr">
        <is>
          <t>Set a due date and get a follow-up task</t>
        </is>
      </c>
      <c r="F169" s="14" t="inlineStr">
        <is>
          <t>1. Back in the editor, click "Close" (✕) to return to Sophia’s "Quotes" tab
2. In the "Due" column click the calendar icon ("Set due date")
3. Pick the date three days from today
4. Click "View" on the message</t>
        </is>
      </c>
      <c r="G169" s="14" t="inlineStr">
        <is>
          <t>The message says "Due date set — follow-up task added"; the Tasks tab lists "Follow up on quote …" due that day, assigned to Dane.</t>
        </is>
      </c>
      <c r="H169" s="12" t="inlineStr">
        <is>
          <t>New in 2.0</t>
        </is>
      </c>
      <c r="I169" s="11" t="inlineStr">
        <is>
          <t>Dane</t>
        </is>
      </c>
      <c r="J169" s="15" t="n"/>
      <c r="K169" s="15" t="n"/>
      <c r="L169" s="15" t="n"/>
      <c r="M169" s="16" t="n"/>
      <c r="N169" s="17" t="n"/>
      <c r="O169" s="17" t="n"/>
      <c r="P169" s="15" t="n"/>
    </row>
    <row r="170">
      <c r="A170" s="11" t="n">
        <v>6</v>
      </c>
      <c r="B170" s="11" t="inlineStr">
        <is>
          <t>6.31</t>
        </is>
      </c>
      <c r="C170" s="12" t="inlineStr">
        <is>
          <t>Send it to Sophia</t>
        </is>
      </c>
      <c r="D170" s="12" t="inlineStr">
        <is>
          <t>Quotes</t>
        </is>
      </c>
      <c r="E170" s="13" t="inlineStr">
        <is>
          <t>See how a quote past its valid-until date is flagged</t>
        </is>
      </c>
      <c r="F170" s="14" t="inlineStr">
        <is>
          <t>1. Go back to the "Quotes" tab and click "View" on the quote
2. In General Info set "Quote Valid Until" to yesterday; read the banner
3. Close the editor and look at the quote’s row in the "Quotes" tab
4. Open the quote again and set "Quote Valid Until" to a date next month</t>
        </is>
      </c>
      <c r="G170" s="14" t="inlineStr">
        <is>
          <t>The banner adds "Its validity ended on …" and the row reads "Expired …" — nothing is blocked; the new date clears both.</t>
        </is>
      </c>
      <c r="H170" s="12" t="inlineStr">
        <is>
          <t>Different from 1.0: a passed validity date is now flagged</t>
        </is>
      </c>
      <c r="I170" s="11" t="inlineStr">
        <is>
          <t>Dane</t>
        </is>
      </c>
      <c r="J170" s="15" t="n"/>
      <c r="K170" s="15" t="n"/>
      <c r="L170" s="15" t="n"/>
      <c r="M170" s="16" t="n"/>
      <c r="N170" s="17" t="n"/>
      <c r="O170" s="17" t="n"/>
      <c r="P170" s="15" t="n"/>
    </row>
    <row r="171">
      <c r="A171" s="11" t="n">
        <v>6</v>
      </c>
      <c r="B171" s="11" t="inlineStr">
        <is>
          <t>6.32</t>
        </is>
      </c>
      <c r="C171" s="12" t="inlineStr">
        <is>
          <t>Sophia asks for two more lights</t>
        </is>
      </c>
      <c r="D171" s="12" t="inlineStr">
        <is>
          <t>Quotes</t>
        </is>
      </c>
      <c r="E171" s="13" t="inlineStr">
        <is>
          <t>Start version 2 of the quote</t>
        </is>
      </c>
      <c r="F171" s="14" t="inlineStr">
        <is>
          <t>1. In the banner, click "Revise — new version"
2. Click "Start version 2"
3. Reload Sophia’s link in the other tab</t>
        </is>
      </c>
      <c r="G171" s="14" t="inlineStr">
        <is>
          <t>The chips read "Version 2" and "Draft" ("version 1 is kept in Version History"); Sophia’s link now says "Not ready yet".</t>
        </is>
      </c>
      <c r="H171" s="12" t="inlineStr">
        <is>
          <t>Different from 1.0: versions belong to the quote, made by Revise</t>
        </is>
      </c>
      <c r="I171" s="11" t="inlineStr">
        <is>
          <t>Dane</t>
        </is>
      </c>
      <c r="J171" s="15" t="n"/>
      <c r="K171" s="15" t="n"/>
      <c r="L171" s="15" t="n"/>
      <c r="M171" s="16" t="n"/>
      <c r="N171" s="17" t="n"/>
      <c r="O171" s="17" t="n"/>
      <c r="P171" s="15" t="n"/>
    </row>
    <row r="172">
      <c r="A172" s="11" t="n">
        <v>6</v>
      </c>
      <c r="B172" s="11" t="inlineStr">
        <is>
          <t>6.33</t>
        </is>
      </c>
      <c r="C172" s="12" t="inlineStr">
        <is>
          <t>Sophia asks for two more lights</t>
        </is>
      </c>
      <c r="D172" s="12" t="inlineStr">
        <is>
          <t>Quotes</t>
        </is>
      </c>
      <c r="E172" s="13" t="inlineStr">
        <is>
          <t>Add two lighting points, then look back at version 1</t>
        </is>
      </c>
      <c r="F172" s="14" t="inlineStr">
        <is>
          <t>1. Click the "Qty" of "Lighting points", press ⌘A (Ctrl+A), type 18 and press Enter
2. Click "More options" (⋮) › "Version History"
3. Click "Open" on "Version 1"
4. Click the back arrow to return to the editor</t>
        </is>
      </c>
      <c r="G172" s="14" t="inlineStr">
        <is>
          <t>The drawer lists "Version 2 current" and "Version 1" kept by Dane; Open shows it as "Version 1 of 2 — read-only".</t>
        </is>
      </c>
      <c r="H172" s="12" t="inlineStr">
        <is>
          <t>Same as 1.0</t>
        </is>
      </c>
      <c r="I172" s="11" t="inlineStr">
        <is>
          <t>Dane</t>
        </is>
      </c>
      <c r="J172" s="15" t="n"/>
      <c r="K172" s="15" t="n"/>
      <c r="L172" s="15" t="n"/>
      <c r="M172" s="16" t="n"/>
      <c r="N172" s="17" t="n"/>
      <c r="O172" s="17" t="n"/>
      <c r="P172" s="15" t="n"/>
    </row>
    <row r="173">
      <c r="A173" s="11" t="n">
        <v>6</v>
      </c>
      <c r="B173" s="11" t="inlineStr">
        <is>
          <t>6.34</t>
        </is>
      </c>
      <c r="C173" s="12" t="inlineStr">
        <is>
          <t>Sophia asks for two more lights</t>
        </is>
      </c>
      <c r="D173" s="12" t="inlineStr">
        <is>
          <t>Quotes</t>
        </is>
      </c>
      <c r="E173" s="13" t="inlineStr">
        <is>
          <t>Bring version 1 back, then make the change again</t>
        </is>
      </c>
      <c r="F173" s="14" t="inlineStr">
        <is>
          <t>1. Open "Version History" and click "Bring back" on "Version 1"
2. Click "Bring back version 1"
3. Check "Lighting points" shows 16 again
4. Set its "Qty" to 18 again (⌘A, type 18, Enter)</t>
        </is>
      </c>
      <c r="G173" s="14" t="inlineStr">
        <is>
          <t>The page reloads with "Version 1 is back — the draft holds its lines again"; the quote is still Version 2, Draft.</t>
        </is>
      </c>
      <c r="H173" s="12" t="inlineStr">
        <is>
          <t>Different from 1.0: bringing a version back now works</t>
        </is>
      </c>
      <c r="I173" s="11" t="inlineStr">
        <is>
          <t>Dane</t>
        </is>
      </c>
      <c r="J173" s="15" t="n"/>
      <c r="K173" s="15" t="n"/>
      <c r="L173" s="15" t="n"/>
      <c r="M173" s="16" t="n"/>
      <c r="N173" s="17" t="n"/>
      <c r="O173" s="17" t="n"/>
      <c r="P173" s="15" t="n"/>
    </row>
    <row r="174">
      <c r="A174" s="11" t="n">
        <v>6</v>
      </c>
      <c r="B174" s="11" t="inlineStr">
        <is>
          <t>6.35</t>
        </is>
      </c>
      <c r="C174" s="12" t="inlineStr">
        <is>
          <t>Sophia asks for two more lights</t>
        </is>
      </c>
      <c r="D174" s="12" t="inlineStr">
        <is>
          <t>Quotes</t>
        </is>
      </c>
      <c r="E174" s="13" t="inlineStr">
        <is>
          <t>Show Sophia what changed since version 1</t>
        </is>
      </c>
      <c r="F174" s="14" t="inlineStr">
        <is>
          <t>1. Click "Preview"
2. Click "What your client sees"
3. Make sure "Show changes from version 1" is on</t>
        </is>
      </c>
      <c r="G174" s="14" t="inlineStr">
        <is>
          <t>The switch reads "0 added · 0 removed · 1 changed" and the Lighting points line is marked as changed on the page.</t>
        </is>
      </c>
      <c r="H174" s="12" t="inlineStr">
        <is>
          <t>Different from 1.0: the revision prints its own changes</t>
        </is>
      </c>
      <c r="I174" s="11" t="inlineStr">
        <is>
          <t>Dane</t>
        </is>
      </c>
      <c r="J174" s="15" t="n"/>
      <c r="K174" s="15" t="n"/>
      <c r="L174" s="15" t="n"/>
      <c r="M174" s="16" t="n"/>
      <c r="N174" s="17" t="n"/>
      <c r="O174" s="17" t="n"/>
      <c r="P174" s="15" t="n"/>
    </row>
    <row r="175">
      <c r="A175" s="11" t="n">
        <v>6</v>
      </c>
      <c r="B175" s="11" t="inlineStr">
        <is>
          <t>6.36</t>
        </is>
      </c>
      <c r="C175" s="12" t="inlineStr">
        <is>
          <t>Sophia confirms</t>
        </is>
      </c>
      <c r="D175" s="12" t="inlineStr">
        <is>
          <t>Quotes</t>
        </is>
      </c>
      <c r="E175" s="13" t="inlineStr">
        <is>
          <t>Send version 2 to Sophia</t>
        </is>
      </c>
      <c r="F175" s="14" t="inlineStr">
        <is>
          <t>1. Back in the editor, click "Send" › "Send for confirmation"
2. Click "Send via WhatsApp" — close the WhatsApp tab, do not send</t>
        </is>
      </c>
      <c r="G175" s="14" t="inlineStr">
        <is>
          <t>The status is "Sent to Client" again, now for version 2.</t>
        </is>
      </c>
      <c r="H175" s="12" t="inlineStr">
        <is>
          <t>Same as 1.0</t>
        </is>
      </c>
      <c r="I175" s="11" t="inlineStr">
        <is>
          <t>Dane</t>
        </is>
      </c>
      <c r="J175" s="15" t="n"/>
      <c r="K175" s="15" t="n"/>
      <c r="L175" s="15" t="n"/>
      <c r="M175" s="16" t="n"/>
      <c r="N175" s="17" t="n"/>
      <c r="O175" s="17" t="n"/>
      <c r="P175" s="15" t="n"/>
    </row>
    <row r="176">
      <c r="A176" s="11" t="n">
        <v>6</v>
      </c>
      <c r="B176" s="11" t="inlineStr">
        <is>
          <t>6.37</t>
        </is>
      </c>
      <c r="C176" s="12" t="inlineStr">
        <is>
          <t>Sophia confirms</t>
        </is>
      </c>
      <c r="D176" s="12" t="inlineStr">
        <is>
          <t>Quotes</t>
        </is>
      </c>
      <c r="E176" s="13" t="inlineStr">
        <is>
          <t>Confirm the quote as Sophia, adding the fluted wall</t>
        </is>
      </c>
      <c r="F176" s="14" t="inlineStr">
        <is>
          <t>1. Reload Sophia’s link in the other tab
2. Under "Optional works", tick "Fluted feature wall panel"
3. Keep "Sophia Wong" in "Your full name"
4. Click "Confirm quote"</t>
        </is>
      </c>
      <c r="G176" s="14" t="inlineStr">
        <is>
          <t>A "With your picks" total appears; after confirming, the card reads "Confirmed" by Sophia Wong and notes she asked for the fluted panel too.</t>
        </is>
      </c>
      <c r="H176" s="12" t="inlineStr">
        <is>
          <t>Different from 1.0: the client’s optional picks are kept</t>
        </is>
      </c>
      <c r="I176" s="18" t="inlineStr">
        <is>
          <t>Sophia (client)</t>
        </is>
      </c>
      <c r="J176" s="15" t="n"/>
      <c r="K176" s="15" t="n"/>
      <c r="L176" s="15" t="n"/>
      <c r="M176" s="16" t="n"/>
      <c r="N176" s="17" t="n"/>
      <c r="O176" s="17" t="n"/>
      <c r="P176" s="15" t="n"/>
    </row>
    <row r="177">
      <c r="A177" s="11" t="n">
        <v>6</v>
      </c>
      <c r="B177" s="11" t="inlineStr">
        <is>
          <t>6.38</t>
        </is>
      </c>
      <c r="C177" s="12" t="inlineStr">
        <is>
          <t>Sophia confirms</t>
        </is>
      </c>
      <c r="D177" s="12" t="inlineStr">
        <is>
          <t>Quotes</t>
        </is>
      </c>
      <c r="E177" s="13" t="inlineStr">
        <is>
          <t>See Sophia’s confirmation in the studio</t>
        </is>
      </c>
      <c r="F177" s="14" t="inlineStr">
        <is>
          <t>1. Go back to the editor tab and reload it
2. Read the status, the banner and the fluted panel’s line
3. Open the "Activity" tab</t>
        </is>
      </c>
      <c r="G177" s="14" t="inlineStr">
        <is>
          <t>Status "Confirmed"; the panel shows "Client wants it"; Activity lists "Quote approved by Dane" and Sophia’s confirmation; Send now reads "Send for signature".</t>
        </is>
      </c>
      <c r="H177" s="12" t="inlineStr">
        <is>
          <t>Different from 1.0: Confirmed comes before the signature</t>
        </is>
      </c>
      <c r="I177" s="11" t="inlineStr">
        <is>
          <t>Dane</t>
        </is>
      </c>
      <c r="J177" s="15" t="n"/>
      <c r="K177" s="15" t="n"/>
      <c r="L177" s="15" t="n"/>
      <c r="M177" s="16" t="n"/>
      <c r="N177" s="17" t="n"/>
      <c r="O177" s="17" t="n"/>
      <c r="P177" s="15" t="n"/>
    </row>
    <row r="178">
      <c r="A178" s="11" t="n">
        <v>6</v>
      </c>
      <c r="B178" s="11" t="inlineStr">
        <is>
          <t>6.39</t>
        </is>
      </c>
      <c r="C178" s="12" t="inlineStr">
        <is>
          <t>Move the lead along</t>
        </is>
      </c>
      <c r="D178" s="12" t="inlineStr">
        <is>
          <t>Lead details</t>
        </is>
      </c>
      <c r="E178" s="13" t="inlineStr">
        <is>
          <t>Move Sophia to Quote Sent yourself</t>
        </is>
      </c>
      <c r="F178" s="14" t="inlineStr">
        <is>
          <t>1. Open Sophia Wong’s "Overview"
2. Click "Stage: Met" › "Quote Sent"
3. Under "Attach approved quote" › "From System", pick "Tampines 4-room renovation"
4. Click "Save"</t>
        </is>
      </c>
      <c r="G178" s="14" t="inlineStr">
        <is>
          <t>The quote’s row shows its number, amount and "Approved on …"; after Save you see "Moved to Quote Sent".</t>
        </is>
      </c>
      <c r="H178" s="12" t="inlineStr">
        <is>
          <t>Same as 1.0</t>
        </is>
      </c>
      <c r="I178" s="11" t="inlineStr">
        <is>
          <t>Dane</t>
        </is>
      </c>
      <c r="J178" s="15" t="n"/>
      <c r="K178" s="15" t="n"/>
      <c r="L178" s="15" t="n"/>
      <c r="M178" s="16" t="n"/>
      <c r="N178" s="17" t="n"/>
      <c r="O178" s="17" t="n"/>
      <c r="P178" s="15" t="n"/>
    </row>
    <row r="179">
      <c r="A179" s="11" t="n">
        <v>6</v>
      </c>
      <c r="B179" s="11" t="inlineStr">
        <is>
          <t>6.40</t>
        </is>
      </c>
      <c r="C179" s="12" t="inlineStr">
        <is>
          <t>Move the lead along</t>
        </is>
      </c>
      <c r="D179" s="12" t="inlineStr">
        <is>
          <t>Quotes</t>
        </is>
      </c>
      <c r="E179" s="13" t="inlineStr">
        <is>
          <t>Find the quote among all the studio’s quotes</t>
        </is>
      </c>
      <c r="F179" s="14" t="inlineStr">
        <is>
          <t>1. Click "Tools" in the side navigation › "Quotes"
2. Type "Tampines" in the search box
3. Read the row</t>
        </is>
      </c>
      <c r="G179" s="14" t="inlineStr">
        <is>
          <t>The row shows Tampines 4-room renovation with its number · Shared, Client "Sophia Wong", status "Confirmed" and your due date.</t>
        </is>
      </c>
      <c r="H179" s="12" t="inlineStr">
        <is>
          <t>Same as 1.0</t>
        </is>
      </c>
      <c r="I179" s="11" t="inlineStr">
        <is>
          <t>Dane</t>
        </is>
      </c>
      <c r="J179" s="15" t="n"/>
      <c r="K179" s="15" t="n"/>
      <c r="L179" s="15" t="n"/>
      <c r="M179" s="16" t="n"/>
      <c r="N179" s="17" t="n"/>
      <c r="O179" s="17" t="n"/>
      <c r="P179" s="15" t="n"/>
    </row>
    <row r="180">
      <c r="A180" s="11" t="n">
        <v>6</v>
      </c>
      <c r="B180" s="11" t="inlineStr">
        <is>
          <t>6.41</t>
        </is>
      </c>
      <c r="C180" s="12" t="inlineStr">
        <is>
          <t>An old quote from 1.0</t>
        </is>
      </c>
      <c r="D180" s="12" t="inlineStr">
        <is>
          <t>Quotes</t>
        </is>
      </c>
      <c r="E180" s="13" t="inlineStr">
        <is>
          <t>Upload Gerald Tan’s old spreadsheet quote</t>
        </is>
      </c>
      <c r="F180" s="14" t="inlineStr">
        <is>
          <t>1. On Tools › Quotes click "Create Quote" and pick "Gerald Tan" in "Client"
2. Click "Upload a quote" and choose uat-files/kitchen-moodboard.jpg
3. Click "Choose another file" and choose uat-files/gerald-tan-old-quote.xlsx
4. Click "Create the quote"</t>
        </is>
      </c>
      <c r="G180" s="14" t="inlineStr">
        <is>
          <t>The photo is refused ("We couldn’t read…"); the sheet shows "6 lines read … · S$14,880.00"; the new quote opens with a section per trade.</t>
        </is>
      </c>
      <c r="H180" s="12" t="inlineStr">
        <is>
          <t>Different from 1.0: spreadsheets are read for real, no AI scan</t>
        </is>
      </c>
      <c r="I180" s="11" t="inlineStr">
        <is>
          <t>Dane</t>
        </is>
      </c>
      <c r="J180" s="15" t="n"/>
      <c r="K180" s="15" t="n"/>
      <c r="L180" s="15" t="n"/>
      <c r="M180" s="16" t="n"/>
      <c r="N180" s="17" t="n"/>
      <c r="O180" s="17" t="n"/>
      <c r="P180" s="15" t="n"/>
    </row>
    <row r="181">
      <c r="A181" s="11" t="n">
        <v>6</v>
      </c>
      <c r="B181" s="11" t="inlineStr">
        <is>
          <t>6.42</t>
        </is>
      </c>
      <c r="C181" s="12" t="inlineStr">
        <is>
          <t>An old quote from 1.0</t>
        </is>
      </c>
      <c r="D181" s="12" t="inlineStr">
        <is>
          <t>Quotes</t>
        </is>
      </c>
      <c r="E181" s="13" t="inlineStr">
        <is>
          <t>Delete the uploaded quote, then restore it</t>
        </is>
      </c>
      <c r="F181" s="14" t="inlineStr">
        <is>
          <t>1. In Gerald’s quote click "More options" (⋮) › "Delete", then "Yes"
2. On Tools › Quotes click "More options" (⋮, top right) › "Deleted Quotes"
3. Click "Restore" on Gerald Tan’s quote</t>
        </is>
      </c>
      <c r="G181" s="14" t="inlineStr">
        <is>
          <t>Delete says "Quote deleted — find it under Deleted Quotes"; Restore says "Quote restored" and it is back in the list.</t>
        </is>
      </c>
      <c r="H181" s="12" t="inlineStr">
        <is>
          <t>Different from 1.0: deleted quotes wait in Deleted Quotes</t>
        </is>
      </c>
      <c r="I181" s="11" t="inlineStr">
        <is>
          <t>Dane</t>
        </is>
      </c>
      <c r="J181" s="15" t="n"/>
      <c r="K181" s="15" t="n"/>
      <c r="L181" s="15" t="n"/>
      <c r="M181" s="16" t="n"/>
      <c r="N181" s="17" t="n"/>
      <c r="O181" s="17" t="n"/>
      <c r="P181" s="15" t="n"/>
    </row>
    <row r="182">
      <c r="A182" s="11" t="n">
        <v>6</v>
      </c>
      <c r="B182" s="11" t="inlineStr">
        <is>
          <t>6.43</t>
        </is>
      </c>
      <c r="C182" s="12" t="inlineStr">
        <is>
          <t>An old quote from 1.0</t>
        </is>
      </c>
      <c r="D182" s="12" t="inlineStr">
        <is>
          <t>Quotes</t>
        </is>
      </c>
      <c r="E182" s="13" t="inlineStr">
        <is>
          <t>Delete Gerald’s uploaded quote for good</t>
        </is>
      </c>
      <c r="F182" s="14" t="inlineStr">
        <is>
          <t>1. On Gerald Tan’s row click "More actions" (⋮) › "Delete", then "Yes"
2. Open "Deleted Quotes" again
3. Click "Delete Forever", then "Delete Forever" in "Delete forever?"</t>
        </is>
      </c>
      <c r="G182" s="14" t="inlineStr">
        <is>
          <t>The confirm warns it cannot be undone; then "Quote deleted forever" and the row leaves Deleted Quotes.</t>
        </is>
      </c>
      <c r="H182" s="12" t="inlineStr">
        <is>
          <t>Different from 1.0: deleted quotes wait in Deleted Quotes</t>
        </is>
      </c>
      <c r="I182" s="11" t="inlineStr">
        <is>
          <t>Dane</t>
        </is>
      </c>
      <c r="J182" s="15" t="n"/>
      <c r="K182" s="15" t="n"/>
      <c r="L182" s="15" t="n"/>
      <c r="M182" s="16" t="n"/>
      <c r="N182" s="17" t="n"/>
      <c r="O182" s="17" t="n"/>
      <c r="P182" s="15" t="n"/>
    </row>
    <row r="183" ht="22" customHeight="1">
      <c r="A183" s="9" t="inlineStr">
        <is>
          <t>Chapter 7 · A rival quote — Quote X-Ray against another studio’s quote.</t>
        </is>
      </c>
      <c r="M183" s="10" t="n"/>
    </row>
    <row r="184">
      <c r="A184" s="11" t="n">
        <v>7</v>
      </c>
      <c r="B184" s="11" t="inlineStr">
        <is>
          <t>7.01</t>
        </is>
      </c>
      <c r="C184" s="12" t="inlineStr">
        <is>
          <t>Sophia shows you another studio’s quote</t>
        </is>
      </c>
      <c r="D184" s="12" t="inlineStr">
        <is>
          <t>Quote X-Ray</t>
        </is>
      </c>
      <c r="E184" s="13" t="inlineStr">
        <is>
          <t>Open Quote X-Ray on Sophia’s quote</t>
        </is>
      </c>
      <c r="F184" s="14" t="inlineStr">
        <is>
          <t>1. Open Sophia Wong › "Quotes" tab
2. Hover the quote’s row and click "More actions" (⋮)
3. Choose "Compare with another quote"</t>
        </is>
      </c>
      <c r="G184" s="14" t="inlineStr">
        <is>
          <t>Quote X-Ray opens for Sophia Wong: the lead is fixed and "… · Tampines 4-room renovation" is already chosen, "Confirmed · 9 lines".</t>
        </is>
      </c>
      <c r="H184" s="12" t="inlineStr">
        <is>
          <t>New in 2.0</t>
        </is>
      </c>
      <c r="I184" s="11" t="inlineStr">
        <is>
          <t>Dane</t>
        </is>
      </c>
      <c r="J184" s="15" t="n"/>
      <c r="K184" s="15" t="n"/>
      <c r="L184" s="15" t="n"/>
      <c r="M184" s="16" t="n"/>
      <c r="N184" s="17" t="n"/>
      <c r="O184" s="17" t="n"/>
      <c r="P184" s="15" t="n"/>
    </row>
    <row r="185">
      <c r="A185" s="11" t="n">
        <v>7</v>
      </c>
      <c r="B185" s="11" t="inlineStr">
        <is>
          <t>7.02</t>
        </is>
      </c>
      <c r="C185" s="12" t="inlineStr">
        <is>
          <t>Sophia shows you another studio’s quote</t>
        </is>
      </c>
      <c r="D185" s="12" t="inlineStr">
        <is>
          <t>Quote X-Ray</t>
        </is>
      </c>
      <c r="E185" s="13" t="inlineStr">
        <is>
          <t>Add the rival studio’s quote</t>
        </is>
      </c>
      <c r="F185" s="14" t="inlineStr">
        <is>
          <t>1. Drop uat-files/rival-quote-urban-nest.xlsx on "The other studio’s quote" (or click it to browse)
2. Type "Urban Nest Interiors" in "Their studio’s name (optional)"</t>
        </is>
      </c>
      <c r="G185" s="14" t="inlineStr">
        <is>
          <t>Under the file it says "10 lines read · S$13,470.00" at once; the hint clears and "Compare" can be clicked.</t>
        </is>
      </c>
      <c r="H185" s="12" t="inlineStr">
        <is>
          <t>Different from 1.0: spreadsheets are read as you pick them</t>
        </is>
      </c>
      <c r="I185" s="11" t="inlineStr">
        <is>
          <t>Dane</t>
        </is>
      </c>
      <c r="J185" s="15" t="n"/>
      <c r="K185" s="15" t="n"/>
      <c r="L185" s="15" t="n"/>
      <c r="M185" s="16" t="n"/>
      <c r="N185" s="17" t="n"/>
      <c r="O185" s="17" t="n"/>
      <c r="P185" s="15" t="n"/>
    </row>
    <row r="186">
      <c r="A186" s="11" t="n">
        <v>7</v>
      </c>
      <c r="B186" s="11" t="inlineStr">
        <is>
          <t>7.03</t>
        </is>
      </c>
      <c r="C186" s="12" t="inlineStr">
        <is>
          <t>Sophia shows you another studio’s quote</t>
        </is>
      </c>
      <c r="D186" s="12" t="inlineStr">
        <is>
          <t>Quote X-Ray</t>
        </is>
      </c>
      <c r="E186" s="13" t="inlineStr">
        <is>
          <t>Run the comparison</t>
        </is>
      </c>
      <c r="F186" s="14" t="inlineStr">
        <is>
          <t>1. Click "Compare"
2. Watch the progress card until the result opens</t>
        </is>
      </c>
      <c r="G186" s="14" t="inlineStr">
        <is>
          <t>"Comparing the two quotes…" ticks through four steps, then "Sophia Wong · vs Urban Nest Interiors" opens with the date and items compared.</t>
        </is>
      </c>
      <c r="H186" s="12" t="inlineStr">
        <is>
          <t>Same as 1.0</t>
        </is>
      </c>
      <c r="I186" s="11" t="inlineStr">
        <is>
          <t>Dane</t>
        </is>
      </c>
      <c r="J186" s="15" t="n"/>
      <c r="K186" s="15" t="n"/>
      <c r="L186" s="15" t="n"/>
      <c r="M186" s="16" t="n"/>
      <c r="N186" s="17" t="n"/>
      <c r="O186" s="17" t="n"/>
      <c r="P186" s="15" t="n"/>
    </row>
    <row r="187">
      <c r="A187" s="11" t="n">
        <v>7</v>
      </c>
      <c r="B187" s="11" t="inlineStr">
        <is>
          <t>7.04</t>
        </is>
      </c>
      <c r="C187" s="12" t="inlineStr">
        <is>
          <t>Read the result</t>
        </is>
      </c>
      <c r="D187" s="12" t="inlineStr">
        <is>
          <t>Quote X-Ray</t>
        </is>
      </c>
      <c r="E187" s="13" t="inlineStr">
        <is>
          <t>Read the real price difference</t>
        </is>
      </c>
      <c r="F187" s="14" t="inlineStr">
        <is>
          <t>1. Read the sentence under the caption
2. Read the three figures
3. Read the note under them
4. Hover the quote’s name in the caption — it links to your quote</t>
        </is>
      </c>
      <c r="G187" s="14" t="inlineStr">
        <is>
          <t>About S$ 17.7K yours, S$ 13.5K theirs, "Real difference" S$ 3.8K "ours more, like-for-like"; the note says both sides are before discounts and GST.</t>
        </is>
      </c>
      <c r="H187" s="12" t="inlineStr">
        <is>
          <t>Different from 1.0: both sides compared on line totals, before GST</t>
        </is>
      </c>
      <c r="I187" s="11" t="inlineStr">
        <is>
          <t>Dane</t>
        </is>
      </c>
      <c r="J187" s="15" t="n"/>
      <c r="K187" s="15" t="n"/>
      <c r="L187" s="15" t="n"/>
      <c r="M187" s="16" t="n"/>
      <c r="N187" s="17" t="n"/>
      <c r="O187" s="17" t="n"/>
      <c r="P187" s="15" t="n"/>
    </row>
    <row r="188">
      <c r="A188" s="11" t="n">
        <v>7</v>
      </c>
      <c r="B188" s="11" t="inlineStr">
        <is>
          <t>7.05</t>
        </is>
      </c>
      <c r="C188" s="12" t="inlineStr">
        <is>
          <t>Read the result</t>
        </is>
      </c>
      <c r="D188" s="12" t="inlineStr">
        <is>
          <t>Quote X-Ray</t>
        </is>
      </c>
      <c r="E188" s="13" t="inlineStr">
        <is>
          <t>Check the item-by-item table</t>
        </is>
      </c>
      <c r="F188" s="14" t="inlineStr">
        <is>
          <t>1. Scroll to "Item by item"
2. Find "Lighting points", "Hacking of kitchen floor and wall tiles" and "Haulage and disposal of debris"</t>
        </is>
      </c>
      <c r="G188" s="14" t="inlineStr">
        <is>
          <t>Lighting shows both quantities (18 vs 16 points); hacking is "Matched" despite different words; haulage reads "No price given".</t>
        </is>
      </c>
      <c r="H188" s="12" t="inlineStr">
        <is>
          <t>Different from 1.0: rates are compared and both quantities shown</t>
        </is>
      </c>
      <c r="I188" s="11" t="inlineStr">
        <is>
          <t>Dane</t>
        </is>
      </c>
      <c r="J188" s="15" t="n"/>
      <c r="K188" s="15" t="n"/>
      <c r="L188" s="15" t="n"/>
      <c r="M188" s="16" t="n"/>
      <c r="N188" s="17" t="n"/>
      <c r="O188" s="17" t="n"/>
      <c r="P188" s="15" t="n"/>
    </row>
    <row r="189">
      <c r="A189" s="11" t="n">
        <v>7</v>
      </c>
      <c r="B189" s="11" t="inlineStr">
        <is>
          <t>7.06</t>
        </is>
      </c>
      <c r="C189" s="12" t="inlineStr">
        <is>
          <t>Put the matching right</t>
        </is>
      </c>
      <c r="D189" s="12" t="inlineStr">
        <is>
          <t>Quote X-Ray</t>
        </is>
      </c>
      <c r="E189" s="13" t="inlineStr">
        <is>
          <t>Tell X-Ray two lines are not the same item</t>
        </is>
      </c>
      <c r="F189" s="14" t="inlineStr">
        <is>
          <t>1. Hover the "Quartz countertop" row and click "More actions" (⋮)
2. Choose "Not the same item"</t>
        </is>
      </c>
      <c r="G189" s="14" t="inlineStr">
        <is>
          <t>"Marked as not the same item" (with Undo); the row splits into "Only in yours" and "Only in theirs" and the figures change.</t>
        </is>
      </c>
      <c r="H189" s="12" t="inlineStr">
        <is>
          <t>Different from 1.0: you can correct a match on the result</t>
        </is>
      </c>
      <c r="I189" s="11" t="inlineStr">
        <is>
          <t>Dane</t>
        </is>
      </c>
      <c r="J189" s="15" t="n"/>
      <c r="K189" s="15" t="n"/>
      <c r="L189" s="15" t="n"/>
      <c r="M189" s="16" t="n"/>
      <c r="N189" s="17" t="n"/>
      <c r="O189" s="17" t="n"/>
      <c r="P189" s="15" t="n"/>
    </row>
    <row r="190">
      <c r="A190" s="11" t="n">
        <v>7</v>
      </c>
      <c r="B190" s="11" t="inlineStr">
        <is>
          <t>7.07</t>
        </is>
      </c>
      <c r="C190" s="12" t="inlineStr">
        <is>
          <t>Put the matching right</t>
        </is>
      </c>
      <c r="D190" s="12" t="inlineStr">
        <is>
          <t>Quote X-Ray</t>
        </is>
      </c>
      <c r="E190" s="13" t="inlineStr">
        <is>
          <t>Pair the two countertops again by hand</t>
        </is>
      </c>
      <c r="F190" s="14" t="inlineStr">
        <is>
          <t>1. On the "Quartz countertop" row open "More actions" (⋮) › "Same item as…"
2. Pick "Laminate countertop" in the list
3. Click "Pair"</t>
        </is>
      </c>
      <c r="G190" s="14" t="inlineStr">
        <is>
          <t>The row is matched again with the status "Paired by you"; the foot of the page reads "Corrected by Dane on …".</t>
        </is>
      </c>
      <c r="H190" s="12" t="inlineStr">
        <is>
          <t>Different from 1.0: you can correct a match on the result</t>
        </is>
      </c>
      <c r="I190" s="11" t="inlineStr">
        <is>
          <t>Dane</t>
        </is>
      </c>
      <c r="J190" s="15" t="n"/>
      <c r="K190" s="15" t="n"/>
      <c r="L190" s="15" t="n"/>
      <c r="M190" s="16" t="n"/>
      <c r="N190" s="17" t="n"/>
      <c r="O190" s="17" t="n"/>
      <c r="P190" s="15" t="n"/>
    </row>
    <row r="191">
      <c r="A191" s="11" t="n">
        <v>7</v>
      </c>
      <c r="B191" s="11" t="inlineStr">
        <is>
          <t>7.08</t>
        </is>
      </c>
      <c r="C191" s="12" t="inlineStr">
        <is>
          <t>Tell Sophia</t>
        </is>
      </c>
      <c r="D191" s="12" t="inlineStr">
        <is>
          <t>Quote X-Ray</t>
        </is>
      </c>
      <c r="E191" s="13" t="inlineStr">
        <is>
          <t>See what to tell Sophia</t>
        </is>
      </c>
      <c r="F191" s="14" t="inlineStr">
        <is>
          <t>1. Read the three points under "Say this"
2. On the wardrobe point, click "Say it as a question"
3. Read "Key points you can use"</t>
        </is>
      </c>
      <c r="G191" s="14" t="inlineStr">
        <is>
          <t>Points: wardrobe priced well below ours, a laminate worktop question, missing waterproofing. Key points: Nippon Paint "Your advantage", KDK "Impact: high", Dulux checked.</t>
        </is>
      </c>
      <c r="H191" s="12" t="inlineStr">
        <is>
          <t>Different from 1.0: brand notes are curated, not searched online</t>
        </is>
      </c>
      <c r="I191" s="11" t="inlineStr">
        <is>
          <t>Dane</t>
        </is>
      </c>
      <c r="J191" s="15" t="n"/>
      <c r="K191" s="15" t="n"/>
      <c r="L191" s="15" t="n"/>
      <c r="M191" s="16" t="n"/>
      <c r="N191" s="17" t="n"/>
      <c r="O191" s="17" t="n"/>
      <c r="P191" s="15" t="n"/>
    </row>
    <row r="192">
      <c r="A192" s="11" t="n">
        <v>7</v>
      </c>
      <c r="B192" s="11" t="inlineStr">
        <is>
          <t>7.09</t>
        </is>
      </c>
      <c r="C192" s="12" t="inlineStr">
        <is>
          <t>Tell Sophia</t>
        </is>
      </c>
      <c r="D192" s="12" t="inlineStr">
        <is>
          <t>Quote X-Ray</t>
        </is>
      </c>
      <c r="E192" s="13" t="inlineStr">
        <is>
          <t>Send Sophia the summary on WhatsApp (without really sending)</t>
        </is>
      </c>
      <c r="F192" s="14" t="inlineStr">
        <is>
          <t>1. Click "Send to client"
2. Check the message never names Urban Nest Interiors, and change a word
3. Click "Open WhatsApp" — a WhatsApp tab opens: close it, do not send
4. Click "Send to client" again</t>
        </is>
      </c>
      <c r="G192" s="14" t="inlineStr">
        <is>
          <t>The wardrobe point goes as your question; the header shows "Sent …"; the dialog reopens on your edited text, with "Reset to draft".</t>
        </is>
      </c>
      <c r="H192" s="12" t="inlineStr">
        <is>
          <t>Different from 1.0: what you sent is kept and shown</t>
        </is>
      </c>
      <c r="I192" s="11" t="inlineStr">
        <is>
          <t>Dane</t>
        </is>
      </c>
      <c r="J192" s="15" t="n"/>
      <c r="K192" s="15" t="n"/>
      <c r="L192" s="15" t="n"/>
      <c r="M192" s="16" t="n"/>
      <c r="N192" s="17" t="n"/>
      <c r="O192" s="17" t="n"/>
      <c r="P192" s="15" t="n"/>
    </row>
    <row r="193">
      <c r="A193" s="11" t="n">
        <v>7</v>
      </c>
      <c r="B193" s="11" t="inlineStr">
        <is>
          <t>7.10</t>
        </is>
      </c>
      <c r="C193" s="12" t="inlineStr">
        <is>
          <t>Compare two files without a lead</t>
        </is>
      </c>
      <c r="D193" s="12" t="inlineStr">
        <is>
          <t>Quote X-Ray</t>
        </is>
      </c>
      <c r="E193" s="13" t="inlineStr">
        <is>
          <t>Compare two files with no lead attached</t>
        </is>
      </c>
      <c r="F193" s="14" t="inlineStr">
        <is>
          <t>1. Click "Tools" › "Quote X-Ray", then "Upload two quotes"
2. Drop uat-files/kitchen-moodboard.jpg on "The other studio’s quote" and read the message
3. Drop uat-files/sophia-items-to-paste.xlsx on "Your quote" and uat-files/cove-interior-quotation.pdf on "The other studio’s quote"
4. Click "Compare"</t>
        </is>
      </c>
      <c r="G193" s="14" t="inlineStr">
        <is>
          <t>The photo is refused ("We couldn’t read this one…"); the PDF reads "20 lines read from Cove Interior’s quote"; the result opens.</t>
        </is>
      </c>
      <c r="H193" s="12" t="inlineStr">
        <is>
          <t>Same as 1.0</t>
        </is>
      </c>
      <c r="I193" s="11" t="inlineStr">
        <is>
          <t>Dane</t>
        </is>
      </c>
      <c r="J193" s="15" t="n"/>
      <c r="K193" s="15" t="n"/>
      <c r="L193" s="15" t="n"/>
      <c r="M193" s="16" t="n"/>
      <c r="N193" s="17" t="n"/>
      <c r="O193" s="17" t="n"/>
      <c r="P193" s="15" t="n"/>
    </row>
    <row r="194">
      <c r="A194" s="11" t="n">
        <v>7</v>
      </c>
      <c r="B194" s="11" t="inlineStr">
        <is>
          <t>7.11</t>
        </is>
      </c>
      <c r="C194" s="12" t="inlineStr">
        <is>
          <t>Compare two files without a lead</t>
        </is>
      </c>
      <c r="D194" s="12" t="inlineStr">
        <is>
          <t>Quote X-Ray</t>
        </is>
      </c>
      <c r="E194" s="13" t="inlineStr">
        <is>
          <t>Delete that practice comparison</t>
        </is>
      </c>
      <c r="F194" s="14" t="inlineStr">
        <is>
          <t>1. On its result click "More options" (⋮) › "Delete"
2. Click "Delete" in "Delete this comparison?"</t>
        </is>
      </c>
      <c r="G194" s="14" t="inlineStr">
        <is>
          <t>It warns this can’t be undone; you land back on Quote X-Ray and it is gone from "Recent comparisons".</t>
        </is>
      </c>
      <c r="H194" s="12" t="inlineStr">
        <is>
          <t>Different from 1.0: only its maker, an Owner or an Admin deletes</t>
        </is>
      </c>
      <c r="I194" s="11" t="inlineStr">
        <is>
          <t>Dane</t>
        </is>
      </c>
      <c r="J194" s="15" t="n"/>
      <c r="K194" s="15" t="n"/>
      <c r="L194" s="15" t="n"/>
      <c r="M194" s="16" t="n"/>
      <c r="N194" s="17" t="n"/>
      <c r="O194" s="17" t="n"/>
      <c r="P194" s="15" t="n"/>
    </row>
    <row r="195">
      <c r="A195" s="11" t="n">
        <v>7</v>
      </c>
      <c r="B195" s="11" t="inlineStr">
        <is>
          <t>7.12</t>
        </is>
      </c>
      <c r="C195" s="12" t="inlineStr">
        <is>
          <t>Other leads’ readings</t>
        </is>
      </c>
      <c r="D195" s="12" t="inlineStr">
        <is>
          <t>Quote X-Ray</t>
        </is>
      </c>
      <c r="E195" s="13" t="inlineStr">
        <is>
          <t>Rerun a reading whose quote has changed since</t>
        </is>
      </c>
      <c r="F195" s="14" t="inlineStr">
        <is>
          <t>1. On Quote X-Ray, find Sophia’s reading under "Recent comparisons" (it says "Sent …")
2. Open "Olivia Martinez · vs Flo Design"
3. Click "Run again" in the banner</t>
        </is>
      </c>
      <c r="G195" s="14" t="inlineStr">
        <is>
          <t>A banner says the quote has changed since this comparison; "Run again" opens a fresh reading: "Run again — the earlier comparison is kept".</t>
        </is>
      </c>
      <c r="H195" s="12" t="inlineStr">
        <is>
          <t>Different from 1.0: it tells you when your quote changed</t>
        </is>
      </c>
      <c r="I195" s="11" t="inlineStr">
        <is>
          <t>Dane</t>
        </is>
      </c>
      <c r="J195" s="15" t="n"/>
      <c r="K195" s="15" t="n"/>
      <c r="L195" s="15" t="n"/>
      <c r="M195" s="16" t="n"/>
      <c r="N195" s="17" t="n"/>
      <c r="O195" s="17" t="n"/>
      <c r="P195" s="15" t="n"/>
    </row>
    <row r="196">
      <c r="A196" s="11" t="n">
        <v>7</v>
      </c>
      <c r="B196" s="11" t="inlineStr">
        <is>
          <t>7.13</t>
        </is>
      </c>
      <c r="C196" s="12" t="inlineStr">
        <is>
          <t>Other leads’ readings</t>
        </is>
      </c>
      <c r="D196" s="12" t="inlineStr">
        <is>
          <t>Lead details</t>
        </is>
      </c>
      <c r="E196" s="13" t="inlineStr">
        <is>
          <t>Mark a lost lead with the competitor from X-Ray</t>
        </is>
      </c>
      <c r="F196" s="14" t="inlineStr">
        <is>
          <t>1. Open Vivien Lee from the Leads list
2. Click "Stage: Quote Sent" › "Lost"
3. Keep the reason "Went with another firm" and read "Competitor (optional)"
4. Click "Save &amp; Move"</t>
        </is>
      </c>
      <c r="G196" s="14" t="inlineStr">
        <is>
          <t>Competitor already reads "Flo Design", noted "From the Quote X-Ray of …"; after saving, "Moved to Lost" and Vivien Lee shows Lost.</t>
        </is>
      </c>
      <c r="H196" s="12" t="inlineStr">
        <is>
          <t>Different from 1.0: the competitor comes from the lead’s X-Ray</t>
        </is>
      </c>
      <c r="I196" s="11" t="inlineStr">
        <is>
          <t>Dane</t>
        </is>
      </c>
      <c r="J196" s="15" t="n"/>
      <c r="K196" s="15" t="n"/>
      <c r="L196" s="15" t="n"/>
      <c r="M196" s="16" t="n"/>
      <c r="N196" s="17" t="n"/>
      <c r="O196" s="17" t="n"/>
      <c r="P196" s="15" t="n"/>
    </row>
    <row r="197" ht="22" customHeight="1">
      <c r="A197" s="9" t="inlineStr">
        <is>
          <t>Chapter 8 · Sign the deal — Sophia’s contract, sent and signed.</t>
        </is>
      </c>
      <c r="M197" s="10" t="n"/>
    </row>
    <row r="198">
      <c r="A198" s="11" t="n">
        <v>8</v>
      </c>
      <c r="B198" s="11" t="inlineStr">
        <is>
          <t>8.01</t>
        </is>
      </c>
      <c r="C198" s="12" t="inlineStr">
        <is>
          <t>Raise Sophia’s contract</t>
        </is>
      </c>
      <c r="D198" s="12" t="inlineStr">
        <is>
          <t>Contracts</t>
        </is>
      </c>
      <c r="E198" s="13" t="inlineStr">
        <is>
          <t>Start Sophia’s contract from her confirmed quote</t>
        </is>
      </c>
      <c r="F198" s="14" t="inlineStr">
        <is>
          <t>1. Open Sophia Wong › "Quotes" and open her quote
2. Click "Send for signature" (or the ⋮ "More options" menu › "Create contract from this quote")</t>
        </is>
      </c>
      <c r="G198" s="14" t="inlineStr">
        <is>
          <t>"Choose a contract template" opens with "Interior Design Service Agreement" marked "Default" and already picked, beside the "Agreements" and "Variations" folders</t>
        </is>
      </c>
      <c r="H198" s="12" t="inlineStr">
        <is>
          <t>Different from 1.0: started only from the lead drawer</t>
        </is>
      </c>
      <c r="I198" s="11" t="inlineStr">
        <is>
          <t>Dane</t>
        </is>
      </c>
      <c r="J198" s="15" t="n"/>
      <c r="K198" s="15" t="n"/>
      <c r="L198" s="15" t="n"/>
      <c r="M198" s="16" t="n"/>
      <c r="N198" s="17" t="n"/>
      <c r="O198" s="17" t="n"/>
      <c r="P198" s="15" t="n"/>
    </row>
    <row r="199">
      <c r="A199" s="11" t="n">
        <v>8</v>
      </c>
      <c r="B199" s="11" t="inlineStr">
        <is>
          <t>8.02</t>
        </is>
      </c>
      <c r="C199" s="12" t="inlineStr">
        <is>
          <t>Raise Sophia’s contract</t>
        </is>
      </c>
      <c r="D199" s="12" t="inlineStr">
        <is>
          <t>Contracts</t>
        </is>
      </c>
      <c r="E199" s="13" t="inlineStr">
        <is>
          <t>Use the studio’s service agreement template</t>
        </is>
      </c>
      <c r="F199" s="14" t="inlineStr">
        <is>
          <t>1. Keep "Interior Design Service Agreement" (marked "Default") picked
2. Click "Use template"</t>
        </is>
      </c>
      <c r="G199" s="14" t="inlineStr">
        <is>
          <t>The contract opens as a Draft with a "From template" chip; the top row shows Sophia Wong · 9765 4321 and her quote’s number and total</t>
        </is>
      </c>
      <c r="H199" s="12" t="inlineStr">
        <is>
          <t>Different from 1.0: 1.0 kept no contract record</t>
        </is>
      </c>
      <c r="I199" s="11" t="inlineStr">
        <is>
          <t>Dane</t>
        </is>
      </c>
      <c r="J199" s="15" t="n"/>
      <c r="K199" s="15" t="n"/>
      <c r="L199" s="15" t="n"/>
      <c r="M199" s="16" t="n"/>
      <c r="N199" s="17" t="n"/>
      <c r="O199" s="17" t="n"/>
      <c r="P199" s="15" t="n"/>
    </row>
    <row r="200">
      <c r="A200" s="11" t="n">
        <v>8</v>
      </c>
      <c r="B200" s="11" t="inlineStr">
        <is>
          <t>8.03</t>
        </is>
      </c>
      <c r="C200" s="12" t="inlineStr">
        <is>
          <t>Raise Sophia’s contract</t>
        </is>
      </c>
      <c r="D200" s="12" t="inlineStr">
        <is>
          <t>Contracts</t>
        </is>
      </c>
      <c r="E200" s="13" t="inlineStr">
        <is>
          <t>Add the quote’s validity date with Smart Text</t>
        </is>
      </c>
      <c r="F200" s="14" t="inlineStr">
        <is>
          <t>1. Click at the end of clause 2’s paragraph ("2. Contract sum")
2. Click "Smart Text" › "Studio" and find "GST reg. no.", then click "‹ Studio" to go back
3. Click "Quote" and then "Quote valid until"</t>
        </is>
      </c>
      <c r="G200" s="14" t="inlineStr">
        <is>
          <t>Each record shows what it prints for Sophia (or "Empty"); Studio lists "GST reg. no."; a "Quote valid until" chip appears where you clicked</t>
        </is>
      </c>
      <c r="H200" s="12" t="inlineStr">
        <is>
          <t>Different from 1.0: more records, each showing its value</t>
        </is>
      </c>
      <c r="I200" s="11" t="inlineStr">
        <is>
          <t>Dane</t>
        </is>
      </c>
      <c r="J200" s="15" t="n"/>
      <c r="K200" s="15" t="n"/>
      <c r="L200" s="15" t="n"/>
      <c r="M200" s="16" t="n"/>
      <c r="N200" s="17" t="n"/>
      <c r="O200" s="17" t="n"/>
      <c r="P200" s="15" t="n"/>
    </row>
    <row r="201">
      <c r="A201" s="11" t="n">
        <v>8</v>
      </c>
      <c r="B201" s="11" t="inlineStr">
        <is>
          <t>8.04</t>
        </is>
      </c>
      <c r="C201" s="12" t="inlineStr">
        <is>
          <t>Raise Sophia’s contract</t>
        </is>
      </c>
      <c r="D201" s="12" t="inlineStr">
        <is>
          <t>Contracts</t>
        </is>
      </c>
      <c r="E201" s="13" t="inlineStr">
        <is>
          <t>Jump to a clause from the Outline</t>
        </is>
      </c>
      <c r="F201" s="14" t="inlineStr">
        <is>
          <t>1. Look at the "Outline" list left of the page (if hidden, click the list icon "Show outline")
2. Click "8. Defects liability"</t>
        </is>
      </c>
      <c r="G201" s="14" t="inlineStr">
        <is>
          <t>The Outline lists every heading of the agreement; clicking one scrolls the page straight to that clause</t>
        </is>
      </c>
      <c r="H201" s="12" t="inlineStr">
        <is>
          <t>New in 2.0</t>
        </is>
      </c>
      <c r="I201" s="11" t="inlineStr">
        <is>
          <t>Dane</t>
        </is>
      </c>
      <c r="J201" s="15" t="n"/>
      <c r="K201" s="15" t="n"/>
      <c r="L201" s="15" t="n"/>
      <c r="M201" s="16" t="n"/>
      <c r="N201" s="17" t="n"/>
      <c r="O201" s="17" t="n"/>
      <c r="P201" s="15" t="n"/>
    </row>
    <row r="202">
      <c r="A202" s="11" t="n">
        <v>8</v>
      </c>
      <c r="B202" s="11" t="inlineStr">
        <is>
          <t>8.05</t>
        </is>
      </c>
      <c r="C202" s="12" t="inlineStr">
        <is>
          <t>Get it ready to send</t>
        </is>
      </c>
      <c r="D202" s="12" t="inlineStr">
        <is>
          <t>Contracts</t>
        </is>
      </c>
      <c r="E202" s="13" t="inlineStr">
        <is>
          <t>Make Sophia read to the end and tick before signing</t>
        </is>
      </c>
      <c r="F202" s="14" t="inlineStr">
        <is>
          <t>1. Click "eSignatures" in the toolbar
2. Under "Before the client signs", switch on "Read to the end" and "Tick to accept"
3. In "The words they tick", type: I have read and agree to the service agreement.
4. Close the panel</t>
        </is>
      </c>
      <c r="G202" s="14" t="inlineStr">
        <is>
          <t>The panel lists four fillable fields (Studio / Client signature and initial); both switches stay on and your words are kept</t>
        </is>
      </c>
      <c r="H202" s="12" t="inlineStr">
        <is>
          <t>Different from 1.0: only library documents had these checks</t>
        </is>
      </c>
      <c r="I202" s="11" t="inlineStr">
        <is>
          <t>Dane</t>
        </is>
      </c>
      <c r="J202" s="15" t="n"/>
      <c r="K202" s="15" t="n"/>
      <c r="L202" s="15" t="n"/>
      <c r="M202" s="16" t="n"/>
      <c r="N202" s="17" t="n"/>
      <c r="O202" s="17" t="n"/>
      <c r="P202" s="15" t="n"/>
    </row>
    <row r="203">
      <c r="A203" s="11" t="n">
        <v>8</v>
      </c>
      <c r="B203" s="11" t="inlineStr">
        <is>
          <t>8.06</t>
        </is>
      </c>
      <c r="C203" s="12" t="inlineStr">
        <is>
          <t>Get it ready to send</t>
        </is>
      </c>
      <c r="D203" s="12" t="inlineStr">
        <is>
          <t>Contracts</t>
        </is>
      </c>
      <c r="E203" s="13" t="inlineStr">
        <is>
          <t>Ask for a follow-up and a thank-you reminder</t>
        </is>
      </c>
      <c r="F203" s="14" t="inlineStr">
        <is>
          <t>1. Click the bell icon in the contract’s header (tooltip "Automation")
2. Switch on "Remind me to follow up"
3. Switch on "Remind me to thank the client"</t>
        </is>
      </c>
      <c r="G203" s="14" t="inlineStr">
        <is>
          <t>Both switches stay on, each explaining the task it adds, and the bell icon stays highlighted</t>
        </is>
      </c>
      <c r="H203" s="12" t="inlineStr">
        <is>
          <t>New in 2.0</t>
        </is>
      </c>
      <c r="I203" s="11" t="inlineStr">
        <is>
          <t>Dane</t>
        </is>
      </c>
      <c r="J203" s="15" t="n"/>
      <c r="K203" s="15" t="n"/>
      <c r="L203" s="15" t="n"/>
      <c r="M203" s="16" t="n"/>
      <c r="N203" s="17" t="n"/>
      <c r="O203" s="17" t="n"/>
      <c r="P203" s="15" t="n"/>
    </row>
    <row r="204">
      <c r="A204" s="11" t="n">
        <v>8</v>
      </c>
      <c r="B204" s="11" t="inlineStr">
        <is>
          <t>8.07</t>
        </is>
      </c>
      <c r="C204" s="12" t="inlineStr">
        <is>
          <t>Get it ready to send</t>
        </is>
      </c>
      <c r="D204" s="12" t="inlineStr">
        <is>
          <t>Contracts</t>
        </is>
      </c>
      <c r="E204" s="13" t="inlineStr">
        <is>
          <t>Send the contract and copy Sophia’s signing link</t>
        </is>
      </c>
      <c r="F204" s="14" t="inlineStr">
        <is>
          <t>1. Click "Send"
2. Check "Client name" and "Client phone (for the code)"
3. Click "Copy link" (not WhatsApp), then close the window with ✕</t>
        </is>
      </c>
      <c r="G204" s="14" t="inlineStr">
        <is>
          <t>Sophia Wong and 9765 4321 are filled in; after "Copy link" the status reads "Sent to Client" and a banner says "not opened yet"</t>
        </is>
      </c>
      <c r="H204" s="12" t="inlineStr">
        <is>
          <t>Different from 1.0: sent on WhatsApp or a copied link, not SMS</t>
        </is>
      </c>
      <c r="I204" s="11" t="inlineStr">
        <is>
          <t>Dane</t>
        </is>
      </c>
      <c r="J204" s="15" t="n"/>
      <c r="K204" s="15" t="n"/>
      <c r="L204" s="15" t="n"/>
      <c r="M204" s="16" t="n"/>
      <c r="N204" s="17" t="n"/>
      <c r="O204" s="17" t="n"/>
      <c r="P204" s="15" t="n"/>
    </row>
    <row r="205">
      <c r="A205" s="11" t="n">
        <v>8</v>
      </c>
      <c r="B205" s="11" t="inlineStr">
        <is>
          <t>8.08</t>
        </is>
      </c>
      <c r="C205" s="12" t="inlineStr">
        <is>
          <t>Sophia signs online</t>
        </is>
      </c>
      <c r="D205" s="12" t="inlineStr">
        <is>
          <t>Contracts</t>
        </is>
      </c>
      <c r="E205" s="13" t="inlineStr">
        <is>
          <t>Open the signing link as Sophia would</t>
        </is>
      </c>
      <c r="F205" s="14" t="inlineStr">
        <is>
          <t>1. Open a new browser tab
2. Paste the copied link into the address bar and press Enter</t>
        </is>
      </c>
      <c r="G205" s="14" t="inlineStr">
        <is>
          <t>Studio name and "Secure signing" on top; the agreement carries Sophia’s name and quote total; the card says "Hi Sophia", phone masked except 4321</t>
        </is>
      </c>
      <c r="H205" s="12" t="inlineStr">
        <is>
          <t>Different from 1.0: she reads first, then gets the code</t>
        </is>
      </c>
      <c r="I205" s="18" t="inlineStr">
        <is>
          <t>Sophia Wong (client)</t>
        </is>
      </c>
      <c r="J205" s="15" t="n"/>
      <c r="K205" s="15" t="n"/>
      <c r="L205" s="15" t="n"/>
      <c r="M205" s="16" t="n"/>
      <c r="N205" s="17" t="n"/>
      <c r="O205" s="17" t="n"/>
      <c r="P205" s="15" t="n"/>
    </row>
    <row r="206">
      <c r="A206" s="11" t="n">
        <v>8</v>
      </c>
      <c r="B206" s="11" t="inlineStr">
        <is>
          <t>8.09</t>
        </is>
      </c>
      <c r="C206" s="12" t="inlineStr">
        <is>
          <t>Sophia signs online</t>
        </is>
      </c>
      <c r="D206" s="12" t="inlineStr">
        <is>
          <t>Contracts</t>
        </is>
      </c>
      <c r="E206" s="13" t="inlineStr">
        <is>
          <t>Check the quote this agreement signs</t>
        </is>
      </c>
      <c r="F206" s="14" t="inlineStr">
        <is>
          <t>1. In the card, click "It signs quotation … — view the quote"
2. Look it over, then close that tab</t>
        </is>
      </c>
      <c r="G206" s="14" t="inlineStr">
        <is>
          <t>Sophia’s quote opens in its own tab as the client sees it, with "Back to the agreement"; nothing on it can be changed</t>
        </is>
      </c>
      <c r="H206" s="12" t="inlineStr">
        <is>
          <t>Different from 1.0: the quote opens beside, not as a step</t>
        </is>
      </c>
      <c r="I206" s="18" t="inlineStr">
        <is>
          <t>Sophia Wong (client)</t>
        </is>
      </c>
      <c r="J206" s="15" t="n"/>
      <c r="K206" s="15" t="n"/>
      <c r="L206" s="15" t="n"/>
      <c r="M206" s="16" t="n"/>
      <c r="N206" s="17" t="n"/>
      <c r="O206" s="17" t="n"/>
      <c r="P206" s="15" t="n"/>
    </row>
    <row r="207">
      <c r="A207" s="11" t="n">
        <v>8</v>
      </c>
      <c r="B207" s="11" t="inlineStr">
        <is>
          <t>8.10</t>
        </is>
      </c>
      <c r="C207" s="12" t="inlineStr">
        <is>
          <t>Sophia signs online</t>
        </is>
      </c>
      <c r="D207" s="12" t="inlineStr">
        <is>
          <t>Contracts</t>
        </is>
      </c>
      <c r="E207" s="13" t="inlineStr">
        <is>
          <t>Read to the end and accept the terms</t>
        </is>
      </c>
      <c r="F207" s="14" t="inlineStr">
        <is>
          <t>1. Note that "Send code" is greyed out
2. Scroll to the very end of the agreement
3. Tick "I have read and agree to the service agreement."</t>
        </is>
      </c>
      <c r="G207" s="14" t="inlineStr">
        <is>
          <t>The card changes to "You’ve read to the end"; after the tick "Send code" can be pressed</t>
        </is>
      </c>
      <c r="H207" s="12" t="inlineStr">
        <is>
          <t>Same as 1.0</t>
        </is>
      </c>
      <c r="I207" s="18" t="inlineStr">
        <is>
          <t>Sophia Wong (client)</t>
        </is>
      </c>
      <c r="J207" s="15" t="n"/>
      <c r="K207" s="15" t="n"/>
      <c r="L207" s="15" t="n"/>
      <c r="M207" s="16" t="n"/>
      <c r="N207" s="17" t="n"/>
      <c r="O207" s="17" t="n"/>
      <c r="P207" s="15" t="n"/>
    </row>
    <row r="208">
      <c r="A208" s="11" t="n">
        <v>8</v>
      </c>
      <c r="B208" s="11" t="inlineStr">
        <is>
          <t>8.11</t>
        </is>
      </c>
      <c r="C208" s="12" t="inlineStr">
        <is>
          <t>Sophia signs online</t>
        </is>
      </c>
      <c r="D208" s="12" t="inlineStr">
        <is>
          <t>Contracts</t>
        </is>
      </c>
      <c r="E208" s="13" t="inlineStr">
        <is>
          <t>Change the contract while Sophia is signing</t>
        </is>
      </c>
      <c r="F208" s="14" t="inlineStr">
        <is>
          <t>1. Click "Send code", type any six digits (e.g. 123456 — stands in for the SMS code), click "Verify"
2. Switch to the studio tab, type a word into clause 1 and wait for "Saved just now"
3. Back in Sophia’s tab, click "Sign agreement"</t>
        </is>
      </c>
      <c r="G208" s="14" t="inlineStr">
        <is>
          <t>A message says the agreement was updated while she was reading; the page goes back to the start with the new text</t>
        </is>
      </c>
      <c r="H208" s="12" t="inlineStr">
        <is>
          <t>Same as 1.0</t>
        </is>
      </c>
      <c r="I208" s="18" t="inlineStr">
        <is>
          <t>Sophia Wong (client)</t>
        </is>
      </c>
      <c r="J208" s="15" t="n"/>
      <c r="K208" s="15" t="n"/>
      <c r="L208" s="15" t="n"/>
      <c r="M208" s="16" t="n"/>
      <c r="N208" s="17" t="n"/>
      <c r="O208" s="17" t="n"/>
      <c r="P208" s="15" t="n"/>
    </row>
    <row r="209">
      <c r="A209" s="11" t="n">
        <v>8</v>
      </c>
      <c r="B209" s="11" t="inlineStr">
        <is>
          <t>8.12</t>
        </is>
      </c>
      <c r="C209" s="12" t="inlineStr">
        <is>
          <t>Sophia signs online</t>
        </is>
      </c>
      <c r="D209" s="12" t="inlineStr">
        <is>
          <t>Contracts</t>
        </is>
      </c>
      <c r="E209" s="13" t="inlineStr">
        <is>
          <t>Sign by drawing, with an NRIC</t>
        </is>
      </c>
      <c r="F209" s="14" t="inlineStr">
        <is>
          <t>1. Scroll to the end, tick, click "Send code", type 123456, click "Verify"
2. Choose "Draw" and sign on the pad with the mouse
3. Type S1234567A in "NRIC / FIN (optional)"
4. Click "Sign agreement"</t>
        </is>
      </c>
      <c r="G209" s="14" t="inlineStr">
        <is>
          <t>Under the NRIC it reads "Kept as •••••567A"; the sentence above names the agreement and her quote; the card then shows "Signed"</t>
        </is>
      </c>
      <c r="H209" s="12" t="inlineStr">
        <is>
          <t>Different from 1.0: type or draw; NRIC optional, kept masked</t>
        </is>
      </c>
      <c r="I209" s="18" t="inlineStr">
        <is>
          <t>Sophia Wong (client)</t>
        </is>
      </c>
      <c r="J209" s="15" t="n"/>
      <c r="K209" s="15" t="n"/>
      <c r="L209" s="15" t="n"/>
      <c r="M209" s="16" t="n"/>
      <c r="N209" s="17" t="n"/>
      <c r="O209" s="17" t="n"/>
      <c r="P209" s="15" t="n"/>
    </row>
    <row r="210">
      <c r="A210" s="11" t="n">
        <v>8</v>
      </c>
      <c r="B210" s="11" t="inlineStr">
        <is>
          <t>8.13</t>
        </is>
      </c>
      <c r="C210" s="12" t="inlineStr">
        <is>
          <t>Sophia signs online</t>
        </is>
      </c>
      <c r="D210" s="12" t="inlineStr">
        <is>
          <t>Contracts</t>
        </is>
      </c>
      <c r="E210" s="13" t="inlineStr">
        <is>
          <t>Look at the proof of signing</t>
        </is>
      </c>
      <c r="F210" s="14" t="inlineStr">
        <is>
          <t>1. Scroll below the agreement to "Signing record"
2. Click "Download a copy" in the card, then cancel the print</t>
        </is>
      </c>
      <c r="G210" s="14" t="inlineStr">
        <is>
          <t>The record lists Sophia Wong, "Drawn by hand", •••••567A, the masked phone, device, times and a fingerprint; the print shows letterhead and signatures</t>
        </is>
      </c>
      <c r="H210" s="12" t="inlineStr">
        <is>
          <t>Different from 1.0: on the page, not a PDF certificate</t>
        </is>
      </c>
      <c r="I210" s="18" t="inlineStr">
        <is>
          <t>Sophia Wong (client)</t>
        </is>
      </c>
      <c r="J210" s="15" t="n"/>
      <c r="K210" s="15" t="n"/>
      <c r="L210" s="15" t="n"/>
      <c r="M210" s="16" t="n"/>
      <c r="N210" s="17" t="n"/>
      <c r="O210" s="17" t="n"/>
      <c r="P210" s="15" t="n"/>
    </row>
    <row r="211">
      <c r="A211" s="11" t="n">
        <v>8</v>
      </c>
      <c r="B211" s="11" t="inlineStr">
        <is>
          <t>8.14</t>
        </is>
      </c>
      <c r="C211" s="12" t="inlineStr">
        <is>
          <t>Back at the studio</t>
        </is>
      </c>
      <c r="D211" s="12" t="inlineStr">
        <is>
          <t>Contracts</t>
        </is>
      </c>
      <c r="E211" s="13" t="inlineStr">
        <is>
          <t>See the signed contract locked in the studio</t>
        </is>
      </c>
      <c r="F211" s="14" t="inlineStr">
        <is>
          <t>1. Go back to the studio tab and refresh the page
2. Try to type in the agreement or change the title
3. Click "Signing record" in the banner</t>
        </is>
      </c>
      <c r="G211" s="14" t="inlineStr">
        <is>
          <t>Status "Signed" with a signed-date chip; the banner says Sophia signed online and it stays signed; nothing edits; the record matches hers</t>
        </is>
      </c>
      <c r="H211" s="12" t="inlineStr">
        <is>
          <t>Same as 1.0</t>
        </is>
      </c>
      <c r="I211" s="11" t="inlineStr">
        <is>
          <t>Dane</t>
        </is>
      </c>
      <c r="J211" s="15" t="n"/>
      <c r="K211" s="15" t="n"/>
      <c r="L211" s="15" t="n"/>
      <c r="M211" s="16" t="n"/>
      <c r="N211" s="17" t="n"/>
      <c r="O211" s="17" t="n"/>
      <c r="P211" s="15" t="n"/>
    </row>
    <row r="212">
      <c r="A212" s="11" t="n">
        <v>8</v>
      </c>
      <c r="B212" s="11" t="inlineStr">
        <is>
          <t>8.15</t>
        </is>
      </c>
      <c r="C212" s="12" t="inlineStr">
        <is>
          <t>Back at the studio</t>
        </is>
      </c>
      <c r="D212" s="12" t="inlineStr">
        <is>
          <t>Quotes</t>
        </is>
      </c>
      <c r="E212" s="13" t="inlineStr">
        <is>
          <t>Check her quote is now signed</t>
        </is>
      </c>
      <c r="F212" s="14" t="inlineStr">
        <is>
          <t>1. Close the contract with ✕ — you land back on her quote
2. Look at the status and the chips beside the title
3. Click the "Contract · Signed" chip</t>
        </is>
      </c>
      <c r="G212" s="14" t="inlineStr">
        <is>
          <t>The quote reads "Signed"; a "Contract · Signed" chip sits by the title and opens the contract</t>
        </is>
      </c>
      <c r="H212" s="12" t="inlineStr">
        <is>
          <t>Same as 1.0</t>
        </is>
      </c>
      <c r="I212" s="11" t="inlineStr">
        <is>
          <t>Dane</t>
        </is>
      </c>
      <c r="J212" s="15" t="n"/>
      <c r="K212" s="15" t="n"/>
      <c r="L212" s="15" t="n"/>
      <c r="M212" s="16" t="n"/>
      <c r="N212" s="17" t="n"/>
      <c r="O212" s="17" t="n"/>
      <c r="P212" s="15" t="n"/>
    </row>
    <row r="213">
      <c r="A213" s="11" t="n">
        <v>8</v>
      </c>
      <c r="B213" s="11" t="inlineStr">
        <is>
          <t>8.16</t>
        </is>
      </c>
      <c r="C213" s="12" t="inlineStr">
        <is>
          <t>Back at the studio</t>
        </is>
      </c>
      <c r="D213" s="12" t="inlineStr">
        <is>
          <t>Lead details</t>
        </is>
      </c>
      <c r="E213" s="13" t="inlineStr">
        <is>
          <t>Check the two reminders became tasks</t>
        </is>
      </c>
      <c r="F213" s="14" t="inlineStr">
        <is>
          <t>1. Open Sophia Wong › "Tasks"</t>
        </is>
      </c>
      <c r="G213" s="14" t="inlineStr">
        <is>
          <t>"Follow up on “Interior Design Service Agreement” — not signed yet" is completed; "Thank Sophia Wong for signing “Interior Design Service Agreement”" is due today</t>
        </is>
      </c>
      <c r="H213" s="12" t="inlineStr">
        <is>
          <t>New in 2.0</t>
        </is>
      </c>
      <c r="I213" s="11" t="inlineStr">
        <is>
          <t>Dane</t>
        </is>
      </c>
      <c r="J213" s="15" t="n"/>
      <c r="K213" s="15" t="n"/>
      <c r="L213" s="15" t="n"/>
      <c r="M213" s="16" t="n"/>
      <c r="N213" s="17" t="n"/>
      <c r="O213" s="17" t="n"/>
      <c r="P213" s="15" t="n"/>
    </row>
    <row r="214">
      <c r="A214" s="11" t="n">
        <v>8</v>
      </c>
      <c r="B214" s="11" t="inlineStr">
        <is>
          <t>8.17</t>
        </is>
      </c>
      <c r="C214" s="12" t="inlineStr">
        <is>
          <t>Back at the studio</t>
        </is>
      </c>
      <c r="D214" s="12" t="inlineStr">
        <is>
          <t>Notifications</t>
        </is>
      </c>
      <c r="E214" s="13" t="inlineStr">
        <is>
          <t>See the studio was told she signed</t>
        </is>
      </c>
      <c r="F214" s="14" t="inlineStr">
        <is>
          <t>1. Click "Notifications" (the bell) in the side navigation</t>
        </is>
      </c>
      <c r="G214" s="14" t="inlineStr">
        <is>
          <t>The newest notice reads "Sophia Wong signed Interior Design Service Agreement" and opens her Contracts tab</t>
        </is>
      </c>
      <c r="H214" s="12" t="inlineStr">
        <is>
          <t>Same as 1.0</t>
        </is>
      </c>
      <c r="I214" s="11" t="inlineStr">
        <is>
          <t>Dane</t>
        </is>
      </c>
      <c r="J214" s="15" t="n"/>
      <c r="K214" s="15" t="n"/>
      <c r="L214" s="15" t="n"/>
      <c r="M214" s="16" t="n"/>
      <c r="N214" s="17" t="n"/>
      <c r="O214" s="17" t="n"/>
      <c r="P214" s="15" t="n"/>
    </row>
    <row r="215">
      <c r="A215" s="11" t="n">
        <v>8</v>
      </c>
      <c r="B215" s="11" t="inlineStr">
        <is>
          <t>8.18</t>
        </is>
      </c>
      <c r="C215" s="12" t="inlineStr">
        <is>
          <t>Back at the studio</t>
        </is>
      </c>
      <c r="D215" s="12" t="inlineStr">
        <is>
          <t>Contracts</t>
        </is>
      </c>
      <c r="E215" s="13" t="inlineStr">
        <is>
          <t>Read the contract’s row and try to un-sign it</t>
        </is>
      </c>
      <c r="F215" s="14" t="inlineStr">
        <is>
          <t>1. Open Sophia Wong › "Contracts"
2. Look at the "Signed Copy" and "Sent" columns
3. Click the status "Signed" and try "Draft"</t>
        </is>
      </c>
      <c r="G215" s="14" t="inlineStr">
        <is>
          <t>Signed Copy names the signed-online file; Sent shows "Viewed" with a date; "Draft" and "Sent to Client" say "signed by the client" and do nothing</t>
        </is>
      </c>
      <c r="H215" s="12" t="inlineStr">
        <is>
          <t>Different from 1.0: Viewed is a date, not a status</t>
        </is>
      </c>
      <c r="I215" s="11" t="inlineStr">
        <is>
          <t>Dane</t>
        </is>
      </c>
      <c r="J215" s="15" t="n"/>
      <c r="K215" s="15" t="n"/>
      <c r="L215" s="15" t="n"/>
      <c r="M215" s="16" t="n"/>
      <c r="N215" s="17" t="n"/>
      <c r="O215" s="17" t="n"/>
      <c r="P215" s="15" t="n"/>
    </row>
    <row r="216">
      <c r="A216" s="11" t="n">
        <v>8</v>
      </c>
      <c r="B216" s="11" t="inlineStr">
        <is>
          <t>8.19</t>
        </is>
      </c>
      <c r="C216" s="12" t="inlineStr">
        <is>
          <t>Gerald Tan: paper and a pair of documents</t>
        </is>
      </c>
      <c r="D216" s="12" t="inlineStr">
        <is>
          <t>Contracts</t>
        </is>
      </c>
      <c r="E216" s="13" t="inlineStr">
        <is>
          <t>Record Gerald Tan’s contract signed on paper</t>
        </is>
      </c>
      <c r="F216" s="14" t="inlineStr">
        <is>
          <t>1. Open Gerald Tan › "Contracts" › "New Contract" › "Import from File"
2. Type "Signed paper contract" in "Contract title" and upload the PDF
3. Switch on "This copy is already signed"
4. Click "Import"</t>
        </is>
      </c>
      <c r="G216" s="14" t="inlineStr">
        <is>
          <t>"Signed contract imported"; it opens with "Signed …" and "Uploaded PDF" chips and a banner "Marked signed on …"</t>
        </is>
      </c>
      <c r="H216" s="12" t="inlineStr">
        <is>
          <t>Different from 1.0: the upload becomes a contract, not a lead flag</t>
        </is>
      </c>
      <c r="I216" s="11" t="inlineStr">
        <is>
          <t>Dane</t>
        </is>
      </c>
      <c r="J216" s="15" t="n"/>
      <c r="K216" s="15" t="n"/>
      <c r="L216" s="15" t="n"/>
      <c r="M216" s="16" t="n"/>
      <c r="N216" s="17" t="n"/>
      <c r="O216" s="17" t="n"/>
      <c r="P216" s="15" t="n"/>
    </row>
    <row r="217">
      <c r="A217" s="11" t="n">
        <v>8</v>
      </c>
      <c r="B217" s="11" t="inlineStr">
        <is>
          <t>8.20</t>
        </is>
      </c>
      <c r="C217" s="12" t="inlineStr">
        <is>
          <t>Gerald Tan: paper and a pair of documents</t>
        </is>
      </c>
      <c r="D217" s="12" t="inlineStr">
        <is>
          <t>Contracts</t>
        </is>
      </c>
      <c r="E217" s="13" t="inlineStr">
        <is>
          <t>Take back a signing recorded by mistake</t>
        </is>
      </c>
      <c r="F217" s="14" t="inlineStr">
        <is>
          <t>1. Click the status "Signed" › "Draft"
2. Read the question, then click "Move back"</t>
        </is>
      </c>
      <c r="G217" s="14" t="inlineStr">
        <is>
          <t>"Move back to Draft?" says the signed date and copies are cleared; then the status reads "Draft" and the Signed chip is gone</t>
        </is>
      </c>
      <c r="H217" s="12" t="inlineStr">
        <is>
          <t>Different from 1.0: 1.0 never reopened a signed contract</t>
        </is>
      </c>
      <c r="I217" s="11" t="inlineStr">
        <is>
          <t>Dane</t>
        </is>
      </c>
      <c r="J217" s="15" t="n"/>
      <c r="K217" s="15" t="n"/>
      <c r="L217" s="15" t="n"/>
      <c r="M217" s="16" t="n"/>
      <c r="N217" s="17" t="n"/>
      <c r="O217" s="17" t="n"/>
      <c r="P217" s="15" t="n"/>
    </row>
    <row r="218">
      <c r="A218" s="11" t="n">
        <v>8</v>
      </c>
      <c r="B218" s="11" t="inlineStr">
        <is>
          <t>8.21</t>
        </is>
      </c>
      <c r="C218" s="12" t="inlineStr">
        <is>
          <t>Gerald Tan: paper and a pair of documents</t>
        </is>
      </c>
      <c r="D218" s="12" t="inlineStr">
        <is>
          <t>Contracts</t>
        </is>
      </c>
      <c r="E218" s="13" t="inlineStr">
        <is>
          <t>Mark it signed again with today’s date</t>
        </is>
      </c>
      <c r="F218" s="14" t="inlineStr">
        <is>
          <t>1. Click the status "Draft" › "Signed"
2. Keep today in "Signed on" (attaching a copy is optional)
3. Click "Mark as signed"</t>
        </is>
      </c>
      <c r="G218" s="14" t="inlineStr">
        <is>
          <t>"Contract marked Signed"; the banner says it was marked signed today and an Owner or an Admin can move it back</t>
        </is>
      </c>
      <c r="H218" s="12" t="inlineStr">
        <is>
          <t>Same as 1.0</t>
        </is>
      </c>
      <c r="I218" s="11" t="inlineStr">
        <is>
          <t>Dane</t>
        </is>
      </c>
      <c r="J218" s="15" t="n"/>
      <c r="K218" s="15" t="n"/>
      <c r="L218" s="15" t="n"/>
      <c r="M218" s="16" t="n"/>
      <c r="N218" s="17" t="n"/>
      <c r="O218" s="17" t="n"/>
      <c r="P218" s="15" t="n"/>
    </row>
    <row r="219">
      <c r="A219" s="11" t="n">
        <v>8</v>
      </c>
      <c r="B219" s="11" t="inlineStr">
        <is>
          <t>8.22</t>
        </is>
      </c>
      <c r="C219" s="12" t="inlineStr">
        <is>
          <t>Gerald Tan: paper and a pair of documents</t>
        </is>
      </c>
      <c r="D219" s="12" t="inlineStr">
        <is>
          <t>Contracts</t>
        </is>
      </c>
      <c r="E219" s="13" t="inlineStr">
        <is>
          <t>Try sending a variation order with nowhere to sign</t>
        </is>
      </c>
      <c r="F219" s="14" t="inlineStr">
        <is>
          <t>1. Close with ✕, then "New Contract" › "From Template" › "Variations" › "Variation Order" › "Use template"
2. Click "Send"
3. Click "Show me" on the message (or "eSignatures"), then "Insert" beside "Client signature"
4. Close the contract with ✕</t>
        </is>
      </c>
      <c r="G219" s="14" t="inlineStr">
        <is>
          <t>Send refuses: "Before you send: There’s no Client signature field — insert one from eSignatures"; after Insert a Client signature box ends the document</t>
        </is>
      </c>
      <c r="H219" s="12" t="inlineStr">
        <is>
          <t>Different from 1.0: 1.0 only checked for an empty page</t>
        </is>
      </c>
      <c r="I219" s="11" t="inlineStr">
        <is>
          <t>Dane</t>
        </is>
      </c>
      <c r="J219" s="15" t="n"/>
      <c r="K219" s="15" t="n"/>
      <c r="L219" s="15" t="n"/>
      <c r="M219" s="16" t="n"/>
      <c r="N219" s="17" t="n"/>
      <c r="O219" s="17" t="n"/>
      <c r="P219" s="15" t="n"/>
    </row>
    <row r="220">
      <c r="A220" s="11" t="n">
        <v>8</v>
      </c>
      <c r="B220" s="11" t="inlineStr">
        <is>
          <t>8.23</t>
        </is>
      </c>
      <c r="C220" s="12" t="inlineStr">
        <is>
          <t>Gerald Tan: paper and a pair of documents</t>
        </is>
      </c>
      <c r="D220" s="12" t="inlineStr">
        <is>
          <t>Contracts</t>
        </is>
      </c>
      <c r="E220" s="13" t="inlineStr">
        <is>
          <t>Send Gerald two documents under one link</t>
        </is>
      </c>
      <c r="F220" s="14" t="inlineStr">
        <is>
          <t>1. "New Contract" › "From the studio agreement", then close it with ✕
2. Click ⋮ "More options" › "Send together for signature"
3. Click "Copy link"
4. Click "Send via WhatsApp" — a WhatsApp tab opens; close it, do not send</t>
        </is>
      </c>
      <c r="G220" s="14" t="inlineStr">
        <is>
          <t>Both documents are ticked and numbered in reading order; afterwards both rows read "Sent to Client" and "2 documents sent under one link" shows</t>
        </is>
      </c>
      <c r="H220" s="12" t="inlineStr">
        <is>
          <t>Different from 1.0: contracts go together; the quote signs through them</t>
        </is>
      </c>
      <c r="I220" s="11" t="inlineStr">
        <is>
          <t>Dane</t>
        </is>
      </c>
      <c r="J220" s="15" t="n"/>
      <c r="K220" s="15" t="n"/>
      <c r="L220" s="15" t="n"/>
      <c r="M220" s="16" t="n"/>
      <c r="N220" s="17" t="n"/>
      <c r="O220" s="17" t="n"/>
      <c r="P220" s="15" t="n"/>
    </row>
    <row r="221">
      <c r="A221" s="11" t="n">
        <v>8</v>
      </c>
      <c r="B221" s="11" t="inlineStr">
        <is>
          <t>8.24</t>
        </is>
      </c>
      <c r="C221" s="12" t="inlineStr">
        <is>
          <t>Gerald Tan: paper and a pair of documents</t>
        </is>
      </c>
      <c r="D221" s="12" t="inlineStr">
        <is>
          <t>Contracts</t>
        </is>
      </c>
      <c r="E221" s="13" t="inlineStr">
        <is>
          <t>Sign both documents once, as Gerald</t>
        </is>
      </c>
      <c r="F221" s="14" t="inlineStr">
        <is>
          <t>1. Paste the copied link into a new tab
2. Read each document; where asked, scroll to the end and tick, then "Continue" / "Continue to sign"
3. Type 123456, click "Verify"
4. Click "Sign 2 documents"</t>
        </is>
      </c>
      <c r="G221" s="14" t="inlineStr">
        <is>
          <t>One document per screen ("Document 1 of 2", progress bar); the final sentence names both; the card ends "All 2 documents signed by Gerald Tan"</t>
        </is>
      </c>
      <c r="H221" s="12" t="inlineStr">
        <is>
          <t>Same as 1.0</t>
        </is>
      </c>
      <c r="I221" s="18" t="inlineStr">
        <is>
          <t>Gerald Tan (client)</t>
        </is>
      </c>
      <c r="J221" s="15" t="n"/>
      <c r="K221" s="15" t="n"/>
      <c r="L221" s="15" t="n"/>
      <c r="M221" s="16" t="n"/>
      <c r="N221" s="17" t="n"/>
      <c r="O221" s="17" t="n"/>
      <c r="P221" s="15" t="n"/>
    </row>
    <row r="222">
      <c r="A222" s="11" t="n">
        <v>8</v>
      </c>
      <c r="B222" s="11" t="inlineStr">
        <is>
          <t>8.25</t>
        </is>
      </c>
      <c r="C222" s="12" t="inlineStr">
        <is>
          <t>Keeping track</t>
        </is>
      </c>
      <c r="D222" s="12" t="inlineStr">
        <is>
          <t>Contracts</t>
        </is>
      </c>
      <c r="E222" s="13" t="inlineStr">
        <is>
          <t>Find Gerald’s contracts studio-wide and delete one</t>
        </is>
      </c>
      <c r="F222" s="14" t="inlineStr">
        <is>
          <t>1. Side navigation "Tools" › "Contracts"
2. Type Gerald in the search box
3. On "Signed paper contract": ⋮ "More actions" › "Copy Link", then ⋮ › "Delete" › "Yes"</t>
        </is>
      </c>
      <c r="G222" s="14" t="inlineStr">
        <is>
          <t>Only Gerald Tan’s contracts show, with a "Lead" column; "Contract deleted" appears and the row disappears</t>
        </is>
      </c>
      <c r="H222" s="12" t="inlineStr">
        <is>
          <t>New in 2.0</t>
        </is>
      </c>
      <c r="I222" s="11" t="inlineStr">
        <is>
          <t>Dane</t>
        </is>
      </c>
      <c r="J222" s="15" t="n"/>
      <c r="K222" s="15" t="n"/>
      <c r="L222" s="15" t="n"/>
      <c r="M222" s="16" t="n"/>
      <c r="N222" s="17" t="n"/>
      <c r="O222" s="17" t="n"/>
      <c r="P222" s="15" t="n"/>
    </row>
    <row r="223">
      <c r="A223" s="11" t="n">
        <v>8</v>
      </c>
      <c r="B223" s="11" t="inlineStr">
        <is>
          <t>8.26</t>
        </is>
      </c>
      <c r="C223" s="12" t="inlineStr">
        <is>
          <t>Keeping track</t>
        </is>
      </c>
      <c r="D223" s="12" t="inlineStr">
        <is>
          <t>Contracts</t>
        </is>
      </c>
      <c r="E223" s="13" t="inlineStr">
        <is>
          <t>Check the deleted contract’s link is dead, then restore it</t>
        </is>
      </c>
      <c r="F223" s="14" t="inlineStr">
        <is>
          <t>1. Paste the copied link into a new tab
2. Back in Tools › Contracts, click ⋮ "More options" › "Deleted Contracts"
3. Click "Restore" on "Signed paper contract"</t>
        </is>
      </c>
      <c r="G223" s="14" t="inlineStr">
        <is>
          <t>The link reads "This link is no longer active"; the list shows Lead Gerald Tan, Deleted by Dane; Restore puts it back</t>
        </is>
      </c>
      <c r="H223" s="12" t="inlineStr">
        <is>
          <t>Different from 1.0: deleted contracts can be restored</t>
        </is>
      </c>
      <c r="I223" s="11" t="inlineStr">
        <is>
          <t>Dane</t>
        </is>
      </c>
      <c r="J223" s="15" t="n"/>
      <c r="K223" s="15" t="n"/>
      <c r="L223" s="15" t="n"/>
      <c r="M223" s="16" t="n"/>
      <c r="N223" s="17" t="n"/>
      <c r="O223" s="17" t="n"/>
      <c r="P223" s="15" t="n"/>
    </row>
    <row r="224" ht="22" customHeight="1">
      <c r="A224" s="9" t="inlineStr">
        <is>
          <t>Chapter 9 · Win, park or lose — Won, On Hold, Lost, Resume, Return, Delete.</t>
        </is>
      </c>
      <c r="M224" s="10" t="n"/>
    </row>
    <row r="225">
      <c r="A225" s="11" t="n">
        <v>9</v>
      </c>
      <c r="B225" s="11" t="inlineStr">
        <is>
          <t>9.01</t>
        </is>
      </c>
      <c r="C225" s="12" t="inlineStr">
        <is>
          <t>Win Sophia</t>
        </is>
      </c>
      <c r="D225" s="12" t="inlineStr">
        <is>
          <t>Lead details</t>
        </is>
      </c>
      <c r="E225" s="13" t="inlineStr">
        <is>
          <t>Check Sophia is ready to be won</t>
        </is>
      </c>
      <c r="F225" s="14" t="inlineStr">
        <is>
          <t>1. Open Sophia Wong
2. Read the stage button and the "LEAD STAGES" card
3. Open the "Quotes" tab, then the "Contracts" tab</t>
        </is>
      </c>
      <c r="G225" s="14" t="inlineStr">
        <is>
          <t>"Stage: Quote Sent" with New, Contacted and Met ticked; her quote and her contract both read Signed (chapters 6 and 8).</t>
        </is>
      </c>
      <c r="H225" s="12" t="inlineStr">
        <is>
          <t>Different from 1.0: signing doesn't move the lead by itself</t>
        </is>
      </c>
      <c r="I225" s="11" t="inlineStr">
        <is>
          <t>Dane</t>
        </is>
      </c>
      <c r="J225" s="15" t="n"/>
      <c r="K225" s="15" t="n"/>
      <c r="L225" s="15" t="n"/>
      <c r="M225" s="16" t="n"/>
      <c r="N225" s="17" t="n"/>
      <c r="O225" s="17" t="n"/>
      <c r="P225" s="15" t="n"/>
    </row>
    <row r="226">
      <c r="A226" s="11" t="n">
        <v>9</v>
      </c>
      <c r="B226" s="11" t="inlineStr">
        <is>
          <t>9.02</t>
        </is>
      </c>
      <c r="C226" s="12" t="inlineStr">
        <is>
          <t>Win Sophia</t>
        </is>
      </c>
      <c r="D226" s="12" t="inlineStr">
        <is>
          <t>Lead details</t>
        </is>
      </c>
      <c r="E226" s="13" t="inlineStr">
        <is>
          <t>Open the Won step from Convert to Project</t>
        </is>
      </c>
      <c r="F226" s="14" t="inlineStr">
        <is>
          <t>1. Point at, then press, "Convert to Project"
2. Read "Attach client signed quote" and "Attach client signed contract"</t>
        </is>
      </c>
      <c r="G226" s="14" t="inlineStr">
        <is>
          <t>"Moving to Won" opens with her signed quote (OM-… · Signed on …) and her signed contract already picked under "From System".</t>
        </is>
      </c>
      <c r="H226" s="12" t="inlineStr">
        <is>
          <t>Different from 1.0: the Won step checks quote, contract and split</t>
        </is>
      </c>
      <c r="I226" s="11" t="inlineStr">
        <is>
          <t>Dane</t>
        </is>
      </c>
      <c r="J226" s="15" t="n"/>
      <c r="K226" s="15" t="n"/>
      <c r="L226" s="15" t="n"/>
      <c r="M226" s="16" t="n"/>
      <c r="N226" s="17" t="n"/>
      <c r="O226" s="17" t="n"/>
      <c r="P226" s="15" t="n"/>
    </row>
    <row r="227">
      <c r="A227" s="11" t="n">
        <v>9</v>
      </c>
      <c r="B227" s="11" t="inlineStr">
        <is>
          <t>9.03</t>
        </is>
      </c>
      <c r="C227" s="12" t="inlineStr">
        <is>
          <t>Win Sophia</t>
        </is>
      </c>
      <c r="D227" s="12" t="inlineStr">
        <is>
          <t>Lead details</t>
        </is>
      </c>
      <c r="E227" s="13" t="inlineStr">
        <is>
          <t>Check the payment split must add up to 100%</t>
        </is>
      </c>
      <c r="F227" s="14" t="inlineStr">
        <is>
          <t>1. Under "Payment milestone" read the four rows
2. Change Deposit from 10 to 20
3. Press "Save &amp; Convert to Project"
4. Press "Reset to default"</t>
        </is>
      </c>
      <c r="G227" s="14" t="inlineStr">
        <is>
          <t>The split is 10/30/30/30% of her quote total; at 20 the tag reads 110% and "Milestones must add up to 100%"; Reset restores 100%.</t>
        </is>
      </c>
      <c r="H227" s="12" t="inlineStr">
        <is>
          <t>New in 2.0</t>
        </is>
      </c>
      <c r="I227" s="11" t="inlineStr">
        <is>
          <t>Dane</t>
        </is>
      </c>
      <c r="J227" s="15" t="n"/>
      <c r="K227" s="15" t="n"/>
      <c r="L227" s="15" t="n"/>
      <c r="M227" s="16" t="n"/>
      <c r="N227" s="17" t="n"/>
      <c r="O227" s="17" t="n"/>
      <c r="P227" s="15" t="n"/>
    </row>
    <row r="228">
      <c r="A228" s="11" t="n">
        <v>9</v>
      </c>
      <c r="B228" s="11" t="inlineStr">
        <is>
          <t>9.04</t>
        </is>
      </c>
      <c r="C228" s="12" t="inlineStr">
        <is>
          <t>Win Sophia</t>
        </is>
      </c>
      <c r="D228" s="12" t="inlineStr">
        <is>
          <t>Lead details</t>
        </is>
      </c>
      <c r="E228" s="13" t="inlineStr">
        <is>
          <t>Win Sophia and convert her to a project</t>
        </is>
      </c>
      <c r="F228" s="14" t="inlineStr">
        <is>
          <t>1. Leave "Project type" on Whole-home renovation
2. Press "Save &amp; Convert to Project"
3. Press "Convert to Project" again</t>
        </is>
      </c>
      <c r="G228" s="14" t="inlineStr">
        <is>
          <t>"Project created for Sophia Wong · OM-…"; "Stage: Won" with every stage ticked; the second press says "Coming soon in OpenMaison 2.0".</t>
        </is>
      </c>
      <c r="H228" s="12" t="inlineStr">
        <is>
          <t>Different from 1.0: no draft project is created yet</t>
        </is>
      </c>
      <c r="I228" s="11" t="inlineStr">
        <is>
          <t>Dane</t>
        </is>
      </c>
      <c r="J228" s="15" t="n"/>
      <c r="K228" s="15" t="n"/>
      <c r="L228" s="15" t="n"/>
      <c r="M228" s="16" t="n"/>
      <c r="N228" s="17" t="n"/>
      <c r="O228" s="17" t="n"/>
      <c r="P228" s="15" t="n"/>
    </row>
    <row r="229">
      <c r="A229" s="11" t="n">
        <v>9</v>
      </c>
      <c r="B229" s="11" t="inlineStr">
        <is>
          <t>9.05</t>
        </is>
      </c>
      <c r="C229" s="12" t="inlineStr">
        <is>
          <t>Park and resume</t>
        </is>
      </c>
      <c r="D229" s="12" t="inlineStr">
        <is>
          <t>Leads</t>
        </is>
      </c>
      <c r="E229" s="13" t="inlineStr">
        <is>
          <t>Put a lead on hold until a date you choose</t>
        </is>
      </c>
      <c r="F229" s="14" t="inlineStr">
        <is>
          <t>1. On Leads, click Priya Nair's Stage cell, then "On Hold"
2. "Reason": Client not ready; under "Duration" choose "Custom"
3. "Follow up on": a date about two months away
4. Press "Save &amp; Move"</t>
        </is>
      </c>
      <c r="G229" s="14" t="inlineStr">
        <is>
          <t>The helper reads "Next follow up date will be" your date; "Moved to On Hold" (with Undo); her row adds "On hold till:" that date.</t>
        </is>
      </c>
      <c r="H229" s="12" t="inlineStr">
        <is>
          <t>Different from 1.0: reason plus date; a reminder comes that day</t>
        </is>
      </c>
      <c r="I229" s="11" t="inlineStr">
        <is>
          <t>Dane</t>
        </is>
      </c>
      <c r="J229" s="15" t="n"/>
      <c r="K229" s="15" t="n"/>
      <c r="L229" s="15" t="n"/>
      <c r="M229" s="16" t="n"/>
      <c r="N229" s="17" t="n"/>
      <c r="O229" s="17" t="n"/>
      <c r="P229" s="15" t="n"/>
    </row>
    <row r="230">
      <c r="A230" s="11" t="n">
        <v>9</v>
      </c>
      <c r="B230" s="11" t="inlineStr">
        <is>
          <t>9.06</t>
        </is>
      </c>
      <c r="C230" s="12" t="inlineStr">
        <is>
          <t>Park and resume</t>
        </is>
      </c>
      <c r="D230" s="12" t="inlineStr">
        <is>
          <t>Lead details</t>
        </is>
      </c>
      <c r="E230" s="13" t="inlineStr">
        <is>
          <t>Resume a lead that was on hold</t>
        </is>
      </c>
      <c r="F230" s="14" t="inlineStr">
        <is>
          <t>1. Open Mei Ling Tan
2. Read her "On Hold" row in "LEAD STAGES"
3. Click "Stage: On Hold", then "Contacted"
4. Press "Resume"</t>
        </is>
      </c>
      <c r="G230" s="14" t="inlineStr">
        <is>
          <t>Her row shows the till-date and "Property delay"; "Resume at Contacted?" asks first; then "Moved to Contacted".</t>
        </is>
      </c>
      <c r="H230" s="12" t="inlineStr">
        <is>
          <t>Different from 1.0: resume at any stage, after a confirm</t>
        </is>
      </c>
      <c r="I230" s="11" t="inlineStr">
        <is>
          <t>Dane</t>
        </is>
      </c>
      <c r="J230" s="15" t="n"/>
      <c r="K230" s="15" t="n"/>
      <c r="L230" s="15" t="n"/>
      <c r="M230" s="16" t="n"/>
      <c r="N230" s="17" t="n"/>
      <c r="O230" s="17" t="n"/>
      <c r="P230" s="15" t="n"/>
    </row>
    <row r="231">
      <c r="A231" s="11" t="n">
        <v>9</v>
      </c>
      <c r="B231" s="11" t="inlineStr">
        <is>
          <t>9.07</t>
        </is>
      </c>
      <c r="C231" s="12" t="inlineStr">
        <is>
          <t>When a lead goes cold</t>
        </is>
      </c>
      <c r="D231" s="12" t="inlineStr">
        <is>
          <t>Lead details</t>
        </is>
      </c>
      <c r="E231" s="13" t="inlineStr">
        <is>
          <t>See the hint before marking a lead lost</t>
        </is>
      </c>
      <c r="F231" s="14" t="inlineStr">
        <is>
          <t>1. Open Jonathan Teo
2. Click "Stage: Contacted", then "Lost"
3. Set "Reason" to Unresponsive</t>
        </is>
      </c>
      <c r="G231" s="14" t="inlineStr">
        <is>
          <t>A hint under Reason counts his logged contacts, like "1 of 3 contacts logged — this reason usually follows 3"; it never blocks saving.</t>
        </is>
      </c>
      <c r="H231" s="12" t="inlineStr">
        <is>
          <t>Different from 1.0: a hint only, never a block</t>
        </is>
      </c>
      <c r="I231" s="11" t="inlineStr">
        <is>
          <t>Dane</t>
        </is>
      </c>
      <c r="J231" s="15" t="n"/>
      <c r="K231" s="15" t="n"/>
      <c r="L231" s="15" t="n"/>
      <c r="M231" s="16" t="n"/>
      <c r="N231" s="17" t="n"/>
      <c r="O231" s="17" t="n"/>
      <c r="P231" s="15" t="n"/>
    </row>
    <row r="232">
      <c r="A232" s="11" t="n">
        <v>9</v>
      </c>
      <c r="B232" s="11" t="inlineStr">
        <is>
          <t>9.08</t>
        </is>
      </c>
      <c r="C232" s="12" t="inlineStr">
        <is>
          <t>When a lead goes cold</t>
        </is>
      </c>
      <c r="D232" s="12" t="inlineStr">
        <is>
          <t>Lead details</t>
        </is>
      </c>
      <c r="E232" s="13" t="inlineStr">
        <is>
          <t>Mark him lost as postponed, with a restart date</t>
        </is>
      </c>
      <c r="F232" s="14" t="inlineStr">
        <is>
          <t>1. Change "Reason" to Project postponed
2. "Expected restart (optional)": a date about three months away
3. Press "Save &amp; Move"</t>
        </is>
      </c>
      <c r="G232" s="14" t="inlineStr">
        <is>
          <t>"Under 6 months away — consider On Hold instead." appears; then "Moved to Lost" with an "Undo" button.</t>
        </is>
      </c>
      <c r="H232" s="12" t="inlineStr">
        <is>
          <t>Same as 1.0</t>
        </is>
      </c>
      <c r="I232" s="11" t="inlineStr">
        <is>
          <t>Dane</t>
        </is>
      </c>
      <c r="J232" s="15" t="n"/>
      <c r="K232" s="15" t="n"/>
      <c r="L232" s="15" t="n"/>
      <c r="M232" s="16" t="n"/>
      <c r="N232" s="17" t="n"/>
      <c r="O232" s="17" t="n"/>
      <c r="P232" s="15" t="n"/>
    </row>
    <row r="233">
      <c r="A233" s="11" t="n">
        <v>9</v>
      </c>
      <c r="B233" s="11" t="inlineStr">
        <is>
          <t>9.09</t>
        </is>
      </c>
      <c r="C233" s="12" t="inlineStr">
        <is>
          <t>When a lead goes cold</t>
        </is>
      </c>
      <c r="D233" s="12" t="inlineStr">
        <is>
          <t>Lead details</t>
        </is>
      </c>
      <c r="E233" s="13" t="inlineStr">
        <is>
          <t>Take the Lost move back</t>
        </is>
      </c>
      <c r="F233" s="14" t="inlineStr">
        <is>
          <t>1. Press "Undo" in the message straight away
2. Read the stage button and the "LEAD STAGES" card</t>
        </is>
      </c>
      <c r="G233" s="14" t="inlineStr">
        <is>
          <t>Jonathan is back at "Stage: Contacted" and the card has no Lost row.</t>
        </is>
      </c>
      <c r="H233" s="12" t="inlineStr">
        <is>
          <t>Same as 1.0</t>
        </is>
      </c>
      <c r="I233" s="11" t="inlineStr">
        <is>
          <t>Dane</t>
        </is>
      </c>
      <c r="J233" s="15" t="n"/>
      <c r="K233" s="15" t="n"/>
      <c r="L233" s="15" t="n"/>
      <c r="M233" s="16" t="n"/>
      <c r="N233" s="17" t="n"/>
      <c r="O233" s="17" t="n"/>
      <c r="P233" s="15" t="n"/>
    </row>
    <row r="234">
      <c r="A234" s="11" t="n">
        <v>9</v>
      </c>
      <c r="B234" s="11" t="inlineStr">
        <is>
          <t>9.10</t>
        </is>
      </c>
      <c r="C234" s="12" t="inlineStr">
        <is>
          <t>Send Qanvast leads back</t>
        </is>
      </c>
      <c r="D234" s="12" t="inlineStr">
        <is>
          <t>Leads</t>
        </is>
      </c>
      <c r="E234" s="13" t="inlineStr">
        <is>
          <t>Return a Qanvast lead, then undo it</t>
        </is>
      </c>
      <c r="F234" s="14" t="inlineStr">
        <is>
          <t>1. On Leads, open ⋮ on Gavin See's row, then "Return Lead"
2. Read the info line and point at "Rules"; "Select a reason": Lead not contactable, a first-outreach date, attempts 3
3. Press "Next", then "Confirm"
4. Press "Undo" in the message</t>
        </is>
      </c>
      <c r="G234" s="14" t="inlineStr">
        <is>
          <t>The line shows his return window and "0 of 2 returns used"; "Lead returned successfully"; after Undo he is back in Contacted.</t>
        </is>
      </c>
      <c r="H234" s="12" t="inlineStr">
        <is>
          <t>Different from 1.0: any stage; the wizard parks it Lost</t>
        </is>
      </c>
      <c r="I234" s="11" t="inlineStr">
        <is>
          <t>Dane</t>
        </is>
      </c>
      <c r="J234" s="15" t="n"/>
      <c r="K234" s="15" t="n"/>
      <c r="L234" s="15" t="n"/>
      <c r="M234" s="16" t="n"/>
      <c r="N234" s="17" t="n"/>
      <c r="O234" s="17" t="n"/>
      <c r="P234" s="15" t="n"/>
    </row>
    <row r="235">
      <c r="A235" s="11" t="n">
        <v>9</v>
      </c>
      <c r="B235" s="11" t="inlineStr">
        <is>
          <t>9.11</t>
        </is>
      </c>
      <c r="C235" s="12" t="inlineStr">
        <is>
          <t>Send Qanvast leads back</t>
        </is>
      </c>
      <c r="D235" s="12" t="inlineStr">
        <is>
          <t>Lead details</t>
        </is>
      </c>
      <c r="E235" s="13" t="inlineStr">
        <is>
          <t>Return another Qanvast lead for good</t>
        </is>
      </c>
      <c r="F235" s="14" t="inlineStr">
        <is>
          <t>1. Open Jasmine Lee, then ⋮ ("More options") › "Return Lead"
2. "Lead refused to meet up"; tick "Changed mind about renovation"; add the date and attempts
3. Press "Next", read "Term of service", press "Confirm"</t>
        </is>
      </c>
      <c r="G235" s="14" t="inlineStr">
        <is>
          <t>"Lead returned successfully"; her header shows RETURN PROCESSING, the stage is Lost, a "LEAD RETURNED" card appears and a "Respond to Qanvast team" task.</t>
        </is>
      </c>
      <c r="H235" s="12" t="inlineStr">
        <is>
          <t>Same as 1.0</t>
        </is>
      </c>
      <c r="I235" s="11" t="inlineStr">
        <is>
          <t>Dane</t>
        </is>
      </c>
      <c r="J235" s="15" t="n"/>
      <c r="K235" s="15" t="n"/>
      <c r="L235" s="15" t="n"/>
      <c r="M235" s="16" t="n"/>
      <c r="N235" s="17" t="n"/>
      <c r="O235" s="17" t="n"/>
      <c r="P235" s="15" t="n"/>
    </row>
    <row r="236">
      <c r="A236" s="11" t="n">
        <v>9</v>
      </c>
      <c r="B236" s="11" t="inlineStr">
        <is>
          <t>9.12</t>
        </is>
      </c>
      <c r="C236" s="12" t="inlineStr">
        <is>
          <t>Send Qanvast leads back</t>
        </is>
      </c>
      <c r="D236" s="12" t="inlineStr">
        <is>
          <t>Leads</t>
        </is>
      </c>
      <c r="E236" s="13" t="inlineStr">
        <is>
          <t>Track returns in Qanvast Ops and export them</t>
        </is>
      </c>
      <c r="F236" s="14" t="inlineStr">
        <is>
          <t>1. Click "Qanvast Ops" in the side navigation
2. Click "All Leads (…)", then "Return Processing"
3. Open ⋮ ("More options") › "Export all as…", press "Export"</t>
        </is>
      </c>
      <c r="G236" s="14" t="inlineStr">
        <is>
          <t>Jasmine Lee is listed RETURN PROCESSING with her Return window; a file downloads.</t>
        </is>
      </c>
      <c r="H236" s="12" t="inlineStr">
        <is>
          <t>Different from 1.0: the return window is shown, not enforced</t>
        </is>
      </c>
      <c r="I236" s="11" t="inlineStr">
        <is>
          <t>Dane</t>
        </is>
      </c>
      <c r="J236" s="15" t="n"/>
      <c r="K236" s="15" t="n"/>
      <c r="L236" s="15" t="n"/>
      <c r="M236" s="16" t="n"/>
      <c r="N236" s="17" t="n"/>
      <c r="O236" s="17" t="n"/>
      <c r="P236" s="15" t="n"/>
    </row>
    <row r="237">
      <c r="A237" s="11" t="n">
        <v>9</v>
      </c>
      <c r="B237" s="11" t="inlineStr">
        <is>
          <t>9.13</t>
        </is>
      </c>
      <c r="C237" s="12" t="inlineStr">
        <is>
          <t>Portal and tidy-up</t>
        </is>
      </c>
      <c r="D237" s="12" t="inlineStr">
        <is>
          <t>Lead details</t>
        </is>
      </c>
      <c r="E237" s="13" t="inlineStr">
        <is>
          <t>Invite a client to the homeowner portal</t>
        </is>
      </c>
      <c r="F237" s="14" t="inlineStr">
        <is>
          <t>1. Open Gerald Tan, then ⋮ ("More options") › "Invite to Portal"
2. Check the name and phone, press "Send via WhatsApp"
3. A WhatsApp tab opens — close it, do not send</t>
        </is>
      </c>
      <c r="G237" s="14" t="inlineStr">
        <is>
          <t>"WhatsApp opened with the invite"; the left column's "Portal" row reads "Invited" with today's date.</t>
        </is>
      </c>
      <c r="H237" s="12" t="inlineStr">
        <is>
          <t>Different from 1.0: sent by WhatsApp; the invite is recorded</t>
        </is>
      </c>
      <c r="I237" s="11" t="inlineStr">
        <is>
          <t>Dane</t>
        </is>
      </c>
      <c r="J237" s="15" t="n"/>
      <c r="K237" s="15" t="n"/>
      <c r="L237" s="15" t="n"/>
      <c r="M237" s="16" t="n"/>
      <c r="N237" s="17" t="n"/>
      <c r="O237" s="17" t="n"/>
      <c r="P237" s="15" t="n"/>
    </row>
    <row r="238">
      <c r="A238" s="11" t="n">
        <v>9</v>
      </c>
      <c r="B238" s="11" t="inlineStr">
        <is>
          <t>9.14</t>
        </is>
      </c>
      <c r="C238" s="12" t="inlineStr">
        <is>
          <t>Portal and tidy-up</t>
        </is>
      </c>
      <c r="D238" s="12" t="inlineStr">
        <is>
          <t>Leads</t>
        </is>
      </c>
      <c r="E238" s="13" t="inlineStr">
        <is>
          <t>Delete a lead you don't need</t>
        </is>
      </c>
      <c r="F238" s="14" t="inlineStr">
        <is>
          <t>1. On Leads, open ⋮ on Cheryl Lim's row, then "Delete"
2. "Reason": Duplicate
3. Press "Delete"</t>
        </is>
      </c>
      <c r="G238" s="14" t="inlineStr">
        <is>
          <t>"Delete this lead?" says she is deleted for good in 30 days; "Lead deleted" (with Undo) and she leaves the list.</t>
        </is>
      </c>
      <c r="H238" s="12" t="inlineStr">
        <is>
          <t>Different from 1.0: Delete with a reason replaces Archive</t>
        </is>
      </c>
      <c r="I238" s="11" t="inlineStr">
        <is>
          <t>Dane</t>
        </is>
      </c>
      <c r="J238" s="15" t="n"/>
      <c r="K238" s="15" t="n"/>
      <c r="L238" s="15" t="n"/>
      <c r="M238" s="16" t="n"/>
      <c r="N238" s="17" t="n"/>
      <c r="O238" s="17" t="n"/>
      <c r="P238" s="15" t="n"/>
    </row>
    <row r="239">
      <c r="A239" s="11" t="n">
        <v>9</v>
      </c>
      <c r="B239" s="11" t="inlineStr">
        <is>
          <t>9.15</t>
        </is>
      </c>
      <c r="C239" s="12" t="inlineStr">
        <is>
          <t>Portal and tidy-up</t>
        </is>
      </c>
      <c r="D239" s="12" t="inlineStr">
        <is>
          <t>Leads</t>
        </is>
      </c>
      <c r="E239" s="13" t="inlineStr">
        <is>
          <t>Bring the deleted lead back</t>
        </is>
      </c>
      <c r="F239" s="14" t="inlineStr">
        <is>
          <t>1. Click ⋮ ("More options"), then "Deleted Leads"
2. On Cheryl Lim's row press "Restore"
3. Close the sheet</t>
        </is>
      </c>
      <c r="G239" s="14" t="inlineStr">
        <is>
          <t>"Lead restored"; Cheryl Lim is back in the list at Contacted.</t>
        </is>
      </c>
      <c r="H239" s="12" t="inlineStr">
        <is>
          <t>Different from 1.0: Deleted Leads replaces Archived Leads</t>
        </is>
      </c>
      <c r="I239" s="11" t="inlineStr">
        <is>
          <t>Dane</t>
        </is>
      </c>
      <c r="J239" s="15" t="n"/>
      <c r="K239" s="15" t="n"/>
      <c r="L239" s="15" t="n"/>
      <c r="M239" s="16" t="n"/>
      <c r="N239" s="17" t="n"/>
      <c r="O239" s="17" t="n"/>
      <c r="P239" s="15" t="n"/>
    </row>
    <row r="240" ht="22" customHeight="1">
      <c r="A240" s="9" t="inlineStr">
        <is>
          <t>Chapter 10 · A designer’s day — View as Sarah, James and Hui Min — what each role sees and may do.</t>
        </is>
      </c>
      <c r="M240" s="10" t="n"/>
    </row>
    <row r="241">
      <c r="A241" s="11" t="n">
        <v>10</v>
      </c>
      <c r="B241" s="11" t="inlineStr">
        <is>
          <t>10.01</t>
        </is>
      </c>
      <c r="C241" s="12" t="inlineStr">
        <is>
          <t>Set the team rule</t>
        </is>
      </c>
      <c r="D241" s="12" t="inlineStr">
        <is>
          <t>Settings</t>
        </is>
      </c>
      <c r="E241" s="13" t="inlineStr">
        <is>
          <t>Let each person see only the leads they work on</t>
        </is>
      </c>
      <c r="F241" s="14" t="inlineStr">
        <is>
          <t>1. Side navigation "Settings" › "Lead management"
2. Under "Who sees leads", pick "Only the leads assigned to them"
3. Open the "Studio" tab and find "Who may do what"</t>
        </is>
      </c>
      <c r="G241" s="14" t="inlineStr">
        <is>
          <t>The choice stays picked; in "Who may do what", "See leads" reads "Their team’s" for Manager and "Their own" for Designer</t>
        </is>
      </c>
      <c r="H241" s="12" t="inlineStr">
        <is>
          <t>Different from 1.0: a studio rule, checked everywhere</t>
        </is>
      </c>
      <c r="I241" s="11" t="inlineStr">
        <is>
          <t>Dane</t>
        </is>
      </c>
      <c r="J241" s="15" t="n"/>
      <c r="K241" s="15" t="n"/>
      <c r="L241" s="15" t="n"/>
      <c r="M241" s="16" t="n"/>
      <c r="N241" s="17" t="n"/>
      <c r="O241" s="17" t="n"/>
      <c r="P241" s="15" t="n"/>
    </row>
    <row r="242">
      <c r="A242" s="11" t="n">
        <v>10</v>
      </c>
      <c r="B242" s="11" t="inlineStr">
        <is>
          <t>10.02</t>
        </is>
      </c>
      <c r="C242" s="12" t="inlineStr">
        <is>
          <t>A day as Sarah, designer</t>
        </is>
      </c>
      <c r="D242" s="12" t="inlineStr">
        <is>
          <t>Shell</t>
        </is>
      </c>
      <c r="E242" s="13" t="inlineStr">
        <is>
          <t>Switch to Sarah, a designer on James’s team</t>
        </is>
      </c>
      <c r="F242" s="14" t="inlineStr">
        <is>
          <t>1. Click the "Demo Studio" block at the bottom of the side navigation
2. In the "View as" menu, click "Sarah"</t>
        </is>
      </c>
      <c r="G242" s="14" t="inlineStr">
        <is>
          <t>The menu is tagged "Demo only" and lists the team with roles ("Designer · reports to James"); the block then reads "Viewing as Sarah"</t>
        </is>
      </c>
      <c r="H242" s="12" t="inlineStr">
        <is>
          <t>New in 2.0</t>
        </is>
      </c>
      <c r="I242" s="18" t="inlineStr">
        <is>
          <t>Sarah</t>
        </is>
      </c>
      <c r="J242" s="15" t="n"/>
      <c r="K242" s="15" t="n"/>
      <c r="L242" s="15" t="n"/>
      <c r="M242" s="16" t="n"/>
      <c r="N242" s="17" t="n"/>
      <c r="O242" s="17" t="n"/>
      <c r="P242" s="15" t="n"/>
    </row>
    <row r="243">
      <c r="A243" s="11" t="n">
        <v>10</v>
      </c>
      <c r="B243" s="11" t="inlineStr">
        <is>
          <t>10.03</t>
        </is>
      </c>
      <c r="C243" s="12" t="inlineStr">
        <is>
          <t>A day as Sarah, designer</t>
        </is>
      </c>
      <c r="D243" s="12" t="inlineStr">
        <is>
          <t>Leads</t>
        </is>
      </c>
      <c r="E243" s="13" t="inlineStr">
        <is>
          <t>Check Sarah sees only her own leads</t>
        </is>
      </c>
      <c r="F243" s="14" t="inlineStr">
        <is>
          <t>1. Open "Leads"
2. Read the list and the count on the "All Leads" pill</t>
        </is>
      </c>
      <c r="G243" s="14" t="inlineStr">
        <is>
          <t>Only her leads, e.g. Farah Ahmad, Grace Lim, Harpreet Kaur, Kenji Sato (and Sophia Wong if hers); no Gerald Tan or Serena Koh</t>
        </is>
      </c>
      <c r="H243" s="12" t="inlineStr">
        <is>
          <t>Different from 1.0: 1.0 hid other leads only on screen</t>
        </is>
      </c>
      <c r="I243" s="18" t="inlineStr">
        <is>
          <t>Sarah</t>
        </is>
      </c>
      <c r="J243" s="15" t="n"/>
      <c r="K243" s="15" t="n"/>
      <c r="L243" s="15" t="n"/>
      <c r="M243" s="16" t="n"/>
      <c r="N243" s="17" t="n"/>
      <c r="O243" s="17" t="n"/>
      <c r="P243" s="15" t="n"/>
    </row>
    <row r="244">
      <c r="A244" s="11" t="n">
        <v>10</v>
      </c>
      <c r="B244" s="11" t="inlineStr">
        <is>
          <t>10.04</t>
        </is>
      </c>
      <c r="C244" s="12" t="inlineStr">
        <is>
          <t>A day as Sarah, designer</t>
        </is>
      </c>
      <c r="D244" s="12" t="inlineStr">
        <is>
          <t>Leads</t>
        </is>
      </c>
      <c r="E244" s="13" t="inlineStr">
        <is>
          <t>Try to hand one of her leads to someone else</t>
        </is>
      </c>
      <c r="F244" s="14" t="inlineStr">
        <is>
          <t>1. On Harpreet Kaur’s row, click the person-plus icon ("Assign members") in "Members"
2. Try to tick another member</t>
        </is>
      </c>
      <c r="G244" s="14" t="inlineStr">
        <is>
          <t>"Assign Member" opens but nothing can be ticked; it says "Designers keep the leads assigned to them. Ask your manager to reassign."</t>
        </is>
      </c>
      <c r="H244" s="12" t="inlineStr">
        <is>
          <t>Different from 1.0: designers could reassign in 1.0</t>
        </is>
      </c>
      <c r="I244" s="18" t="inlineStr">
        <is>
          <t>Sarah</t>
        </is>
      </c>
      <c r="J244" s="15" t="n"/>
      <c r="K244" s="15" t="n"/>
      <c r="L244" s="15" t="n"/>
      <c r="M244" s="16" t="n"/>
      <c r="N244" s="17" t="n"/>
      <c r="O244" s="17" t="n"/>
      <c r="P244" s="15" t="n"/>
    </row>
    <row r="245">
      <c r="A245" s="11" t="n">
        <v>10</v>
      </c>
      <c r="B245" s="11" t="inlineStr">
        <is>
          <t>10.05</t>
        </is>
      </c>
      <c r="C245" s="12" t="inlineStr">
        <is>
          <t>A day as Sarah, designer</t>
        </is>
      </c>
      <c r="D245" s="12" t="inlineStr">
        <is>
          <t>Price book</t>
        </is>
      </c>
      <c r="E245" s="13" t="inlineStr">
        <is>
          <t>Propose a new item for the price book</t>
        </is>
      </c>
      <c r="F245" s="14" t="inlineStr">
        <is>
          <t>1. Side navigation "Company" › "Price book" › "New" › "Propose an item"
2. "Item name": Rattan wardrobe door · "Unit": Pieces · "Cost (S$)": 180 · "Markup (S$)": 70 · "Category": Carpentry
3. Click "Propose"</t>
        </is>
      </c>
      <c r="G245" s="14" t="inlineStr">
        <is>
          <t>"Rattan wardrobe door proposed — it’s on your quotes now; an Owner or an Admin approves it for the studio"; the item wears a "Proposed" chip</t>
        </is>
      </c>
      <c r="H245" s="12" t="inlineStr">
        <is>
          <t>Different from 1.0: 1.0’s pending items were live for everyone</t>
        </is>
      </c>
      <c r="I245" s="18" t="inlineStr">
        <is>
          <t>Sarah</t>
        </is>
      </c>
      <c r="J245" s="15" t="n"/>
      <c r="K245" s="15" t="n"/>
      <c r="L245" s="15" t="n"/>
      <c r="M245" s="16" t="n"/>
      <c r="N245" s="17" t="n"/>
      <c r="O245" s="17" t="n"/>
      <c r="P245" s="15" t="n"/>
    </row>
    <row r="246">
      <c r="A246" s="11" t="n">
        <v>10</v>
      </c>
      <c r="B246" s="11" t="inlineStr">
        <is>
          <t>10.06</t>
        </is>
      </c>
      <c r="C246" s="12" t="inlineStr">
        <is>
          <t>A day as Sarah, designer</t>
        </is>
      </c>
      <c r="D246" s="12" t="inlineStr">
        <is>
          <t>Templates</t>
        </is>
      </c>
      <c r="E246" s="13" t="inlineStr">
        <is>
          <t>Design a quote template and submit it for approval</t>
        </is>
      </c>
      <c r="F246" s="14" t="inlineStr">
        <is>
          <t>1. "Company" › "Templates" › "Quotes" › "New" › "Use a ready-made design"
2. Pick "Scope", type Sarah Scope in "Template name", click "Create template"
3. Click "Submit for approval", write a note in "What changed", click "Submit"</t>
        </is>
      </c>
      <c r="G246" s="14" t="inlineStr">
        <is>
          <t>"Submitted for approval"; a bar says Sarah submitted it and "Awaiting an Owner or Admin", and the design is locked</t>
        </is>
      </c>
      <c r="H246" s="12" t="inlineStr">
        <is>
          <t>Different from 1.0: any role could change templates</t>
        </is>
      </c>
      <c r="I246" s="18" t="inlineStr">
        <is>
          <t>Sarah</t>
        </is>
      </c>
      <c r="J246" s="15" t="n"/>
      <c r="K246" s="15" t="n"/>
      <c r="L246" s="15" t="n"/>
      <c r="M246" s="16" t="n"/>
      <c r="N246" s="17" t="n"/>
      <c r="O246" s="17" t="n"/>
      <c r="P246" s="15" t="n"/>
    </row>
    <row r="247">
      <c r="A247" s="11" t="n">
        <v>10</v>
      </c>
      <c r="B247" s="11" t="inlineStr">
        <is>
          <t>10.07</t>
        </is>
      </c>
      <c r="C247" s="12" t="inlineStr">
        <is>
          <t>A day as Sarah, designer</t>
        </is>
      </c>
      <c r="D247" s="12" t="inlineStr">
        <is>
          <t>Quotes</t>
        </is>
      </c>
      <c r="E247" s="13" t="inlineStr">
        <is>
          <t>Revise Harpreet Kaur’s quote and send it for approval</t>
        </is>
      </c>
      <c r="F247" s="14" t="inlineStr">
        <is>
          <t>1. Open Harpreet Kaur › "Quotes" and open her quote
2. Click ⋮ "More options" › "Revise — new version", then "Start version …"
3. Click "Send"</t>
        </is>
      </c>
      <c r="G247" s="14" t="inlineStr">
        <is>
          <t>The status becomes "Sent for Approval"; a bar says Sarah sent it for approval, "Waiting for an Owner, an Admin or the backup approver"</t>
        </is>
      </c>
      <c r="H247" s="12" t="inlineStr">
        <is>
          <t>Same as 1.0</t>
        </is>
      </c>
      <c r="I247" s="18" t="inlineStr">
        <is>
          <t>Sarah</t>
        </is>
      </c>
      <c r="J247" s="15" t="n"/>
      <c r="K247" s="15" t="n"/>
      <c r="L247" s="15" t="n"/>
      <c r="M247" s="16" t="n"/>
      <c r="N247" s="17" t="n"/>
      <c r="O247" s="17" t="n"/>
      <c r="P247" s="15" t="n"/>
    </row>
    <row r="248">
      <c r="A248" s="11" t="n">
        <v>10</v>
      </c>
      <c r="B248" s="11" t="inlineStr">
        <is>
          <t>10.08</t>
        </is>
      </c>
      <c r="C248" s="12" t="inlineStr">
        <is>
          <t>A day as Sarah, designer</t>
        </is>
      </c>
      <c r="D248" s="12" t="inlineStr">
        <is>
          <t>Settings</t>
        </is>
      </c>
      <c r="E248" s="13" t="inlineStr">
        <is>
          <t>Open Settings as a designer</t>
        </is>
      </c>
      <c r="F248" s="14" t="inlineStr">
        <is>
          <t>1. Side navigation "Settings" › "Lead management"
2. Try to change a choice or a switch</t>
        </is>
      </c>
      <c r="G248" s="14" t="inlineStr">
        <is>
          <t>Every value shows but nothing changes; a lock line under the title reads "Only Owners and Admins change these."</t>
        </is>
      </c>
      <c r="H248" s="12" t="inlineStr">
        <is>
          <t>Different from 1.0: 1.0 let almost anyone change settings</t>
        </is>
      </c>
      <c r="I248" s="18" t="inlineStr">
        <is>
          <t>Sarah</t>
        </is>
      </c>
      <c r="J248" s="15" t="n"/>
      <c r="K248" s="15" t="n"/>
      <c r="L248" s="15" t="n"/>
      <c r="M248" s="16" t="n"/>
      <c r="N248" s="17" t="n"/>
      <c r="O248" s="17" t="n"/>
      <c r="P248" s="15" t="n"/>
    </row>
    <row r="249">
      <c r="A249" s="11" t="n">
        <v>10</v>
      </c>
      <c r="B249" s="11" t="inlineStr">
        <is>
          <t>10.09</t>
        </is>
      </c>
      <c r="C249" s="12" t="inlineStr">
        <is>
          <t>James, the manager</t>
        </is>
      </c>
      <c r="D249" s="12" t="inlineStr">
        <is>
          <t>Leads</t>
        </is>
      </c>
      <c r="E249" s="13" t="inlineStr">
        <is>
          <t>Switch to James and see his team’s leads</t>
        </is>
      </c>
      <c r="F249" s="14" t="inlineStr">
        <is>
          <t>1. "Demo Studio" block › "View as" › "James"
2. Open "Leads"</t>
        </is>
      </c>
      <c r="G249" s="14" t="inlineStr">
        <is>
          <t>His own and his designers’ leads — e.g. Arjun Mehta, Harpreet Kaur (Sarah’s), Aisha Rahman (Michelle’s) — but not Serena Koh or Jonathan Teo</t>
        </is>
      </c>
      <c r="H249" s="12" t="inlineStr">
        <is>
          <t>Different from 1.0: managers were a one-studio add-on</t>
        </is>
      </c>
      <c r="I249" s="18" t="inlineStr">
        <is>
          <t>James</t>
        </is>
      </c>
      <c r="J249" s="15" t="n"/>
      <c r="K249" s="15" t="n"/>
      <c r="L249" s="15" t="n"/>
      <c r="M249" s="16" t="n"/>
      <c r="N249" s="17" t="n"/>
      <c r="O249" s="17" t="n"/>
      <c r="P249" s="15" t="n"/>
    </row>
    <row r="250">
      <c r="A250" s="11" t="n">
        <v>10</v>
      </c>
      <c r="B250" s="11" t="inlineStr">
        <is>
          <t>10.10</t>
        </is>
      </c>
      <c r="C250" s="12" t="inlineStr">
        <is>
          <t>James, the manager</t>
        </is>
      </c>
      <c r="D250" s="12" t="inlineStr">
        <is>
          <t>Leads</t>
        </is>
      </c>
      <c r="E250" s="13" t="inlineStr">
        <is>
          <t>Reassign a lead within James’s team only</t>
        </is>
      </c>
      <c r="F250" s="14" t="inlineStr">
        <is>
          <t>1. On Grace Lim’s row, click the person-plus icon ("Assign members")
2. See who can be ticked, then close without saving</t>
        </is>
      </c>
      <c r="G250" s="14" t="inlineStr">
        <is>
          <t>Only James, Sarah and Michelle can be ticked; every other member is greyed out</t>
        </is>
      </c>
      <c r="H250" s="12" t="inlineStr">
        <is>
          <t>Same as 1.0</t>
        </is>
      </c>
      <c r="I250" s="18" t="inlineStr">
        <is>
          <t>James</t>
        </is>
      </c>
      <c r="J250" s="15" t="n"/>
      <c r="K250" s="15" t="n"/>
      <c r="L250" s="15" t="n"/>
      <c r="M250" s="16" t="n"/>
      <c r="N250" s="17" t="n"/>
      <c r="O250" s="17" t="n"/>
      <c r="P250" s="15" t="n"/>
    </row>
    <row r="251">
      <c r="A251" s="11" t="n">
        <v>10</v>
      </c>
      <c r="B251" s="11" t="inlineStr">
        <is>
          <t>10.11</t>
        </is>
      </c>
      <c r="C251" s="12" t="inlineStr">
        <is>
          <t>Back to Dane: answer the team</t>
        </is>
      </c>
      <c r="D251" s="12" t="inlineStr">
        <is>
          <t>Notifications</t>
        </is>
      </c>
      <c r="E251" s="13" t="inlineStr">
        <is>
          <t>Return to Dane and see what is waiting</t>
        </is>
      </c>
      <c r="F251" s="14" t="inlineStr">
        <is>
          <t>1. "Demo Studio" block › "View as" › "Dane"
2. Click "Notifications" (the bell)
3. Close it and click "Company" in the side navigation</t>
        </is>
      </c>
      <c r="G251" s="14" t="inlineStr">
        <is>
          <t>The bell has "Quote OM-10006 needs your approval" and "Sarah proposed “Rattan wardrobe door” for My Items"; Company shows awaiting and proposed counts</t>
        </is>
      </c>
      <c r="H251" s="12" t="inlineStr">
        <is>
          <t>Different from 1.0: bell notices instead of approval tasks</t>
        </is>
      </c>
      <c r="I251" s="11" t="inlineStr">
        <is>
          <t>Dane</t>
        </is>
      </c>
      <c r="J251" s="15" t="n"/>
      <c r="K251" s="15" t="n"/>
      <c r="L251" s="15" t="n"/>
      <c r="M251" s="16" t="n"/>
      <c r="N251" s="17" t="n"/>
      <c r="O251" s="17" t="n"/>
      <c r="P251" s="15" t="n"/>
    </row>
    <row r="252">
      <c r="A252" s="11" t="n">
        <v>10</v>
      </c>
      <c r="B252" s="11" t="inlineStr">
        <is>
          <t>10.12</t>
        </is>
      </c>
      <c r="C252" s="12" t="inlineStr">
        <is>
          <t>Back to Dane: answer the team</t>
        </is>
      </c>
      <c r="D252" s="12" t="inlineStr">
        <is>
          <t>Quotes</t>
        </is>
      </c>
      <c r="E252" s="13" t="inlineStr">
        <is>
          <t>Approve Sarah’s quote</t>
        </is>
      </c>
      <c r="F252" s="14" t="inlineStr">
        <is>
          <t>1. In the bell, click "Quote OM-10006 needs your approval"
2. Click "Approve" in the bar under the tabs</t>
        </is>
      </c>
      <c r="G252" s="14" t="inlineStr">
        <is>
          <t>The bar named Sarah as the sender; after Approve, "Quote approved — Sarah can send it to the client" and the status reads "Approved"</t>
        </is>
      </c>
      <c r="H252" s="12" t="inlineStr">
        <is>
          <t>Same as 1.0</t>
        </is>
      </c>
      <c r="I252" s="11" t="inlineStr">
        <is>
          <t>Dane</t>
        </is>
      </c>
      <c r="J252" s="15" t="n"/>
      <c r="K252" s="15" t="n"/>
      <c r="L252" s="15" t="n"/>
      <c r="M252" s="16" t="n"/>
      <c r="N252" s="17" t="n"/>
      <c r="O252" s="17" t="n"/>
      <c r="P252" s="15" t="n"/>
    </row>
    <row r="253">
      <c r="A253" s="11" t="n">
        <v>10</v>
      </c>
      <c r="B253" s="11" t="inlineStr">
        <is>
          <t>10.13</t>
        </is>
      </c>
      <c r="C253" s="12" t="inlineStr">
        <is>
          <t>Back to Dane: answer the team</t>
        </is>
      </c>
      <c r="D253" s="12" t="inlineStr">
        <is>
          <t>Price book</t>
        </is>
      </c>
      <c r="E253" s="13" t="inlineStr">
        <is>
          <t>Send Sarah’s price-book item back with a note</t>
        </is>
      </c>
      <c r="F253" s="14" t="inlineStr">
        <is>
          <t>1. "Company" › "Price book", click the "Proposed" filter
2. Open "Rattan wardrobe door"
3. Click "Send back…", write what should change, click "Send back"</t>
        </is>
      </c>
      <c r="G253" s="14" t="inlineStr">
        <is>
          <t>The item showed "Sarah proposed this item …" with "Send back…" and "Approve"; once sent back it leaves My Items</t>
        </is>
      </c>
      <c r="H253" s="12" t="inlineStr">
        <is>
          <t>Different from 1.0: the note reaches the bell, not e-mail</t>
        </is>
      </c>
      <c r="I253" s="11" t="inlineStr">
        <is>
          <t>Dane</t>
        </is>
      </c>
      <c r="J253" s="15" t="n"/>
      <c r="K253" s="15" t="n"/>
      <c r="L253" s="15" t="n"/>
      <c r="M253" s="16" t="n"/>
      <c r="N253" s="17" t="n"/>
      <c r="O253" s="17" t="n"/>
      <c r="P253" s="15" t="n"/>
    </row>
    <row r="254">
      <c r="A254" s="11" t="n">
        <v>10</v>
      </c>
      <c r="B254" s="11" t="inlineStr">
        <is>
          <t>10.14</t>
        </is>
      </c>
      <c r="C254" s="12" t="inlineStr">
        <is>
          <t>Back to Dane: answer the team</t>
        </is>
      </c>
      <c r="D254" s="12" t="inlineStr">
        <is>
          <t>Templates</t>
        </is>
      </c>
      <c r="E254" s="13" t="inlineStr">
        <is>
          <t>Approve and publish Sarah’s template</t>
        </is>
      </c>
      <c r="F254" s="14" t="inlineStr">
        <is>
          <t>1. "Company" › "Templates" › "Quotes", open "Sarah Scope" (marked "Awaiting approval")
2. Click "Approve and publish" in the bar
3. Click "Approve and publish" in the window</t>
        </is>
      </c>
      <c r="G254" s="14" t="inlineStr">
        <is>
          <t>"Sarah Scope approved and published"; its card no longer says "Awaiting approval"</t>
        </is>
      </c>
      <c r="H254" s="12" t="inlineStr">
        <is>
          <t>New in 2.0</t>
        </is>
      </c>
      <c r="I254" s="11" t="inlineStr">
        <is>
          <t>Dane</t>
        </is>
      </c>
      <c r="J254" s="15" t="n"/>
      <c r="K254" s="15" t="n"/>
      <c r="L254" s="15" t="n"/>
      <c r="M254" s="16" t="n"/>
      <c r="N254" s="17" t="n"/>
      <c r="O254" s="17" t="n"/>
      <c r="P254" s="15" t="n"/>
    </row>
    <row r="255">
      <c r="A255" s="11" t="n">
        <v>10</v>
      </c>
      <c r="B255" s="11" t="inlineStr">
        <is>
          <t>10.15</t>
        </is>
      </c>
      <c r="C255" s="12" t="inlineStr">
        <is>
          <t>An Admin’s view</t>
        </is>
      </c>
      <c r="D255" s="12" t="inlineStr">
        <is>
          <t>Settings</t>
        </is>
      </c>
      <c r="E255" s="13" t="inlineStr">
        <is>
          <t>Switch to Hui Min, the Admin, and reopen every lead</t>
        </is>
      </c>
      <c r="F255" s="14" t="inlineStr">
        <is>
          <t>1. "Demo Studio" block › "View as" › "Hui Min"
2. Open "Leads" and look for Gerald Tan
3. "Settings" › "Lead management" › "Who sees leads" › "Everyone sees every lead"</t>
        </is>
      </c>
      <c r="G255" s="14" t="inlineStr">
        <is>
          <t>Hui Min sees every lead, and Settings has no lock line; the rule goes back to everyone</t>
        </is>
      </c>
      <c r="H255" s="12" t="inlineStr">
        <is>
          <t>Same as 1.0</t>
        </is>
      </c>
      <c r="I255" s="18" t="inlineStr">
        <is>
          <t>Hui Min</t>
        </is>
      </c>
      <c r="J255" s="15" t="n"/>
      <c r="K255" s="15" t="n"/>
      <c r="L255" s="15" t="n"/>
      <c r="M255" s="16" t="n"/>
      <c r="N255" s="17" t="n"/>
      <c r="O255" s="17" t="n"/>
      <c r="P255" s="15" t="n"/>
    </row>
    <row r="256">
      <c r="A256" s="11" t="n">
        <v>10</v>
      </c>
      <c r="B256" s="11" t="inlineStr">
        <is>
          <t>10.16</t>
        </is>
      </c>
      <c r="C256" s="12" t="inlineStr">
        <is>
          <t>An Admin’s view</t>
        </is>
      </c>
      <c r="D256" s="12" t="inlineStr">
        <is>
          <t>Shell</t>
        </is>
      </c>
      <c r="E256" s="13" t="inlineStr">
        <is>
          <t>Go back to being Dane</t>
        </is>
      </c>
      <c r="F256" s="14" t="inlineStr">
        <is>
          <t>1. "Demo Studio" block › "View as" › "Dane"</t>
        </is>
      </c>
      <c r="G256" s="14" t="inlineStr">
        <is>
          <t>The block reads "Dane Bruce Lee" again and the Leads list shows every lead</t>
        </is>
      </c>
      <c r="H256" s="12" t="inlineStr">
        <is>
          <t>New in 2.0</t>
        </is>
      </c>
      <c r="I256" s="11" t="inlineStr">
        <is>
          <t>Dane</t>
        </is>
      </c>
      <c r="J256" s="15" t="n"/>
      <c r="K256" s="15" t="n"/>
      <c r="L256" s="15" t="n"/>
      <c r="M256" s="16" t="n"/>
      <c r="N256" s="17" t="n"/>
      <c r="O256" s="17" t="n"/>
      <c r="P256" s="15" t="n"/>
    </row>
    <row r="257" ht="22" customHeight="1">
      <c r="A257" s="9" t="inlineStr">
        <is>
          <t>Chapter 11 · The owner’s week — Tasks, the bell, Insights and the studio-wide lists.</t>
        </is>
      </c>
      <c r="M257" s="10" t="n"/>
    </row>
    <row r="258">
      <c r="A258" s="11" t="n">
        <v>11</v>
      </c>
      <c r="B258" s="11" t="inlineStr">
        <is>
          <t>11.01</t>
        </is>
      </c>
      <c r="C258" s="12" t="inlineStr">
        <is>
          <t>Monday morning: what needs doing</t>
        </is>
      </c>
      <c r="D258" s="12" t="inlineStr">
        <is>
          <t>Tasks</t>
        </is>
      </c>
      <c r="E258" s="13" t="inlineStr">
        <is>
          <t>See every task in the studio in one list</t>
        </is>
      </c>
      <c r="F258" s="14" t="inlineStr">
        <is>
          <t>1. Click "Tasks" in the side navigation</t>
        </is>
      </c>
      <c r="G258" s="14" t="inlineStr">
        <is>
          <t>"Tasks" lists every lead's tasks and the studio's own, with a "Lead" column; the side navigation's Tasks item counts the overdue ones.</t>
        </is>
      </c>
      <c r="H258" s="12" t="inlineStr">
        <is>
          <t>Same as 1.0</t>
        </is>
      </c>
      <c r="I258" s="11" t="inlineStr">
        <is>
          <t>Dane</t>
        </is>
      </c>
      <c r="J258" s="15" t="n"/>
      <c r="K258" s="15" t="n"/>
      <c r="L258" s="15" t="n"/>
      <c r="M258" s="16" t="n"/>
      <c r="N258" s="17" t="n"/>
      <c r="O258" s="17" t="n"/>
      <c r="P258" s="15" t="n"/>
    </row>
    <row r="259">
      <c r="A259" s="11" t="n">
        <v>11</v>
      </c>
      <c r="B259" s="11" t="inlineStr">
        <is>
          <t>11.02</t>
        </is>
      </c>
      <c r="C259" s="12" t="inlineStr">
        <is>
          <t>Monday morning: what needs doing</t>
        </is>
      </c>
      <c r="D259" s="12" t="inlineStr">
        <is>
          <t>Tasks</t>
        </is>
      </c>
      <c r="E259" s="13" t="inlineStr">
        <is>
          <t>Add a studio chore that belongs to no lead</t>
        </is>
      </c>
      <c r="F259" s="14" t="inlineStr">
        <is>
          <t>1. Click "Add Task" › "Create New Task"
2. Type Order new sample boards for the showroom, leave the Lead cell on "Studio", press Enter, then Esc
3. Click the "All Tasks" chip › "Studio Tasks"</t>
        </is>
      </c>
      <c r="G259" s="14" t="inlineStr">
        <is>
          <t>"Task added"; Studio Tasks lists it with the studio's other chores (e.g. "Update the showroom price list for Q4"), each reading "Studio" as its Lead.</t>
        </is>
      </c>
      <c r="H259" s="12" t="inlineStr">
        <is>
          <t>Same as 1.0</t>
        </is>
      </c>
      <c r="I259" s="11" t="inlineStr">
        <is>
          <t>Dane</t>
        </is>
      </c>
      <c r="J259" s="15" t="n"/>
      <c r="K259" s="15" t="n"/>
      <c r="L259" s="15" t="n"/>
      <c r="M259" s="16" t="n"/>
      <c r="N259" s="17" t="n"/>
      <c r="O259" s="17" t="n"/>
      <c r="P259" s="15" t="n"/>
    </row>
    <row r="260">
      <c r="A260" s="11" t="n">
        <v>11</v>
      </c>
      <c r="B260" s="11" t="inlineStr">
        <is>
          <t>11.03</t>
        </is>
      </c>
      <c r="C260" s="12" t="inlineStr">
        <is>
          <t>Monday morning: what needs doing</t>
        </is>
      </c>
      <c r="D260" s="12" t="inlineStr">
        <is>
          <t>Tasks</t>
        </is>
      </c>
      <c r="E260" s="13" t="inlineStr">
        <is>
          <t>Show only Sophia Wong's tasks</t>
        </is>
      </c>
      <c r="F260" s="14" t="inlineStr">
        <is>
          <t>1. Switch the chip back to "All Tasks"
2. Click the "Filters" icon, open "Lead" and tick Sophia Wong
3. Click "Done"</t>
        </is>
      </c>
      <c r="G260" s="14" t="inlineStr">
        <is>
          <t>Only Sophia Wong's tasks from the earlier chapters remain; the Filters icon shows 1.</t>
        </is>
      </c>
      <c r="H260" s="12" t="inlineStr">
        <is>
          <t>Same as 1.0</t>
        </is>
      </c>
      <c r="I260" s="11" t="inlineStr">
        <is>
          <t>Dane</t>
        </is>
      </c>
      <c r="J260" s="15" t="n"/>
      <c r="K260" s="15" t="n"/>
      <c r="L260" s="15" t="n"/>
      <c r="M260" s="16" t="n"/>
      <c r="N260" s="17" t="n"/>
      <c r="O260" s="17" t="n"/>
      <c r="P260" s="15" t="n"/>
    </row>
    <row r="261">
      <c r="A261" s="11" t="n">
        <v>11</v>
      </c>
      <c r="B261" s="11" t="inlineStr">
        <is>
          <t>11.04</t>
        </is>
      </c>
      <c r="C261" s="12" t="inlineStr">
        <is>
          <t>What happened this week</t>
        </is>
      </c>
      <c r="D261" s="12" t="inlineStr">
        <is>
          <t>Notifications</t>
        </is>
      </c>
      <c r="E261" s="13" t="inlineStr">
        <is>
          <t>Catch up on the week in the bell</t>
        </is>
      </c>
      <c r="F261" s="14" t="inlineStr">
        <is>
          <t>1. Click "Notifications" (the bell) in the side navigation
2. Read the list</t>
        </is>
      </c>
      <c r="G261" s="14" t="inlineStr">
        <is>
          <t>Newest first: the week's notices, e.g. Sarah's proposed item and her quote for approval; follow-ups such as "… has had no contact yet" read "Due".</t>
        </is>
      </c>
      <c r="H261" s="12" t="inlineStr">
        <is>
          <t>Different from 1.0: follow-ups due are listed, not scheduled</t>
        </is>
      </c>
      <c r="I261" s="11" t="inlineStr">
        <is>
          <t>Dane</t>
        </is>
      </c>
      <c r="J261" s="15" t="n"/>
      <c r="K261" s="15" t="n"/>
      <c r="L261" s="15" t="n"/>
      <c r="M261" s="16" t="n"/>
      <c r="N261" s="17" t="n"/>
      <c r="O261" s="17" t="n"/>
      <c r="P261" s="15" t="n"/>
    </row>
    <row r="262">
      <c r="A262" s="11" t="n">
        <v>11</v>
      </c>
      <c r="B262" s="11" t="inlineStr">
        <is>
          <t>11.05</t>
        </is>
      </c>
      <c r="C262" s="12" t="inlineStr">
        <is>
          <t>What happened this week</t>
        </is>
      </c>
      <c r="D262" s="12" t="inlineStr">
        <is>
          <t>Notifications</t>
        </is>
      </c>
      <c r="E262" s="13" t="inlineStr">
        <is>
          <t>Open a notice and land on its record</t>
        </is>
      </c>
      <c r="F262" s="14" t="inlineStr">
        <is>
          <t>1. In the bell, click a row that has a dot
2. Note where you land
3. Open the bell again</t>
        </is>
      </c>
      <c r="G262" s="14" t="inlineStr">
        <is>
          <t>The notice's record opens (a lead, a quote or My Items); back in the bell, that row has lost its dot.</t>
        </is>
      </c>
      <c r="H262" s="12" t="inlineStr">
        <is>
          <t>Same as 1.0</t>
        </is>
      </c>
      <c r="I262" s="11" t="inlineStr">
        <is>
          <t>Dane</t>
        </is>
      </c>
      <c r="J262" s="15" t="n"/>
      <c r="K262" s="15" t="n"/>
      <c r="L262" s="15" t="n"/>
      <c r="M262" s="16" t="n"/>
      <c r="N262" s="17" t="n"/>
      <c r="O262" s="17" t="n"/>
      <c r="P262" s="15" t="n"/>
    </row>
    <row r="263">
      <c r="A263" s="11" t="n">
        <v>11</v>
      </c>
      <c r="B263" s="11" t="inlineStr">
        <is>
          <t>11.06</t>
        </is>
      </c>
      <c r="C263" s="12" t="inlineStr">
        <is>
          <t>What happened this week</t>
        </is>
      </c>
      <c r="D263" s="12" t="inlineStr">
        <is>
          <t>Notifications</t>
        </is>
      </c>
      <c r="E263" s="13" t="inlineStr">
        <is>
          <t>Clear the unread notices in one go</t>
        </is>
      </c>
      <c r="F263" s="14" t="inlineStr">
        <is>
          <t>1. In the bell, click "Mark all as read" (the ✓ at the top)
2. Read the message at the bottom</t>
        </is>
      </c>
      <c r="G263" s="14" t="inlineStr">
        <is>
          <t>Every dot goes; the message says "All caught up" or that the follow-ups due stay until done; the "Due" rows remain.</t>
        </is>
      </c>
      <c r="H263" s="12" t="inlineStr">
        <is>
          <t>Different from 1.0: a follow-up stays until the work is done</t>
        </is>
      </c>
      <c r="I263" s="11" t="inlineStr">
        <is>
          <t>Dane</t>
        </is>
      </c>
      <c r="J263" s="15" t="n"/>
      <c r="K263" s="15" t="n"/>
      <c r="L263" s="15" t="n"/>
      <c r="M263" s="16" t="n"/>
      <c r="N263" s="17" t="n"/>
      <c r="O263" s="17" t="n"/>
      <c r="P263" s="15" t="n"/>
    </row>
    <row r="264">
      <c r="A264" s="11" t="n">
        <v>11</v>
      </c>
      <c r="B264" s="11" t="inlineStr">
        <is>
          <t>11.07</t>
        </is>
      </c>
      <c r="C264" s="12" t="inlineStr">
        <is>
          <t>What happened this week</t>
        </is>
      </c>
      <c r="D264" s="12" t="inlineStr">
        <is>
          <t>Notifications</t>
        </is>
      </c>
      <c r="E264" s="13" t="inlineStr">
        <is>
          <t>Jump from the bell to the notification rules and back</t>
        </is>
      </c>
      <c r="F264" s="14" t="inlineStr">
        <is>
          <t>1. In the bell, click "Notification settings"
2. Read "Follow-ups"
3. Click the back arrow, top left</t>
        </is>
      </c>
      <c r="G264" s="14" t="inlineStr">
        <is>
          <t>Settings opens on "Notifications": untouched leads raised after "30 minutes", no follow-ups once Won, Lost or On Hold; Back returns you.</t>
        </is>
      </c>
      <c r="H264" s="12" t="inlineStr">
        <is>
          <t>Different from 1.0: set per event, with a follow-up delay</t>
        </is>
      </c>
      <c r="I264" s="11" t="inlineStr">
        <is>
          <t>Dane</t>
        </is>
      </c>
      <c r="J264" s="15" t="n"/>
      <c r="K264" s="15" t="n"/>
      <c r="L264" s="15" t="n"/>
      <c r="M264" s="16" t="n"/>
      <c r="N264" s="17" t="n"/>
      <c r="O264" s="17" t="n"/>
      <c r="P264" s="15" t="n"/>
    </row>
    <row r="265">
      <c r="A265" s="11" t="n">
        <v>11</v>
      </c>
      <c r="B265" s="11" t="inlineStr">
        <is>
          <t>11.08</t>
        </is>
      </c>
      <c r="C265" s="12" t="inlineStr">
        <is>
          <t>How the team is doing</t>
        </is>
      </c>
      <c r="D265" s="12" t="inlineStr">
        <is>
          <t>Insights</t>
        </is>
      </c>
      <c r="E265" s="13" t="inlineStr">
        <is>
          <t>See how fast the team answers and wins leads</t>
        </is>
      </c>
      <c r="F265" s="14" t="inlineStr">
        <is>
          <t>1. Open Leads and click "Insights"
2. Read the three tiles and "By team member"
3. Click "All time"</t>
        </is>
      </c>
      <c r="G265" s="14" t="inlineStr">
        <is>
          <t>Tiles "Creation → Assignment", "Assignment → First outreach", "First outreach → Won" show medians; "All time" updates the "… leads in range" count.</t>
        </is>
      </c>
      <c r="H265" s="12" t="inlineStr">
        <is>
          <t>Different from 1.0: its own page; Won instead of Signed</t>
        </is>
      </c>
      <c r="I265" s="11" t="inlineStr">
        <is>
          <t>Dane</t>
        </is>
      </c>
      <c r="J265" s="15" t="n"/>
      <c r="K265" s="15" t="n"/>
      <c r="L265" s="15" t="n"/>
      <c r="M265" s="16" t="n"/>
      <c r="N265" s="17" t="n"/>
      <c r="O265" s="17" t="n"/>
      <c r="P265" s="15" t="n"/>
    </row>
    <row r="266">
      <c r="A266" s="11" t="n">
        <v>11</v>
      </c>
      <c r="B266" s="11" t="inlineStr">
        <is>
          <t>11.09</t>
        </is>
      </c>
      <c r="C266" s="12" t="inlineStr">
        <is>
          <t>How the team is doing</t>
        </is>
      </c>
      <c r="D266" s="12" t="inlineStr">
        <is>
          <t>Lead details</t>
        </is>
      </c>
      <c r="E266" s="13" t="inlineStr">
        <is>
          <t>See how quickly Sophia Wong was handled</t>
        </is>
      </c>
      <c r="F266" s="14" t="inlineStr">
        <is>
          <t>1. Open Sophia Wong
2. In the "Lead stages" card read "Response time"
3. Click it</t>
        </is>
      </c>
      <c r="G266" s="14" t="inlineStr">
        <is>
          <t>It reads like "Assigned in … · First contact in … · Won in …"; clicking it opens Insights.</t>
        </is>
      </c>
      <c r="H266" s="12" t="inlineStr">
        <is>
          <t>Different from 1.0: one line instead of a separate card</t>
        </is>
      </c>
      <c r="I266" s="11" t="inlineStr">
        <is>
          <t>Dane</t>
        </is>
      </c>
      <c r="J266" s="15" t="n"/>
      <c r="K266" s="15" t="n"/>
      <c r="L266" s="15" t="n"/>
      <c r="M266" s="16" t="n"/>
      <c r="N266" s="17" t="n"/>
      <c r="O266" s="17" t="n"/>
      <c r="P266" s="15" t="n"/>
    </row>
    <row r="267">
      <c r="A267" s="11" t="n">
        <v>11</v>
      </c>
      <c r="B267" s="11" t="inlineStr">
        <is>
          <t>11.10</t>
        </is>
      </c>
      <c r="C267" s="12" t="inlineStr">
        <is>
          <t>How the team is doing</t>
        </is>
      </c>
      <c r="D267" s="12" t="inlineStr">
        <is>
          <t>Lead details</t>
        </is>
      </c>
      <c r="E267" s="13" t="inlineStr">
        <is>
          <t>Read Sophia Wong's whole story on one timeline</t>
        </is>
      </c>
      <c r="F267" s="14" t="inlineStr">
        <is>
          <t>1. On Sophia Wong click the "Activity" tab
2. Scroll the list
3. Type contract in the search box</t>
        </is>
      </c>
      <c r="G267" s="14" t="inlineStr">
        <is>
          <t>"All Activities", newest first: created, assigned, contacted, quoted, contract, Won — each line dated; the search leaves only the contract lines.</t>
        </is>
      </c>
      <c r="H267" s="12" t="inlineStr">
        <is>
          <t>Different from 1.0: built from the records, and searchable</t>
        </is>
      </c>
      <c r="I267" s="11" t="inlineStr">
        <is>
          <t>Dane</t>
        </is>
      </c>
      <c r="J267" s="15" t="n"/>
      <c r="K267" s="15" t="n"/>
      <c r="L267" s="15" t="n"/>
      <c r="M267" s="16" t="n"/>
      <c r="N267" s="17" t="n"/>
      <c r="O267" s="17" t="n"/>
      <c r="P267" s="15" t="n"/>
    </row>
    <row r="268">
      <c r="A268" s="11" t="n">
        <v>11</v>
      </c>
      <c r="B268" s="11" t="inlineStr">
        <is>
          <t>11.11</t>
        </is>
      </c>
      <c r="C268" s="12" t="inlineStr">
        <is>
          <t>The paperwork across the studio</t>
        </is>
      </c>
      <c r="D268" s="12" t="inlineStr">
        <is>
          <t>Quotes</t>
        </is>
      </c>
      <c r="E268" s="13" t="inlineStr">
        <is>
          <t>Find Sophia's quote among all the studio's quotes</t>
        </is>
      </c>
      <c r="F268" s="14" t="inlineStr">
        <is>
          <t>1. Click "Tools" › "Quotes"
2. Type Sophia in the search box</t>
        </is>
      </c>
      <c r="G268" s="14" t="inlineStr">
        <is>
          <t>"Quotes" lists every lead's quotes with a "Client" column; Sophia Wong's quote shows its number, status and total.</t>
        </is>
      </c>
      <c r="H268" s="12" t="inlineStr">
        <is>
          <t>Same as 1.0</t>
        </is>
      </c>
      <c r="I268" s="11" t="inlineStr">
        <is>
          <t>Dane</t>
        </is>
      </c>
      <c r="J268" s="15" t="n"/>
      <c r="K268" s="15" t="n"/>
      <c r="L268" s="15" t="n"/>
      <c r="M268" s="16" t="n"/>
      <c r="N268" s="17" t="n"/>
      <c r="O268" s="17" t="n"/>
      <c r="P268" s="15" t="n"/>
    </row>
    <row r="269">
      <c r="A269" s="11" t="n">
        <v>11</v>
      </c>
      <c r="B269" s="11" t="inlineStr">
        <is>
          <t>11.12</t>
        </is>
      </c>
      <c r="C269" s="12" t="inlineStr">
        <is>
          <t>The paperwork across the studio</t>
        </is>
      </c>
      <c r="D269" s="12" t="inlineStr">
        <is>
          <t>Contracts</t>
        </is>
      </c>
      <c r="E269" s="13" t="inlineStr">
        <is>
          <t>Find Sophia's signed contract among all contracts</t>
        </is>
      </c>
      <c r="F269" s="14" t="inlineStr">
        <is>
          <t>1. Click "Tools" › "Contracts"
2. Type Sophia in the search box</t>
        </is>
      </c>
      <c r="G269" s="14" t="inlineStr">
        <is>
          <t>"Contracts" lists the studio's contracts with a "Lead" column; Sophia Wong's contract reads "Signed".</t>
        </is>
      </c>
      <c r="H269" s="12" t="inlineStr">
        <is>
          <t>New in 2.0</t>
        </is>
      </c>
      <c r="I269" s="11" t="inlineStr">
        <is>
          <t>Dane</t>
        </is>
      </c>
      <c r="J269" s="15" t="n"/>
      <c r="K269" s="15" t="n"/>
      <c r="L269" s="15" t="n"/>
      <c r="M269" s="16" t="n"/>
      <c r="N269" s="17" t="n"/>
      <c r="O269" s="17" t="n"/>
      <c r="P269" s="15" t="n"/>
    </row>
    <row r="270">
      <c r="A270" s="11" t="n">
        <v>11</v>
      </c>
      <c r="B270" s="11" t="inlineStr">
        <is>
          <t>11.13</t>
        </is>
      </c>
      <c r="C270" s="12" t="inlineStr">
        <is>
          <t>The paperwork across the studio</t>
        </is>
      </c>
      <c r="D270" s="12" t="inlineStr">
        <is>
          <t>Quote X-Ray</t>
        </is>
      </c>
      <c r="E270" s="13" t="inlineStr">
        <is>
          <t>Find last week's rival-quote comparison again</t>
        </is>
      </c>
      <c r="F270" s="14" t="inlineStr">
        <is>
          <t>1. Click "Tools" › "Quote X-Ray"
2. Look at "Recent comparisons"
3. Click the Sophia Wong row</t>
        </is>
      </c>
      <c r="G270" s="14" t="inlineStr">
        <is>
          <t>A row "Sophia Wong · vs …" (the rival from chapter 7) with its date; it opens the saved comparison.</t>
        </is>
      </c>
      <c r="H270" s="12" t="inlineStr">
        <is>
          <t>Different from 1.0: every comparison kept, not just the last five</t>
        </is>
      </c>
      <c r="I270" s="11" t="inlineStr">
        <is>
          <t>Dane</t>
        </is>
      </c>
      <c r="J270" s="15" t="n"/>
      <c r="K270" s="15" t="n"/>
      <c r="L270" s="15" t="n"/>
      <c r="M270" s="16" t="n"/>
      <c r="N270" s="17" t="n"/>
      <c r="O270" s="17" t="n"/>
      <c r="P270" s="15" t="n"/>
    </row>
    <row r="271" ht="22" customHeight="1">
      <c r="A271" s="9" t="inlineStr">
        <is>
          <t>Chapter 12 · On your phone — The key tasks again, on a phone.</t>
        </is>
      </c>
      <c r="M271" s="10" t="n"/>
    </row>
    <row r="272">
      <c r="A272" s="11" t="n">
        <v>12</v>
      </c>
      <c r="B272" s="11" t="inlineStr">
        <is>
          <t>12.01</t>
        </is>
      </c>
      <c r="C272" s="12" t="inlineStr">
        <is>
          <t>Pick up your phone</t>
        </is>
      </c>
      <c r="D272" s="12" t="inlineStr">
        <is>
          <t>Phone</t>
        </is>
      </c>
      <c r="E272" s="13" t="inlineStr">
        <is>
          <t>Open OpenMaison on your phone</t>
        </is>
      </c>
      <c r="F272" s="14" t="inlineStr">
        <is>
          <t>1. On the laptop, find the "Network" address in the window running npm run dev (like http://192.168.1.20:3000)
2. On a phone on the same Wi-Fi, type that address into the browser</t>
        </is>
      </c>
      <c r="G272" s="14" t="inlineStr">
        <is>
          <t>Leads opens as cards, with a top bar (search, chat, bell, avatar) and a bottom bar: Dashboard, Leads, Tools, Projects, More</t>
        </is>
      </c>
      <c r="H272" s="12" t="inlineStr">
        <is>
          <t>Different from 1.0: a stage pill replaces bucket tabs and swiping</t>
        </is>
      </c>
      <c r="I272" s="11" t="inlineStr">
        <is>
          <t>Dane</t>
        </is>
      </c>
      <c r="J272" s="15" t="n"/>
      <c r="K272" s="15" t="n"/>
      <c r="L272" s="15" t="n"/>
      <c r="M272" s="16" t="n"/>
      <c r="N272" s="17" t="n"/>
      <c r="O272" s="17" t="n"/>
      <c r="P272" s="15" t="n"/>
    </row>
    <row r="273">
      <c r="A273" s="11" t="n">
        <v>12</v>
      </c>
      <c r="B273" s="11" t="inlineStr">
        <is>
          <t>12.02</t>
        </is>
      </c>
      <c r="C273" s="12" t="inlineStr">
        <is>
          <t>Pick up your phone</t>
        </is>
      </c>
      <c r="D273" s="12" t="inlineStr">
        <is>
          <t>Phone</t>
        </is>
      </c>
      <c r="E273" s="13" t="inlineStr">
        <is>
          <t>Read a lead at a glance</t>
        </is>
      </c>
      <c r="F273" s="14" t="inlineStr">
        <is>
          <t>1. Scroll to Sophia Wong’s card</t>
        </is>
      </c>
      <c r="G273" s="14" t="inlineStr">
        <is>
          <t>Her card shows its age, phone, budget, source, her first task (or "Add Task"), members’ avatars and the stage button "Won"</t>
        </is>
      </c>
      <c r="H273" s="12" t="inlineStr">
        <is>
          <t>Different from 1.0: fewer badges; the first task shows instead</t>
        </is>
      </c>
      <c r="I273" s="11" t="inlineStr">
        <is>
          <t>Dane</t>
        </is>
      </c>
      <c r="J273" s="15" t="n"/>
      <c r="K273" s="15" t="n"/>
      <c r="L273" s="15" t="n"/>
      <c r="M273" s="16" t="n"/>
      <c r="N273" s="17" t="n"/>
      <c r="O273" s="17" t="n"/>
      <c r="P273" s="15" t="n"/>
    </row>
    <row r="274">
      <c r="A274" s="11" t="n">
        <v>12</v>
      </c>
      <c r="B274" s="11" t="inlineStr">
        <is>
          <t>12.03</t>
        </is>
      </c>
      <c r="C274" s="12" t="inlineStr">
        <is>
          <t>Pick up your phone</t>
        </is>
      </c>
      <c r="D274" s="12" t="inlineStr">
        <is>
          <t>Phone</t>
        </is>
      </c>
      <c r="E274" s="13" t="inlineStr">
        <is>
          <t>Find a lead by name on the phone</t>
        </is>
      </c>
      <c r="F274" s="14" t="inlineStr">
        <is>
          <t>1. Tap the magnifier in the top bar
2. Type Sophia</t>
        </is>
      </c>
      <c r="G274" s="14" t="inlineStr">
        <is>
          <t>A search box opens above the list and only Sophia Wong’s card remains, the match highlighted</t>
        </is>
      </c>
      <c r="H274" s="12" t="inlineStr">
        <is>
          <t>Different from 1.0: one search box, in the top bar</t>
        </is>
      </c>
      <c r="I274" s="11" t="inlineStr">
        <is>
          <t>Dane</t>
        </is>
      </c>
      <c r="J274" s="15" t="n"/>
      <c r="K274" s="15" t="n"/>
      <c r="L274" s="15" t="n"/>
      <c r="M274" s="16" t="n"/>
      <c r="N274" s="17" t="n"/>
      <c r="O274" s="17" t="n"/>
      <c r="P274" s="15" t="n"/>
    </row>
    <row r="275">
      <c r="A275" s="11" t="n">
        <v>12</v>
      </c>
      <c r="B275" s="11" t="inlineStr">
        <is>
          <t>12.04</t>
        </is>
      </c>
      <c r="C275" s="12" t="inlineStr">
        <is>
          <t>Pick up your phone</t>
        </is>
      </c>
      <c r="D275" s="12" t="inlineStr">
        <is>
          <t>Phone</t>
        </is>
      </c>
      <c r="E275" s="13" t="inlineStr">
        <is>
          <t>Reach the rest of the app from More</t>
        </is>
      </c>
      <c r="F275" s="14" t="inlineStr">
        <is>
          <t>1. Tap "More" in the bottom bar
2. Tap "Company"</t>
        </is>
      </c>
      <c r="G275" s="14" t="inlineStr">
        <is>
          <t>"More" slides up with Tasks, Marketplace, Company, Qanvast Ops, Settings and "View as" (Dane); Company opens as a sheet, Profile to Integrations</t>
        </is>
      </c>
      <c r="H275" s="12" t="inlineStr">
        <is>
          <t>Different from 1.0: 1.0’s phone menu had no studio setup</t>
        </is>
      </c>
      <c r="I275" s="11" t="inlineStr">
        <is>
          <t>Dane</t>
        </is>
      </c>
      <c r="J275" s="15" t="n"/>
      <c r="K275" s="15" t="n"/>
      <c r="L275" s="15" t="n"/>
      <c r="M275" s="16" t="n"/>
      <c r="N275" s="17" t="n"/>
      <c r="O275" s="17" t="n"/>
      <c r="P275" s="15" t="n"/>
    </row>
    <row r="276">
      <c r="A276" s="11" t="n">
        <v>12</v>
      </c>
      <c r="B276" s="11" t="inlineStr">
        <is>
          <t>12.05</t>
        </is>
      </c>
      <c r="C276" s="12" t="inlineStr">
        <is>
          <t>Work a lead on the go</t>
        </is>
      </c>
      <c r="D276" s="12" t="inlineStr">
        <is>
          <t>Phone</t>
        </is>
      </c>
      <c r="E276" s="13" t="inlineStr">
        <is>
          <t>Open Sophia’s lead and move between tabs</t>
        </is>
      </c>
      <c r="F276" s="14" t="inlineStr">
        <is>
          <t>1. Close the sheet and tap Sophia Wong’s card
2. Swipe the tab row sideways and tap "Notes &amp; Logs"</t>
        </is>
      </c>
      <c r="G276" s="14" t="inlineStr">
        <is>
          <t>Her name has a line of its own; the tabs scroll sideways; Notes &amp; Logs fills the screen as a list</t>
        </is>
      </c>
      <c r="H276" s="12" t="inlineStr">
        <is>
          <t>Different from 1.0: the lead opens as a page, not a drawer</t>
        </is>
      </c>
      <c r="I276" s="11" t="inlineStr">
        <is>
          <t>Dane</t>
        </is>
      </c>
      <c r="J276" s="15" t="n"/>
      <c r="K276" s="15" t="n"/>
      <c r="L276" s="15" t="n"/>
      <c r="M276" s="16" t="n"/>
      <c r="N276" s="17" t="n"/>
      <c r="O276" s="17" t="n"/>
      <c r="P276" s="15" t="n"/>
    </row>
    <row r="277">
      <c r="A277" s="11" t="n">
        <v>12</v>
      </c>
      <c r="B277" s="11" t="inlineStr">
        <is>
          <t>12.06</t>
        </is>
      </c>
      <c r="C277" s="12" t="inlineStr">
        <is>
          <t>Work a lead on the go</t>
        </is>
      </c>
      <c r="D277" s="12" t="inlineStr">
        <is>
          <t>Phone</t>
        </is>
      </c>
      <c r="E277" s="13" t="inlineStr">
        <is>
          <t>Start a stage move from a lead card</t>
        </is>
      </c>
      <c r="F277" s="14" t="inlineStr">
        <is>
          <t>1. Back on Leads, on a Contacted lead’s card (e.g. Cheryl Lim) tap the stage button "Contacted"
2. In the "Move stage" sheet tap "Met"
3. Look at the window, then tap "Cancel"</t>
        </is>
      </c>
      <c r="G277" s="14" t="inlineStr">
        <is>
          <t>Both rise from the bottom; the Move stage window fills the screen with "Cancel" and "Save" pinned at the foot; nothing moves</t>
        </is>
      </c>
      <c r="H277" s="12" t="inlineStr">
        <is>
          <t>Different from 1.0: one stage window, not status drop-downs</t>
        </is>
      </c>
      <c r="I277" s="11" t="inlineStr">
        <is>
          <t>Dane</t>
        </is>
      </c>
      <c r="J277" s="15" t="n"/>
      <c r="K277" s="15" t="n"/>
      <c r="L277" s="15" t="n"/>
      <c r="M277" s="16" t="n"/>
      <c r="N277" s="17" t="n"/>
      <c r="O277" s="17" t="n"/>
      <c r="P277" s="15" t="n"/>
    </row>
    <row r="278">
      <c r="A278" s="11" t="n">
        <v>12</v>
      </c>
      <c r="B278" s="11" t="inlineStr">
        <is>
          <t>12.07</t>
        </is>
      </c>
      <c r="C278" s="12" t="inlineStr">
        <is>
          <t>Work a lead on the go</t>
        </is>
      </c>
      <c r="D278" s="12" t="inlineStr">
        <is>
          <t>Phone</t>
        </is>
      </c>
      <c r="E278" s="13" t="inlineStr">
        <is>
          <t>Narrow the list with a quick filter</t>
        </is>
      </c>
      <c r="F278" s="14" t="inlineStr">
        <is>
          <t>1. Tap the filter icon beside the "All Leads" pill
2. In "Quick filters", tick "Unassigned"
3. Tap "Clear All", then "Done"</t>
        </is>
      </c>
      <c r="G278" s="14" t="inlineStr">
        <is>
          <t>"Filters" rises from the bottom; the tick narrows the list behind at once; after "Clear All" every lead is back</t>
        </is>
      </c>
      <c r="H278" s="12" t="inlineStr">
        <is>
          <t>Different from 1.0: three quick filters instead of five</t>
        </is>
      </c>
      <c r="I278" s="11" t="inlineStr">
        <is>
          <t>Dane</t>
        </is>
      </c>
      <c r="J278" s="15" t="n"/>
      <c r="K278" s="15" t="n"/>
      <c r="L278" s="15" t="n"/>
      <c r="M278" s="16" t="n"/>
      <c r="N278" s="17" t="n"/>
      <c r="O278" s="17" t="n"/>
      <c r="P278" s="15" t="n"/>
    </row>
    <row r="279">
      <c r="A279" s="11" t="n">
        <v>12</v>
      </c>
      <c r="B279" s="11" t="inlineStr">
        <is>
          <t>12.08</t>
        </is>
      </c>
      <c r="C279" s="12" t="inlineStr">
        <is>
          <t>Quotes and contracts in your pocket</t>
        </is>
      </c>
      <c r="D279" s="12" t="inlineStr">
        <is>
          <t>Phone</t>
        </is>
      </c>
      <c r="E279" s="13" t="inlineStr">
        <is>
          <t>Check a quote’s lines on the phone</t>
        </is>
      </c>
      <c r="F279" s="14" t="inlineStr">
        <is>
          <t>1. Open Sophia Wong › "Quotes" and tap her quote
2. Scroll to "Items" and tap a line
3. Look, then tap "Done" without changing anything</t>
        </is>
      </c>
      <c r="G279" s="14" t="inlineStr">
        <is>
          <t>Each line is a card (name, quantity × unit price, total); a line opens as a sheet with its "Line total" and every field</t>
        </is>
      </c>
      <c r="H279" s="12" t="inlineStr">
        <is>
          <t>Different from 1.0: lines edit in a sheet, not a side panel</t>
        </is>
      </c>
      <c r="I279" s="11" t="inlineStr">
        <is>
          <t>Dane</t>
        </is>
      </c>
      <c r="J279" s="15" t="n"/>
      <c r="K279" s="15" t="n"/>
      <c r="L279" s="15" t="n"/>
      <c r="M279" s="16" t="n"/>
      <c r="N279" s="17" t="n"/>
      <c r="O279" s="17" t="n"/>
      <c r="P279" s="15" t="n"/>
    </row>
    <row r="280">
      <c r="A280" s="11" t="n">
        <v>12</v>
      </c>
      <c r="B280" s="11" t="inlineStr">
        <is>
          <t>12.09</t>
        </is>
      </c>
      <c r="C280" s="12" t="inlineStr">
        <is>
          <t>Quotes and contracts in your pocket</t>
        </is>
      </c>
      <c r="D280" s="12" t="inlineStr">
        <is>
          <t>Phone</t>
        </is>
      </c>
      <c r="E280" s="13" t="inlineStr">
        <is>
          <t>Open Tools › Contracts on the phone</t>
        </is>
      </c>
      <c r="F280" s="14" t="inlineStr">
        <is>
          <t>1. Tap "Tools" in the bottom bar
2. Tap "Contracts"</t>
        </is>
      </c>
      <c r="G280" s="14" t="inlineStr">
        <is>
          <t>Tools rises as a sheet of tiles; contracts show as cards — title and ⋮ on top, status and date below</t>
        </is>
      </c>
      <c r="H280" s="12" t="inlineStr">
        <is>
          <t>Different from 1.0: 1.0’s phone menu had no Tools</t>
        </is>
      </c>
      <c r="I280" s="11" t="inlineStr">
        <is>
          <t>Dane</t>
        </is>
      </c>
      <c r="J280" s="15" t="n"/>
      <c r="K280" s="15" t="n"/>
      <c r="L280" s="15" t="n"/>
      <c r="M280" s="16" t="n"/>
      <c r="N280" s="17" t="n"/>
      <c r="O280" s="17" t="n"/>
      <c r="P280" s="15" t="n"/>
    </row>
    <row r="281">
      <c r="A281" s="11" t="n">
        <v>12</v>
      </c>
      <c r="B281" s="11" t="inlineStr">
        <is>
          <t>12.10</t>
        </is>
      </c>
      <c r="C281" s="12" t="inlineStr">
        <is>
          <t>Quotes and contracts in your pocket</t>
        </is>
      </c>
      <c r="D281" s="12" t="inlineStr">
        <is>
          <t>Phone</t>
        </is>
      </c>
      <c r="E281" s="13" t="inlineStr">
        <is>
          <t>Raise a second agreement for Sophia and get its link</t>
        </is>
      </c>
      <c r="F281" s="14" t="inlineStr">
        <is>
          <t>1. Open Sophia Wong › "Contracts", tap "+" ("New Contract") › "From the studio agreement"
2. Tap the status "Draft" › "Sent to Client"
3. Tap "Send"; press and hold the link at the bottom of the window, choose Copy, then close it</t>
        </is>
      </c>
      <c r="G281" s="14" t="inlineStr">
        <is>
          <t>Menus rise as bottom sheets; the status reads "Sent to Client"; the copied link starts with the phone’s Network address</t>
        </is>
      </c>
      <c r="H281" s="12" t="inlineStr">
        <is>
          <t>New in 2.0</t>
        </is>
      </c>
      <c r="I281" s="11" t="inlineStr">
        <is>
          <t>Dane</t>
        </is>
      </c>
      <c r="J281" s="15" t="n"/>
      <c r="K281" s="15" t="n"/>
      <c r="L281" s="15" t="n"/>
      <c r="M281" s="16" t="n"/>
      <c r="N281" s="17" t="n"/>
      <c r="O281" s="17" t="n"/>
      <c r="P281" s="15" t="n"/>
    </row>
    <row r="282">
      <c r="A282" s="11" t="n">
        <v>12</v>
      </c>
      <c r="B282" s="11" t="inlineStr">
        <is>
          <t>12.11</t>
        </is>
      </c>
      <c r="C282" s="12" t="inlineStr">
        <is>
          <t>Quotes and contracts in your pocket</t>
        </is>
      </c>
      <c r="D282" s="12" t="inlineStr">
        <is>
          <t>Phone</t>
        </is>
      </c>
      <c r="E282" s="13" t="inlineStr">
        <is>
          <t>Read the agreement on the phone as Sophia</t>
        </is>
      </c>
      <c r="F282" s="14" t="inlineStr">
        <is>
          <t>1. Paste the link into a new browser tab
2. Scroll to the end — the bar at the foot guides you
3. Tap "Go to the box" and tick "I have read and agree to this document."</t>
        </is>
      </c>
      <c r="G282" s="14" t="inlineStr">
        <is>
          <t>The card sits above the agreement; the foot bar reads "Read to the end of the agreement", then "Ready when you are" with "Send code"</t>
        </is>
      </c>
      <c r="H282" s="12" t="inlineStr">
        <is>
          <t>Same as 1.0</t>
        </is>
      </c>
      <c r="I282" s="18" t="inlineStr">
        <is>
          <t>Sophia Wong (client)</t>
        </is>
      </c>
      <c r="J282" s="15" t="n"/>
      <c r="K282" s="15" t="n"/>
      <c r="L282" s="15" t="n"/>
      <c r="M282" s="16" t="n"/>
      <c r="N282" s="17" t="n"/>
      <c r="O282" s="17" t="n"/>
      <c r="P282" s="15" t="n"/>
    </row>
    <row r="283">
      <c r="A283" s="11" t="n">
        <v>12</v>
      </c>
      <c r="B283" s="11" t="inlineStr">
        <is>
          <t>12.12</t>
        </is>
      </c>
      <c r="C283" s="12" t="inlineStr">
        <is>
          <t>Quotes and contracts in your pocket</t>
        </is>
      </c>
      <c r="D283" s="12" t="inlineStr">
        <is>
          <t>Phone</t>
        </is>
      </c>
      <c r="E283" s="13" t="inlineStr">
        <is>
          <t>Sign with your finger</t>
        </is>
      </c>
      <c r="F283" s="14" t="inlineStr">
        <is>
          <t>1. Tap "Send code", type 123456, tap "Verify"
2. Tap "Draw" and sign with your finger
3. Tap "Sign agreement"</t>
        </is>
      </c>
      <c r="G283" s="14" t="inlineStr">
        <is>
          <t>The pad follows your finger; the card turns "Signed"; the signing record says "Drawn by hand" and names your phone’s browser</t>
        </is>
      </c>
      <c r="H283" s="12" t="inlineStr">
        <is>
          <t>Same as 1.0</t>
        </is>
      </c>
      <c r="I283" s="18" t="inlineStr">
        <is>
          <t>Sophia Wong (client)</t>
        </is>
      </c>
      <c r="J283" s="15" t="n"/>
      <c r="K283" s="15" t="n"/>
      <c r="L283" s="15" t="n"/>
      <c r="M283" s="16" t="n"/>
      <c r="N283" s="17" t="n"/>
      <c r="O283" s="17" t="n"/>
      <c r="P283" s="15" t="n"/>
    </row>
    <row r="284">
      <c r="A284" s="11" t="n">
        <v>12</v>
      </c>
      <c r="B284" s="11" t="inlineStr">
        <is>
          <t>12.13</t>
        </is>
      </c>
      <c r="C284" s="12" t="inlineStr">
        <is>
          <t>Quotes and contracts in your pocket</t>
        </is>
      </c>
      <c r="D284" s="12" t="inlineStr">
        <is>
          <t>Phone</t>
        </is>
      </c>
      <c r="E284" s="13" t="inlineStr">
        <is>
          <t>See the signature arrive in the bell</t>
        </is>
      </c>
      <c r="F284" s="14" t="inlineStr">
        <is>
          <t>1. Go back to the app’s tab
2. Tap the bell in the top bar</t>
        </is>
      </c>
      <c r="G284" s="14" t="inlineStr">
        <is>
          <t>"Notifications" fills the screen; the newest notice reads "Sophia Wong signed Interior Design Service Agreement 2"</t>
        </is>
      </c>
      <c r="H284" s="12" t="inlineStr">
        <is>
          <t>Same as 1.0</t>
        </is>
      </c>
      <c r="I284" s="11" t="inlineStr">
        <is>
          <t>Dane</t>
        </is>
      </c>
      <c r="J284" s="15" t="n"/>
      <c r="K284" s="15" t="n"/>
      <c r="L284" s="15" t="n"/>
      <c r="M284" s="16" t="n"/>
      <c r="N284" s="17" t="n"/>
      <c r="O284" s="17" t="n"/>
      <c r="P284" s="15" t="n"/>
    </row>
    <row r="285" ht="22" customHeight="1">
      <c r="A285" s="9" t="inlineStr">
        <is>
          <t>Chapter 13 · Design her room — AI Visualizer: Sophia’s living room, from her photo to the look she picks.</t>
        </is>
      </c>
      <c r="M285" s="10" t="n"/>
    </row>
    <row r="286">
      <c r="A286" s="11" t="n">
        <v>13</v>
      </c>
      <c r="B286" s="11" t="inlineStr">
        <is>
          <t>13.01</t>
        </is>
      </c>
      <c r="C286" s="12" t="inlineStr">
        <is>
          <t>Her photo, in the AI Visualizer</t>
        </is>
      </c>
      <c r="D286" s="12" t="inlineStr">
        <is>
          <t>AI Visualizer</t>
        </is>
      </c>
      <c r="E286" s="13" t="inlineStr">
        <is>
          <t>Open Sophia’s site photo in the AI Visualizer</t>
        </is>
      </c>
      <c r="F286" s="14" t="inlineStr">
        <is>
          <t>1. Open Sophia Wong › "Files", open the Site photos folder and double-click sophia-living-room.jpg
2. Click "More options" (⋮, top right), then "Open in AI Visualizer"
3. Read the tip, press "Got it"; look at the squares on the photo
4. Click the eye icon ("Hide markers"), then again ("Show markers")</t>
        </is>
      </c>
      <c r="G286" s="14" t="inlineStr">
        <is>
          <t>Full screen: "Sophia Wong", chip "LEAD · WON", a room named "Living room" from the file; squares on walls and floor; "Marked roughly on your photo — …".</t>
        </is>
      </c>
      <c r="H286" s="12" t="inlineStr">
        <is>
          <t>New in 2.0</t>
        </is>
      </c>
      <c r="I286" s="11" t="inlineStr">
        <is>
          <t>Dane</t>
        </is>
      </c>
      <c r="J286" s="15" t="n"/>
      <c r="K286" s="15" t="n"/>
      <c r="L286" s="15" t="n"/>
      <c r="M286" s="16" t="n"/>
      <c r="N286" s="17" t="n"/>
      <c r="O286" s="17" t="n"/>
      <c r="P286" s="15" t="n"/>
    </row>
    <row r="287">
      <c r="A287" s="11" t="n">
        <v>13</v>
      </c>
      <c r="B287" s="11" t="inlineStr">
        <is>
          <t>13.02</t>
        </is>
      </c>
      <c r="C287" s="12" t="inlineStr">
        <is>
          <t>Her photo, in the AI Visualizer</t>
        </is>
      </c>
      <c r="D287" s="12" t="inlineStr">
        <is>
          <t>AI Visualizer</t>
        </is>
      </c>
      <c r="E287" s="13" t="inlineStr">
        <is>
          <t>Check the room’s menu and mark the lamp it missed</t>
        </is>
      </c>
      <c r="F287" s="14" t="inlineStr">
        <is>
          <t>1. Click "Room options" (⋯ by the room chip), read the menu, press Esc
2. Open "Furniture", press "Add furniture": "Piece" Floor lamp, then the chip "Lighting"
3. Press "Click where it is", then click the lamp’s yellow shade on the photo
4. On the "Floor Lamp" row press ✕ ("Take off the list …"), then "Undo" in the message</t>
        </is>
      </c>
      <c r="G287" s="14" t="inlineStr">
        <is>
          <t>The menu offers "Rename", "Change photo", "Delete room"; "Floor Lamp" joins the furniture list; Undo restores it after "… taken off the list".</t>
        </is>
      </c>
      <c r="H287" s="12" t="inlineStr">
        <is>
          <t>Different from 1.0: taking a mark off has Undo</t>
        </is>
      </c>
      <c r="I287" s="11" t="inlineStr">
        <is>
          <t>Dane</t>
        </is>
      </c>
      <c r="J287" s="15" t="n"/>
      <c r="K287" s="15" t="n"/>
      <c r="L287" s="15" t="n"/>
      <c r="M287" s="16" t="n"/>
      <c r="N287" s="17" t="n"/>
      <c r="O287" s="17" t="n"/>
      <c r="P287" s="15" t="n"/>
    </row>
    <row r="288">
      <c r="A288" s="11" t="n">
        <v>13</v>
      </c>
      <c r="B288" s="11" t="inlineStr">
        <is>
          <t>13.03</t>
        </is>
      </c>
      <c r="C288" s="12" t="inlineStr">
        <is>
          <t>New finishes</t>
        </is>
      </c>
      <c r="D288" s="12" t="inlineStr">
        <is>
          <t>AI Visualizer</t>
        </is>
      </c>
      <c r="E288" s="13" t="inlineStr">
        <is>
          <t>Pick a sage paint for the walls and a walnut floor</t>
        </is>
      </c>
      <c r="F288" s="14" t="inlineStr">
        <is>
          <t>1. Open "Surfaces", click the "Walls" row (or the square on a wall) — it starts on "As in the photo"
2. Search sage and click "Sage Green"
3. Press "All surfaces", click "Floor", chip "Flooring" › "Walnut Engineered"
4. Read the foot of the panel</t>
        </is>
      </c>
      <c r="G288" s="14" t="inlineStr">
        <is>
          <t>The picked wall lights up on the photo; "Recent" holds Sage Green; the foot lists both changes; the button reads "Generate · 2 changes".</t>
        </is>
      </c>
      <c r="H288" s="12" t="inlineStr">
        <is>
          <t>Different from 1.0: the picked surface lights up on the photo</t>
        </is>
      </c>
      <c r="I288" s="11" t="inlineStr">
        <is>
          <t>Dane</t>
        </is>
      </c>
      <c r="J288" s="15" t="n"/>
      <c r="K288" s="15" t="n"/>
      <c r="L288" s="15" t="n"/>
      <c r="M288" s="16" t="n"/>
      <c r="N288" s="17" t="n"/>
      <c r="O288" s="17" t="n"/>
      <c r="P288" s="15" t="n"/>
    </row>
    <row r="289">
      <c r="A289" s="11" t="n">
        <v>13</v>
      </c>
      <c r="B289" s="11" t="inlineStr">
        <is>
          <t>13.04</t>
        </is>
      </c>
      <c r="C289" s="12" t="inlineStr">
        <is>
          <t>New finishes</t>
        </is>
      </c>
      <c r="D289" s="12" t="inlineStr">
        <is>
          <t>AI Visualizer</t>
        </is>
      </c>
      <c r="E289" s="13" t="inlineStr">
        <is>
          <t>Generate, stop one midway, then compare before and after</t>
        </is>
      </c>
      <c r="F289" s="14" t="inlineStr">
        <is>
          <t>1. Beside "Makes 1 version · Fast" press "Change", pick Quality "High", press "Done"
2. Press "Generate · 2 changes", then "Cancel" on the card at once
3. Press "Generate · 2 changes" again and wait
4. Press "Compare" under the photo and drag the line across</t>
        </is>
      </c>
      <c r="G289" s="14" t="inlineStr">
        <is>
          <t>"Stopped — nothing was kept"; then "Reading the photo"…, "V1 is ready", a "V1 · Walls, Floor" tile, and a slider "Original" | "V1".</t>
        </is>
      </c>
      <c r="H289" s="12" t="inlineStr">
        <is>
          <t>Different from 1.0: compare right on the photo, one press</t>
        </is>
      </c>
      <c r="I289" s="11" t="inlineStr">
        <is>
          <t>Dane</t>
        </is>
      </c>
      <c r="J289" s="15" t="n"/>
      <c r="K289" s="15" t="n"/>
      <c r="L289" s="15" t="n"/>
      <c r="M289" s="16" t="n"/>
      <c r="N289" s="17" t="n"/>
      <c r="O289" s="17" t="n"/>
      <c r="P289" s="15" t="n"/>
    </row>
    <row r="290">
      <c r="A290" s="11" t="n">
        <v>13</v>
      </c>
      <c r="B290" s="11" t="inlineStr">
        <is>
          <t>13.05</t>
        </is>
      </c>
      <c r="C290" s="12" t="inlineStr">
        <is>
          <t>New finishes</t>
        </is>
      </c>
      <c r="D290" s="12" t="inlineStr">
        <is>
          <t>AI Visualizer</t>
        </is>
      </c>
      <c r="E290" s="13" t="inlineStr">
        <is>
          <t>Describe a change in your own words</t>
        </is>
      </c>
      <c r="F290" s="14" t="inlineStr">
        <is>
          <t>1. In "DESCRIBE A CHANGE" type make it nice and read the line under the button
2. Replace the words with warmer evening light, press "Generate from note"</t>
        </is>
      </c>
      <c r="G290" s="14" t="inlineStr">
        <is>
          <t>First "Generate from note" stays greyed: "We couldn’t turn that note into a change — …"; then "V2 · From a note": evening light, walls still sage.</t>
        </is>
      </c>
      <c r="H290" s="12" t="inlineStr">
        <is>
          <t>Different from 1.0: the words box is always in view</t>
        </is>
      </c>
      <c r="I290" s="11" t="inlineStr">
        <is>
          <t>Dane</t>
        </is>
      </c>
      <c r="J290" s="15" t="n"/>
      <c r="K290" s="15" t="n"/>
      <c r="L290" s="15" t="n"/>
      <c r="M290" s="16" t="n"/>
      <c r="N290" s="17" t="n"/>
      <c r="O290" s="17" t="n"/>
      <c r="P290" s="15" t="n"/>
    </row>
    <row r="291">
      <c r="A291" s="11" t="n">
        <v>13</v>
      </c>
      <c r="B291" s="11" t="inlineStr">
        <is>
          <t>13.06</t>
        </is>
      </c>
      <c r="C291" s="12" t="inlineStr">
        <is>
          <t>The whole look on a sample room</t>
        </is>
      </c>
      <c r="D291" s="12" t="inlineStr">
        <is>
          <t>AI Visualizer</t>
        </is>
      </c>
      <c r="E291" s="13" t="inlineStr">
        <is>
          <t>Add the sample living room to her design</t>
        </is>
      </c>
      <c r="F291" s="14" t="inlineStr">
        <is>
          <t>1. Press "Add room" in the top bar
2. Read the ways in
3. Under "SAMPLE ROOMS" click "Living room" ("Furnished photo")
4. Open "Furniture"</t>
        </is>
      </c>
      <c r="G291" s="14" t="inlineStr">
        <is>
          <t>The upload box ("Drop room photos or browse" · "JPG, PNG, WebP or HEIC · …"), "FROM SOPHIA WONG’S FILES", "SAMPLE ROOMS"; a "Living room 2" chip opens, its 10 pieces listed.</t>
        </is>
      </c>
      <c r="H291" s="12" t="inlineStr">
        <is>
          <t>Different from 1.0: sample rooms and the lead’s files too</t>
        </is>
      </c>
      <c r="I291" s="11" t="inlineStr">
        <is>
          <t>Dane</t>
        </is>
      </c>
      <c r="J291" s="15" t="n"/>
      <c r="K291" s="15" t="n"/>
      <c r="L291" s="15" t="n"/>
      <c r="M291" s="16" t="n"/>
      <c r="N291" s="17" t="n"/>
      <c r="O291" s="17" t="n"/>
      <c r="P291" s="15" t="n"/>
    </row>
    <row r="292">
      <c r="A292" s="11" t="n">
        <v>13</v>
      </c>
      <c r="B292" s="11" t="inlineStr">
        <is>
          <t>13.07</t>
        </is>
      </c>
      <c r="C292" s="12" t="inlineStr">
        <is>
          <t>The whole look on a sample room</t>
        </is>
      </c>
      <c r="D292" s="12" t="inlineStr">
        <is>
          <t>AI Visualizer</t>
        </is>
      </c>
      <c r="E292" s="13" t="inlineStr">
        <is>
          <t>Recolour the sofa, swap the table, take out the TV</t>
        </is>
      </c>
      <c r="F292" s="14" t="inlineStr">
        <is>
          <t>1. "Grey Fabric Sofa" › "Customize" › "Velvet", then under "COLOUR" "Emerald"
2. "Oak Coffee Table" › "Replace", pick any "Quick pick"
3. "Wall-Mounted TV" › "Remove"; press ⌘Z (Ctrl+Z), then ⇧⌘Z (Ctrl+Shift+Z)
4. Press "Generate · 3 changes"</t>
        </is>
      </c>
      <c r="G292" s="14" t="inlineStr">
        <is>
          <t>Rows read "Customize · Emerald velvet", "Replace · …", "Taken out"; ⌘Z/⇧⌘Z flip the TV; "V1 is ready": green sofa, new table, no TV.</t>
        </is>
      </c>
      <c r="H292" s="12" t="inlineStr">
        <is>
          <t>Different from 1.0: ⌘Z takes back a pick</t>
        </is>
      </c>
      <c r="I292" s="11" t="inlineStr">
        <is>
          <t>Dane</t>
        </is>
      </c>
      <c r="J292" s="15" t="n"/>
      <c r="K292" s="15" t="n"/>
      <c r="L292" s="15" t="n"/>
      <c r="M292" s="16" t="n"/>
      <c r="N292" s="17" t="n"/>
      <c r="O292" s="17" t="n"/>
      <c r="P292" s="15" t="n"/>
    </row>
    <row r="293">
      <c r="A293" s="11" t="n">
        <v>13</v>
      </c>
      <c r="B293" s="11" t="inlineStr">
        <is>
          <t>13.08</t>
        </is>
      </c>
      <c r="C293" s="12" t="inlineStr">
        <is>
          <t>The whole look on a sample room</t>
        </is>
      </c>
      <c r="D293" s="12" t="inlineStr">
        <is>
          <t>AI Visualizer</t>
        </is>
      </c>
      <c r="E293" s="13" t="inlineStr">
        <is>
          <t>Restyle the room, then try a light live</t>
        </is>
      </c>
      <c r="F293" s="14" t="inlineStr">
        <is>
          <t>1. Open "Style", click "Japandi", read the line under the title, press "Restyle as Japandi"
2. Open "Lighting", click "Golden Hour"
3. Open "Fine-tune it by hand", drag "Colour temperature"
4. Press "Relight"</t>
        </is>
      </c>
      <c r="G293" s="14" t="inlineStr">
        <is>
          <t>A line warns "A style restyles the whole room from the photo — …"; "V2 is ready" ("V2 · Japandi"); Style is back on "None"; the light previews live; "V3 · Relit · Custom" lands.</t>
        </is>
      </c>
      <c r="H293" s="12" t="inlineStr">
        <is>
          <t>Different from 1.0: light previews live, kept in one step</t>
        </is>
      </c>
      <c r="I293" s="11" t="inlineStr">
        <is>
          <t>Dane</t>
        </is>
      </c>
      <c r="J293" s="15" t="n"/>
      <c r="K293" s="15" t="n"/>
      <c r="L293" s="15" t="n"/>
      <c r="M293" s="16" t="n"/>
      <c r="N293" s="17" t="n"/>
      <c r="O293" s="17" t="n"/>
      <c r="P293" s="15" t="n"/>
    </row>
    <row r="294">
      <c r="A294" s="11" t="n">
        <v>13</v>
      </c>
      <c r="B294" s="11" t="inlineStr">
        <is>
          <t>13.09</t>
        </is>
      </c>
      <c r="C294" s="12" t="inlineStr">
        <is>
          <t>The whole look on a sample room</t>
        </is>
      </c>
      <c r="D294" s="12" t="inlineStr">
        <is>
          <t>AI Visualizer</t>
        </is>
      </c>
      <c r="E294" s="13" t="inlineStr">
        <is>
          <t>Hang a patterned wallpaper, two takes at once</t>
        </is>
      </c>
      <c r="F294" s="14" t="inlineStr">
        <is>
          <t>1. Under "VERSIONS" click "Original"
2. "Surfaces": click a wall square, keep "All walls · 2"
3. Chip "Wallpapers" › "Tropical Botanical"
4. "Change" › "Versions" 2, press "Generate"</t>
        </is>
      </c>
      <c r="G294" s="14" t="inlineStr">
        <is>
          <t>The swatch wears a leaf pattern; "V4–V5 are ready" — two takes from one press: V4’s two walls in the leaf paper, V5 tries another paper.</t>
        </is>
      </c>
      <c r="H294" s="12" t="inlineStr">
        <is>
          <t>Different from 1.0: 2–3 versions on a desktop too</t>
        </is>
      </c>
      <c r="I294" s="11" t="inlineStr">
        <is>
          <t>Dane</t>
        </is>
      </c>
      <c r="J294" s="15" t="n"/>
      <c r="K294" s="15" t="n"/>
      <c r="L294" s="15" t="n"/>
      <c r="M294" s="16" t="n"/>
      <c r="N294" s="17" t="n"/>
      <c r="O294" s="17" t="n"/>
      <c r="P294" s="15" t="n"/>
    </row>
    <row r="295">
      <c r="A295" s="11" t="n">
        <v>13</v>
      </c>
      <c r="B295" s="11" t="inlineStr">
        <is>
          <t>13.10</t>
        </is>
      </c>
      <c r="C295" s="12" t="inlineStr">
        <is>
          <t>The whole look on a sample room</t>
        </is>
      </c>
      <c r="D295" s="12" t="inlineStr">
        <is>
          <t>AI Visualizer</t>
        </is>
      </c>
      <c r="E295" s="13" t="inlineStr">
        <is>
          <t>Empty the room, then furnish it again</t>
        </is>
      </c>
      <c r="F295" s="14" t="inlineStr">
        <is>
          <t>1. Click "V4", open "Tools", pick "Empty the room", then "Keep built-ins"
2. Press "Empty the room"
3. In "Tools" pick "Furnish the room", read "Will place:"
4. Press "Furnish the room"</t>
        </is>
      </c>
      <c r="G295" s="14" t="inlineStr">
        <is>
          <t>A version "Emptied · Keep built-ins" shows the room bare; then a "Furnished" version puts furniture back.</t>
        </is>
      </c>
      <c r="H295" s="12" t="inlineStr">
        <is>
          <t>Same as 1.0</t>
        </is>
      </c>
      <c r="I295" s="11" t="inlineStr">
        <is>
          <t>Dane</t>
        </is>
      </c>
      <c r="J295" s="15" t="n"/>
      <c r="K295" s="15" t="n"/>
      <c r="L295" s="15" t="n"/>
      <c r="M295" s="16" t="n"/>
      <c r="N295" s="17" t="n"/>
      <c r="O295" s="17" t="n"/>
      <c r="P295" s="15" t="n"/>
    </row>
    <row r="296">
      <c r="A296" s="11" t="n">
        <v>13</v>
      </c>
      <c r="B296" s="11" t="inlineStr">
        <is>
          <t>13.11</t>
        </is>
      </c>
      <c r="C296" s="12" t="inlineStr">
        <is>
          <t>The whole look on a sample room</t>
        </is>
      </c>
      <c r="D296" s="12" t="inlineStr">
        <is>
          <t>AI Visualizer</t>
        </is>
      </c>
      <c r="E296" s="13" t="inlineStr">
        <is>
          <t>Borrow a look from a photo</t>
        </is>
      </c>
      <c r="F296" s="14" t="inlineStr">
        <is>
          <t>1. Click "Original", open "Style"
2. Under "OR BORROW A LOOK FROM A PHOTO" press "Upload a reference photo", pick kitchen-moodboard.jpg
3. Read "HOW FAR" and "WHAT CARRIES OVER"; beside "Makes 2 versions · Fast" press "Change", pick "Versions" 1, press "Done"
4. Press "Style transfer"</t>
        </is>
      </c>
      <c r="G296" s="14" t="inlineStr">
        <is>
          <t>The reference shows with its colours under it; "V8 is ready": a "V8 · Style transfer" version wears the photo’s colours.</t>
        </is>
      </c>
      <c r="H296" s="12" t="inlineStr">
        <is>
          <t>Same as 1.0</t>
        </is>
      </c>
      <c r="I296" s="11" t="inlineStr">
        <is>
          <t>Dane</t>
        </is>
      </c>
      <c r="J296" s="15" t="n"/>
      <c r="K296" s="15" t="n"/>
      <c r="L296" s="15" t="n"/>
      <c r="M296" s="16" t="n"/>
      <c r="N296" s="17" t="n"/>
      <c r="O296" s="17" t="n"/>
      <c r="P296" s="15" t="n"/>
    </row>
    <row r="297">
      <c r="A297" s="11" t="n">
        <v>13</v>
      </c>
      <c r="B297" s="11" t="inlineStr">
        <is>
          <t>13.12</t>
        </is>
      </c>
      <c r="C297" s="12" t="inlineStr">
        <is>
          <t>Her versions</t>
        </is>
      </c>
      <c r="D297" s="12" t="inlineStr">
        <is>
          <t>AI Visualizer</t>
        </is>
      </c>
      <c r="E297" s="13" t="inlineStr">
        <is>
          <t>Delete a version, undo it, and restore it later</t>
        </is>
      </c>
      <c r="F297" s="14" t="inlineStr">
        <is>
          <t>1. On "V5" open ⋮ ("More options for V5") › "Delete", then "Undo"
2. Delete V5 again, then reload the page
3. Beside "VERSIONS" click "1 deleted", press "Restore"</t>
        </is>
      </c>
      <c r="G297" s="14" t="inlineStr">
        <is>
          <t>"V5 deleted" with Undo; after the reload every room, version and the "Saved …" stamp are as you left them; Restore brings V5 back ("V5 restored").</t>
        </is>
      </c>
      <c r="H297" s="12" t="inlineStr">
        <is>
          <t>Different from 1.0: Undo, a Deleted list, nothing lost on reload</t>
        </is>
      </c>
      <c r="I297" s="11" t="inlineStr">
        <is>
          <t>Dane</t>
        </is>
      </c>
      <c r="J297" s="15" t="n"/>
      <c r="K297" s="15" t="n"/>
      <c r="L297" s="15" t="n"/>
      <c r="M297" s="16" t="n"/>
      <c r="N297" s="17" t="n"/>
      <c r="O297" s="17" t="n"/>
      <c r="P297" s="15" t="n"/>
    </row>
    <row r="298">
      <c r="A298" s="11" t="n">
        <v>13</v>
      </c>
      <c r="B298" s="11" t="inlineStr">
        <is>
          <t>13.13</t>
        </is>
      </c>
      <c r="C298" s="12" t="inlineStr">
        <is>
          <t>Her versions</t>
        </is>
      </c>
      <c r="D298" s="12" t="inlineStr">
        <is>
          <t>AI Visualizer</t>
        </is>
      </c>
      <c r="E298" s="13" t="inlineStr">
        <is>
          <t>Pin a note on a version and resolve it</t>
        </is>
      </c>
      <c r="F298" s="14" t="inlineStr">
        <is>
          <t>1. Click the "Living room" chip, then the "V1" tile
2. Press the pin icon ("Pin a note"), click a wall
3. Write Sage on this wall only?, press "Pin it"
4. Write a reply, press "Reply", then the tick ("Resolve")</t>
        </is>
      </c>
      <c r="G298" s="14" t="inlineStr">
        <is>
          <t>Pin 1 sits on the photo (the box said "Only your team sees it"); its card shows your note and reply, then "Resolved".</t>
        </is>
      </c>
      <c r="H298" s="12" t="inlineStr">
        <is>
          <t>Different from 1.0: pins on any version, not only portal shares</t>
        </is>
      </c>
      <c r="I298" s="11" t="inlineStr">
        <is>
          <t>Dane</t>
        </is>
      </c>
      <c r="J298" s="15" t="n"/>
      <c r="K298" s="15" t="n"/>
      <c r="L298" s="15" t="n"/>
      <c r="M298" s="16" t="n"/>
      <c r="N298" s="17" t="n"/>
      <c r="O298" s="17" t="n"/>
      <c r="P298" s="15" t="n"/>
    </row>
    <row r="299">
      <c r="A299" s="11" t="n">
        <v>13</v>
      </c>
      <c r="B299" s="11" t="inlineStr">
        <is>
          <t>13.14</t>
        </is>
      </c>
      <c r="C299" s="12" t="inlineStr">
        <is>
          <t>Her versions</t>
        </is>
      </c>
      <c r="D299" s="12" t="inlineStr">
        <is>
          <t>AI Visualizer</t>
        </is>
      </c>
      <c r="E299" s="13" t="inlineStr">
        <is>
          <t>Present a version, open its moodboard, download it</t>
        </is>
      </c>
      <c r="F299" s="14" t="inlineStr">
        <is>
          <t>1. Press "Present" (full-screen icon under the photo); press "Next version", then "Before and after · V1"; "Done"
2. On V1 open ⋮ › "Moodboard", read it, press "Done"
3. On V1 open ⋮ › "Download"</t>
        </is>
      </c>
      <c r="G299" s="14" t="inlineStr">
        <is>
          <t>A large view lists "WHAT CHANGED"; the moodboard shows "FINISHES" and "THE COLOURS IT READS AS"; "Render - Living room - V1.jpg" downloads.</t>
        </is>
      </c>
      <c r="H299" s="12" t="inlineStr">
        <is>
          <t>Different from 1.0: Present and a moodboard replace the view</t>
        </is>
      </c>
      <c r="I299" s="11" t="inlineStr">
        <is>
          <t>Dane</t>
        </is>
      </c>
      <c r="J299" s="15" t="n"/>
      <c r="K299" s="15" t="n"/>
      <c r="L299" s="15" t="n"/>
      <c r="M299" s="16" t="n"/>
      <c r="N299" s="17" t="n"/>
      <c r="O299" s="17" t="n"/>
      <c r="P299" s="15" t="n"/>
    </row>
    <row r="300">
      <c r="A300" s="11" t="n">
        <v>13</v>
      </c>
      <c r="B300" s="11" t="inlineStr">
        <is>
          <t>13.15</t>
        </is>
      </c>
      <c r="C300" s="12" t="inlineStr">
        <is>
          <t>Out to her lead</t>
        </is>
      </c>
      <c r="D300" s="12" t="inlineStr">
        <is>
          <t>AI Visualizer</t>
        </is>
      </c>
      <c r="E300" s="13" t="inlineStr">
        <is>
          <t>Save a render to her Files and come back to it</t>
        </is>
      </c>
      <c r="F300" s="14" t="inlineStr">
        <is>
          <t>1. On V1 open ⋮ › "Save to Files"
2. Press "Open" in the message
3. Click "Information" (ⓘ) and read "From"
4. Open "More options" (⋮) › "Open this version in AI Visualizer"</t>
        </is>
      </c>
      <c r="G300" s="14" t="inlineStr">
        <is>
          <t>"V1 saved to Files › Renders"; "Render - Living room - V1.jpg" reads From "AI Visualizer · Living room · V1"; its menu reopens V1.</t>
        </is>
      </c>
      <c r="H300" s="12" t="inlineStr">
        <is>
          <t>Different from 1.0: 1.0 promised this, never saved</t>
        </is>
      </c>
      <c r="I300" s="11" t="inlineStr">
        <is>
          <t>Dane</t>
        </is>
      </c>
      <c r="J300" s="15" t="n"/>
      <c r="K300" s="15" t="n"/>
      <c r="L300" s="15" t="n"/>
      <c r="M300" s="16" t="n"/>
      <c r="N300" s="17" t="n"/>
      <c r="O300" s="17" t="n"/>
      <c r="P300" s="15" t="n"/>
    </row>
    <row r="301">
      <c r="A301" s="11" t="n">
        <v>13</v>
      </c>
      <c r="B301" s="11" t="inlineStr">
        <is>
          <t>13.16</t>
        </is>
      </c>
      <c r="C301" s="12" t="inlineStr">
        <is>
          <t>Out to her lead</t>
        </is>
      </c>
      <c r="D301" s="12" t="inlineStr">
        <is>
          <t>AI Visualizer</t>
        </is>
      </c>
      <c r="E301" s="13" t="inlineStr">
        <is>
          <t>Turn a version’s finishes into quote lines</t>
        </is>
      </c>
      <c r="F301" s="14" t="inlineStr">
        <is>
          <t>1. On V1 open ⋮ › "Add to a quote…"
2. Read "THE LINES"; under "INTO" "A new quote" is already picked
3. Press "Add to quote", then "Open" in the message
4. Close the quote (✕) to come back</t>
        </is>
      </c>
      <c r="G301" s="14" t="inlineStr">
        <is>
          <t>Two lines, each "In at S$0 — yours to price" ("0 OF 2 PRICED"); "2 lines added"; the quote holds a section "Living room · V1 finishes".</t>
        </is>
      </c>
      <c r="H301" s="12" t="inlineStr">
        <is>
          <t>New in 2.0</t>
        </is>
      </c>
      <c r="I301" s="11" t="inlineStr">
        <is>
          <t>Dane</t>
        </is>
      </c>
      <c r="J301" s="15" t="n"/>
      <c r="K301" s="15" t="n"/>
      <c r="L301" s="15" t="n"/>
      <c r="M301" s="16" t="n"/>
      <c r="N301" s="17" t="n"/>
      <c r="O301" s="17" t="n"/>
      <c r="P301" s="15" t="n"/>
    </row>
    <row r="302">
      <c r="A302" s="11" t="n">
        <v>13</v>
      </c>
      <c r="B302" s="11" t="inlineStr">
        <is>
          <t>13.17</t>
        </is>
      </c>
      <c r="C302" s="12" t="inlineStr">
        <is>
          <t>Out to her lead</t>
        </is>
      </c>
      <c r="D302" s="12" t="inlineStr">
        <is>
          <t>AI Visualizer</t>
        </is>
      </c>
      <c r="E302" s="13" t="inlineStr">
        <is>
          <t>Share two versions with Sophia</t>
        </is>
      </c>
      <c r="F302" s="14" t="inlineStr">
        <is>
          <t>1. Press "Share with client" (top right)
2. Under "LIVING ROOM" V1 is already ticked — tick V2 too; write a line in "A note on the page (optional)"
3. Press "Create link", then "Copy link"
4. Press "Open WhatsApp" — a WhatsApp tab opens: close it, do not send</t>
        </is>
      </c>
      <c r="G302" s="14" t="inlineStr">
        <is>
          <t>Shared versions also go to Files › Renders; "Link copied"; the draft starts "Hi Sophia, here are 2 design ideas for your living room".</t>
        </is>
      </c>
      <c r="H302" s="12" t="inlineStr">
        <is>
          <t>Different from 1.0: pick up to six; WhatsApp, no chat</t>
        </is>
      </c>
      <c r="I302" s="11" t="inlineStr">
        <is>
          <t>Dane</t>
        </is>
      </c>
      <c r="J302" s="15" t="n"/>
      <c r="K302" s="15" t="n"/>
      <c r="L302" s="15" t="n"/>
      <c r="M302" s="16" t="n"/>
      <c r="N302" s="17" t="n"/>
      <c r="O302" s="17" t="n"/>
      <c r="P302" s="15" t="n"/>
    </row>
    <row r="303">
      <c r="A303" s="11" t="n">
        <v>13</v>
      </c>
      <c r="B303" s="11" t="inlineStr">
        <is>
          <t>13.18</t>
        </is>
      </c>
      <c r="C303" s="12" t="inlineStr">
        <is>
          <t>Sophia’s side</t>
        </is>
      </c>
      <c r="D303" s="12" t="inlineStr">
        <is>
          <t>AI Visualizer</t>
        </is>
      </c>
      <c r="E303" s="13" t="inlineStr">
        <is>
          <t>Open the link as Sophia and compare</t>
        </is>
      </c>
      <c r="F303" s="14" t="inlineStr">
        <is>
          <t>1. Open a private window and paste the link
2. Read the page
3. On "Design 1" press "Before and after" and drag the line</t>
        </is>
      </c>
      <c r="G303" s="14" t="inlineStr">
        <is>
          <t>The studio’s letterhead, "FOR SOPHIA", "2 design ideas for your living room", your note; each design lists what changed; the slider shows "Before" and "After".</t>
        </is>
      </c>
      <c r="H303" s="12" t="inlineStr">
        <is>
          <t>Different from 1.0: several designs on one branded page</t>
        </is>
      </c>
      <c r="I303" s="18" t="inlineStr">
        <is>
          <t>Sophia Wong (client)</t>
        </is>
      </c>
      <c r="J303" s="15" t="n"/>
      <c r="K303" s="15" t="n"/>
      <c r="L303" s="15" t="n"/>
      <c r="M303" s="16" t="n"/>
      <c r="N303" s="17" t="n"/>
      <c r="O303" s="17" t="n"/>
      <c r="P303" s="15" t="n"/>
    </row>
    <row r="304">
      <c r="A304" s="11" t="n">
        <v>13</v>
      </c>
      <c r="B304" s="11" t="inlineStr">
        <is>
          <t>13.19</t>
        </is>
      </c>
      <c r="C304" s="12" t="inlineStr">
        <is>
          <t>Sophia’s side</t>
        </is>
      </c>
      <c r="D304" s="12" t="inlineStr">
        <is>
          <t>AI Visualizer</t>
        </is>
      </c>
      <c r="E304" s="13" t="inlineStr">
        <is>
          <t>Pick a favourite, leave a note, pin a change</t>
        </is>
      </c>
      <c r="F304" s="14" t="inlineStr">
        <is>
          <t>1. On "Design 1" press "I like this one"
2. "Leave a note": write Could the floor be a shade lighter?, press "Send"
3. "Pin a note", click the sofa, write Keep this sofa?, press "Pin it"</t>
        </is>
      </c>
      <c r="G304" s="14" t="inlineStr">
        <is>
          <t>"Your favourite" and "Thanks — Dane will see it’s your favourite"; "Sent — Dane will see it"; "Pinned — Dane will see it".</t>
        </is>
      </c>
      <c r="H304" s="12" t="inlineStr">
        <is>
          <t>Different from 1.0: the client answers on the link</t>
        </is>
      </c>
      <c r="I304" s="18" t="inlineStr">
        <is>
          <t>Sophia Wong (client)</t>
        </is>
      </c>
      <c r="J304" s="15" t="n"/>
      <c r="K304" s="15" t="n"/>
      <c r="L304" s="15" t="n"/>
      <c r="M304" s="16" t="n"/>
      <c r="N304" s="17" t="n"/>
      <c r="O304" s="17" t="n"/>
      <c r="P304" s="15" t="n"/>
    </row>
    <row r="305">
      <c r="A305" s="11" t="n">
        <v>13</v>
      </c>
      <c r="B305" s="11" t="inlineStr">
        <is>
          <t>13.20</t>
        </is>
      </c>
      <c r="C305" s="12" t="inlineStr">
        <is>
          <t>Sophia’s side</t>
        </is>
      </c>
      <c r="D305" s="12" t="inlineStr">
        <is>
          <t>AI Visualizer</t>
        </is>
      </c>
      <c r="E305" s="13" t="inlineStr">
        <is>
          <t>Ask the studio to call you back</t>
        </is>
      </c>
      <c r="F305" s="14" t="inlineStr">
        <is>
          <t>1. Scroll to "Want to talk it through?"
2. Leave the number box empty; in "Anything to mention? (optional)" write Evenings are best
3. Press "Ask for a call back"</t>
        </is>
      </c>
      <c r="G305" s="14" t="inlineStr">
        <is>
          <t>It said "Dane will call you back on the number they have for you."; now it reads "Dane will call you back".</t>
        </is>
      </c>
      <c r="H305" s="12" t="inlineStr">
        <is>
          <t>Different from 1.0: the request becomes a task</t>
        </is>
      </c>
      <c r="I305" s="18" t="inlineStr">
        <is>
          <t>Sophia Wong (client)</t>
        </is>
      </c>
      <c r="J305" s="15" t="n"/>
      <c r="K305" s="15" t="n"/>
      <c r="L305" s="15" t="n"/>
      <c r="M305" s="16" t="n"/>
      <c r="N305" s="17" t="n"/>
      <c r="O305" s="17" t="n"/>
      <c r="P305" s="15" t="n"/>
    </row>
    <row r="306">
      <c r="A306" s="11" t="n">
        <v>13</v>
      </c>
      <c r="B306" s="11" t="inlineStr">
        <is>
          <t>13.21</t>
        </is>
      </c>
      <c r="C306" s="12" t="inlineStr">
        <is>
          <t>Back in the studio</t>
        </is>
      </c>
      <c r="D306" s="12" t="inlineStr">
        <is>
          <t>Notifications</t>
        </is>
      </c>
      <c r="E306" s="13" t="inlineStr">
        <is>
          <t>See Sophia’s answers reach Sarah, who owns her</t>
        </is>
      </c>
      <c r="F306" s="14" t="inlineStr">
        <is>
          <t>1. Leave the design with the back arrow; "Demo Studio" block › "View as" › "Sarah"
2. Click "Notifications" (the bell), then "Sophia Wong pinned a note on a render"
3. Press the back arrow and open the "Tasks" tab</t>
        </is>
      </c>
      <c r="G306" s="14" t="inlineStr">
        <is>
          <t>Four entries from Sophia; the design opens on V1 with her pin open; Tasks lists "Call Sophia Wong back about the renders" for Sarah and Dane.</t>
        </is>
      </c>
      <c r="H306" s="12" t="inlineStr">
        <is>
          <t>New in 2.0</t>
        </is>
      </c>
      <c r="I306" s="18" t="inlineStr">
        <is>
          <t>Sarah</t>
        </is>
      </c>
      <c r="J306" s="15" t="n"/>
      <c r="K306" s="15" t="n"/>
      <c r="L306" s="15" t="n"/>
      <c r="M306" s="16" t="n"/>
      <c r="N306" s="17" t="n"/>
      <c r="O306" s="17" t="n"/>
      <c r="P306" s="15" t="n"/>
    </row>
    <row r="307">
      <c r="A307" s="11" t="n">
        <v>13</v>
      </c>
      <c r="B307" s="11" t="inlineStr">
        <is>
          <t>13.22</t>
        </is>
      </c>
      <c r="C307" s="12" t="inlineStr">
        <is>
          <t>Back in the studio</t>
        </is>
      </c>
      <c r="D307" s="12" t="inlineStr">
        <is>
          <t>AI Visualizer</t>
        </is>
      </c>
      <c r="E307" s="13" t="inlineStr">
        <is>
          <t>Check who may rename or delete a design</t>
        </is>
      </c>
      <c r="F307" s="14" t="inlineStr">
        <is>
          <t>1. Side navigation "Tools" › "AI Visualizer", open the "Showroom ideas" folder
2. Open ⋮ on "Showroom — kitchen concept"
3. Close it; "Demo Studio" block › "View as" › "Dane"</t>
        </is>
      </c>
      <c r="G307" s="14" t="inlineStr">
        <is>
          <t>"Move to Folder", "Rename" and "Delete" are greyed: "Only Dane, an Owner or an Admin can move, rename or delete this".</t>
        </is>
      </c>
      <c r="H307" s="12" t="inlineStr">
        <is>
          <t>Different from 1.0: the maker’s rule, not an admin-only page</t>
        </is>
      </c>
      <c r="I307" s="18" t="inlineStr">
        <is>
          <t>Sarah</t>
        </is>
      </c>
      <c r="J307" s="15" t="n"/>
      <c r="K307" s="15" t="n"/>
      <c r="L307" s="15" t="n"/>
      <c r="M307" s="16" t="n"/>
      <c r="N307" s="17" t="n"/>
      <c r="O307" s="17" t="n"/>
      <c r="P307" s="15" t="n"/>
    </row>
    <row r="308">
      <c r="A308" s="11" t="n">
        <v>13</v>
      </c>
      <c r="B308" s="11" t="inlineStr">
        <is>
          <t>13.23</t>
        </is>
      </c>
      <c r="C308" s="12" t="inlineStr">
        <is>
          <t>Back in the studio</t>
        </is>
      </c>
      <c r="D308" s="12" t="inlineStr">
        <is>
          <t>Lead details</t>
        </is>
      </c>
      <c r="E308" s="13" t="inlineStr">
        <is>
          <t>Read the design’s trail on Sophia’s lead</t>
        </is>
      </c>
      <c r="F308" s="14" t="inlineStr">
        <is>
          <t>1. Open Sophia Wong › "Activity"
2. Read today’s AI Visualizer lines
3. On "Overview" press the quick link "AI Visualizer", then the back arrow</t>
        </is>
      </c>
      <c r="G308" s="14" t="inlineStr">
        <is>
          <t>Lines "You rendered V1 of “Living room” — Walls, Floor." and "Sophia Wong asked for a call back about the renders."; the link opens it.</t>
        </is>
      </c>
      <c r="H308" s="12" t="inlineStr">
        <is>
          <t>New in 2.0</t>
        </is>
      </c>
      <c r="I308" s="11" t="inlineStr">
        <is>
          <t>Dane</t>
        </is>
      </c>
      <c r="J308" s="15" t="n"/>
      <c r="K308" s="15" t="n"/>
      <c r="L308" s="15" t="n"/>
      <c r="M308" s="16" t="n"/>
      <c r="N308" s="17" t="n"/>
      <c r="O308" s="17" t="n"/>
      <c r="P308" s="15" t="n"/>
    </row>
    <row r="309">
      <c r="A309" s="11" t="n">
        <v>13</v>
      </c>
      <c r="B309" s="11" t="inlineStr">
        <is>
          <t>13.24</t>
        </is>
      </c>
      <c r="C309" s="12" t="inlineStr">
        <is>
          <t>Back in the studio</t>
        </is>
      </c>
      <c r="D309" s="12" t="inlineStr">
        <is>
          <t>AI Visualizer</t>
        </is>
      </c>
      <c r="E309" s="13" t="inlineStr">
        <is>
          <t>Stop sharing the link, then renew it</t>
        </is>
      </c>
      <c r="F309" s="14" t="inlineStr">
        <is>
          <t>1. Open her design again (the "AI Visualizer" quick link), press "Share with client" and read "SHARED BEFORE"
2. On the link’s row press the broken-link icon ("Stop sharing"), then "Stop sharing" in the question
3. Reload the private window
4. Close it (✕), press "Share with client" again, then "Renew" on the row; reload the private window again</t>
        </is>
      </c>
      <c r="G309" s="14" t="inlineStr">
        <is>
          <t>The row lists the opening, favourite, note and call back; then it reads "Stopped" and Sophia sees "This link is no longer active"; after "Renew" her page is back.</t>
        </is>
      </c>
      <c r="H309" s="12" t="inlineStr">
        <is>
          <t>Different from 1.0: links can be stopped and renewed</t>
        </is>
      </c>
      <c r="I309" s="11" t="inlineStr">
        <is>
          <t>Dane</t>
        </is>
      </c>
      <c r="J309" s="15" t="n"/>
      <c r="K309" s="15" t="n"/>
      <c r="L309" s="15" t="n"/>
      <c r="M309" s="16" t="n"/>
      <c r="N309" s="17" t="n"/>
      <c r="O309" s="17" t="n"/>
      <c r="P309" s="15" t="n"/>
    </row>
    <row r="310">
      <c r="A310" s="11" t="n">
        <v>13</v>
      </c>
      <c r="B310" s="11" t="inlineStr">
        <is>
          <t>13.25</t>
        </is>
      </c>
      <c r="C310" s="12" t="inlineStr">
        <is>
          <t>The studio’s library</t>
        </is>
      </c>
      <c r="D310" s="12" t="inlineStr">
        <is>
          <t>AI Visualizer</t>
        </is>
      </c>
      <c r="E310" s="13" t="inlineStr">
        <is>
          <t>Find your way round the AI Visualizer page</t>
        </is>
      </c>
      <c r="F310" s="14" t="inlineStr">
        <is>
          <t>1. Side navigation "Tools" › "AI Visualizer"; read the intro and the cards
2. Open "New" and read its three ways in; press Esc
3. Click "Kind: All" › "Personal", then back to "All"
4. Type kitchen in the search box</t>
        </is>
      </c>
      <c r="G310" s="14" t="inlineStr">
        <is>
          <t>Sophia Wong reads "Lead · Won · 2 rooms · …"; cards say when last "edited"; searching leaves Kevin Ng and "Showroom — kitchen concept".</t>
        </is>
      </c>
      <c r="H310" s="12" t="inlineStr">
        <is>
          <t>Different from 1.0: a Kind pill instead of view chips</t>
        </is>
      </c>
      <c r="I310" s="11" t="inlineStr">
        <is>
          <t>Dane</t>
        </is>
      </c>
      <c r="J310" s="15" t="n"/>
      <c r="K310" s="15" t="n"/>
      <c r="L310" s="15" t="n"/>
      <c r="M310" s="16" t="n"/>
      <c r="N310" s="17" t="n"/>
      <c r="O310" s="17" t="n"/>
      <c r="P310" s="15" t="n"/>
    </row>
    <row r="311">
      <c r="A311" s="11" t="n">
        <v>13</v>
      </c>
      <c r="B311" s="11" t="inlineStr">
        <is>
          <t>13.26</t>
        </is>
      </c>
      <c r="C311" s="12" t="inlineStr">
        <is>
          <t>The studio’s library</t>
        </is>
      </c>
      <c r="D311" s="12" t="inlineStr">
        <is>
          <t>AI Visualizer</t>
        </is>
      </c>
      <c r="E311" s="13" t="inlineStr">
        <is>
          <t>Start a design in a folder and render a sketch</t>
        </is>
      </c>
      <c r="F311" s="14" t="inlineStr">
        <is>
          <t>1. Clear the search, open the "Showroom ideas" folder, "New" › "Blank design"
2. Under "Add the first room" › "SAMPLE ROOMS" click "Kitchen sketch"
3. Press "Render from sketch" and wait
4. Press the back arrow</t>
        </is>
      </c>
      <c r="G311" s="14" t="inlineStr">
        <is>
          <t>An empty design opens with the chip "PERSONAL"; "This photo reads as a sketch. …"; "V1 · From sketch" is a kitchen photo; the folder holds your design.</t>
        </is>
      </c>
      <c r="H311" s="12" t="inlineStr">
        <is>
          <t>Different from 1.0: sketch to photo at every width</t>
        </is>
      </c>
      <c r="I311" s="11" t="inlineStr">
        <is>
          <t>Dane</t>
        </is>
      </c>
      <c r="J311" s="15" t="n"/>
      <c r="K311" s="15" t="n"/>
      <c r="L311" s="15" t="n"/>
      <c r="M311" s="16" t="n"/>
      <c r="N311" s="17" t="n"/>
      <c r="O311" s="17" t="n"/>
      <c r="P311" s="15" t="n"/>
    </row>
    <row r="312">
      <c r="A312" s="11" t="n">
        <v>13</v>
      </c>
      <c r="B312" s="11" t="inlineStr">
        <is>
          <t>13.27</t>
        </is>
      </c>
      <c r="C312" s="12" t="inlineStr">
        <is>
          <t>The studio’s library</t>
        </is>
      </c>
      <c r="D312" s="12" t="inlineStr">
        <is>
          <t>AI Visualizer</t>
        </is>
      </c>
      <c r="E312" s="13" t="inlineStr">
        <is>
          <t>Duplicate a design, delete the copy, find it again</t>
        </is>
      </c>
      <c r="F312" s="14" t="inlineStr">
        <is>
          <t>1. On your new design’s card open ⋮ › "Duplicate"
2. On the copy open ⋮ › "Delete", press "Delete", then "Undo"
3. Tick the copy’s box, press "Delete" in the bar and confirm
4. Open "More options" (⋮, top right) › "Deleted Designs"</t>
        </is>
      </c>
      <c r="G312" s="14" t="inlineStr">
        <is>
          <t>"Duplicated as a personal copy"; Undo brings the copy back ("… restored"); the bar offers "Move to Folder"; Deleted Designs lists the copy.</t>
        </is>
      </c>
      <c r="H312" s="12" t="inlineStr">
        <is>
          <t>Different from 1.0: delete has Undo and a Deleted list</t>
        </is>
      </c>
      <c r="I312" s="11" t="inlineStr">
        <is>
          <t>Dane</t>
        </is>
      </c>
      <c r="J312" s="15" t="n"/>
      <c r="K312" s="15" t="n"/>
      <c r="L312" s="15" t="n"/>
      <c r="M312" s="16" t="n"/>
      <c r="N312" s="17" t="n"/>
      <c r="O312" s="17" t="n"/>
      <c r="P312" s="15" t="n"/>
    </row>
    <row r="313">
      <c r="A313" s="11" t="n">
        <v>13</v>
      </c>
      <c r="B313" s="11" t="inlineStr">
        <is>
          <t>13.28</t>
        </is>
      </c>
      <c r="C313" s="12" t="inlineStr">
        <is>
          <t>The studio’s library</t>
        </is>
      </c>
      <c r="D313" s="12" t="inlineStr">
        <is>
          <t>Company</t>
        </is>
      </c>
      <c r="E313" s="13" t="inlineStr">
        <is>
          <t>Add the fluted panel to the studio’s materials</t>
        </is>
      </c>
      <c r="F313" s="14" t="inlineStr">
        <is>
          <t>1. Side navigation "Company" › "Materials", then "New" › "New material"
2. Press "Upload a photo", pick fluted-panel.jpg
3. "Name" (replace what is there) Fluted feature wall panel · "Category" Laminates · "Finish" Textured · "Price book item" Fluted feature wall panel
4. Press "Add material"</t>
        </is>
      </c>
      <c r="G313" s="14" t="inlineStr">
        <is>
          <t>"Material added"; its card shows the photo, "Laminates · Textured" and "Quoted as Fluted feature wall panel".</t>
        </is>
      </c>
      <c r="H313" s="12" t="inlineStr">
        <is>
          <t>Different from 1.0: a Company page, linked to the Price book</t>
        </is>
      </c>
      <c r="I313" s="11" t="inlineStr">
        <is>
          <t>Dane</t>
        </is>
      </c>
      <c r="J313" s="15" t="n"/>
      <c r="K313" s="15" t="n"/>
      <c r="L313" s="15" t="n"/>
      <c r="M313" s="16" t="n"/>
      <c r="N313" s="17" t="n"/>
      <c r="O313" s="17" t="n"/>
      <c r="P313" s="15" t="n"/>
    </row>
    <row r="314">
      <c r="A314" s="11" t="n">
        <v>13</v>
      </c>
      <c r="B314" s="11" t="inlineStr">
        <is>
          <t>13.29</t>
        </is>
      </c>
      <c r="C314" s="12" t="inlineStr">
        <is>
          <t>The studio’s library</t>
        </is>
      </c>
      <c r="D314" s="12" t="inlineStr">
        <is>
          <t>AI Visualizer</t>
        </is>
      </c>
      <c r="E314" s="13" t="inlineStr">
        <is>
          <t>Try a sample swatch in this design only</t>
        </is>
      </c>
      <c r="F314" s="14" t="inlineStr">
        <is>
          <t>1. "Tools" › "AI Visualizer" › "Sophia Wong"; click the "Living room" chip, then "Walls"
2. Press "Upload a swatch" and pick fluted-panel.jpg
3. In "Add a material" turn off "Save to the studio’s materials", press "Use in this design"</t>
        </is>
      </c>
      <c r="G314" s="14" t="inlineStr">
        <is>
          <t>The dialog shows the photo and "Renders as #…"; the change reads "Walls → fluted panel"; "YOUR STUDIO" lists it for this design.</t>
        </is>
      </c>
      <c r="H314" s="12" t="inlineStr">
        <is>
          <t>Same as 1.0</t>
        </is>
      </c>
      <c r="I314" s="11" t="inlineStr">
        <is>
          <t>Dane</t>
        </is>
      </c>
      <c r="J314" s="15" t="n"/>
      <c r="K314" s="15" t="n"/>
      <c r="L314" s="15" t="n"/>
      <c r="M314" s="16" t="n"/>
      <c r="N314" s="17" t="n"/>
      <c r="O314" s="17" t="n"/>
      <c r="P314" s="15" t="n"/>
    </row>
    <row r="315">
      <c r="A315" s="11" t="n">
        <v>13</v>
      </c>
      <c r="B315" s="11" t="inlineStr">
        <is>
          <t>13.30</t>
        </is>
      </c>
      <c r="C315" s="12" t="inlineStr">
        <is>
          <t>The studio’s library</t>
        </is>
      </c>
      <c r="D315" s="12" t="inlineStr">
        <is>
          <t>AI Visualizer</t>
        </is>
      </c>
      <c r="E315" s="13" t="inlineStr">
        <is>
          <t>Use the studio’s material and see it priced</t>
        </is>
      </c>
      <c r="F315" s="14" t="inlineStr">
        <is>
          <t>1. In the same picker search Fluted; click "Fluted feature wall panel" under "YOUR STUDIO"
2. Press "Generate"
3. On the new version open ⋮ › "Add to a quote…", read the lines, press "Cancel"</t>
        </is>
      </c>
      <c r="G315" s="14" t="inlineStr">
        <is>
          <t>The change reads "Walls → Fluted feature wall panel"; in the quote dialog that line says "Priced from the Price book" ("1 OF 2 PRICED").</t>
        </is>
      </c>
      <c r="H315" s="12" t="inlineStr">
        <is>
          <t>New in 2.0</t>
        </is>
      </c>
      <c r="I315" s="11" t="inlineStr">
        <is>
          <t>Dane</t>
        </is>
      </c>
      <c r="J315" s="15" t="n"/>
      <c r="K315" s="15" t="n"/>
      <c r="L315" s="15" t="n"/>
      <c r="M315" s="16" t="n"/>
      <c r="N315" s="17" t="n"/>
      <c r="O315" s="17" t="n"/>
      <c r="P315" s="15" t="n"/>
    </row>
    <row r="316">
      <c r="A316" s="11" t="n">
        <v>13</v>
      </c>
      <c r="B316" s="11" t="inlineStr">
        <is>
          <t>13.31</t>
        </is>
      </c>
      <c r="C316" s="12" t="inlineStr">
        <is>
          <t>The studio’s library</t>
        </is>
      </c>
      <c r="D316" s="12" t="inlineStr">
        <is>
          <t>AI Visualizer</t>
        </is>
      </c>
      <c r="E316" s="13" t="inlineStr">
        <is>
          <t>See what Kevin Ng’s client already said</t>
        </is>
      </c>
      <c r="F316" s="14" t="inlineStr">
        <is>
          <t>1. Back on the AI Visualizer page open "Kevin Ng", click the "Living room" chip
2. Click the version tile with the star, then the blue pin on the photo
3. Open "Style"; then "Surfaces" › "Walls"</t>
        </is>
      </c>
      <c r="G316" s="14" t="inlineStr">
        <is>
          <t>A starred favourite; his pin "Is the velvet easy to keep clean? We have a dog." has Dane’s reply; "Kevin’s style: Contemporary — Modern is the nearest …"; "SUGGESTED · MODERN".</t>
        </is>
      </c>
      <c r="H316" s="12" t="inlineStr">
        <is>
          <t>New in 2.0</t>
        </is>
      </c>
      <c r="I316" s="11" t="inlineStr">
        <is>
          <t>Dane</t>
        </is>
      </c>
      <c r="J316" s="15" t="n"/>
      <c r="K316" s="15" t="n"/>
      <c r="L316" s="15" t="n"/>
      <c r="M316" s="16" t="n"/>
      <c r="N316" s="17" t="n"/>
      <c r="O316" s="17" t="n"/>
      <c r="P316" s="15" t="n"/>
    </row>
    <row r="317">
      <c r="A317" s="11" t="n">
        <v>13</v>
      </c>
      <c r="B317" s="11" t="inlineStr">
        <is>
          <t>13.32</t>
        </is>
      </c>
      <c r="C317" s="12" t="inlineStr">
        <is>
          <t>On a phone</t>
        </is>
      </c>
      <c r="D317" s="12" t="inlineStr">
        <is>
          <t>Phone</t>
        </is>
      </c>
      <c r="E317" s="13" t="inlineStr">
        <is>
          <t>Change a finish on the phone</t>
        </is>
      </c>
      <c r="F317" s="14" t="inlineStr">
        <is>
          <t>1. On the phone (the "Network" address, as in chapter 12): bottom bar "Tools" › "AI Visualizer" › "Sophia Wong"
2. Tap "Surfaces" in the dock, tap "Walls", tap any paint (e.g. "Warm Greige")
3. Tap "Generate" above the dock
4. Tap "Tools" in the dock and look</t>
        </is>
      </c>
      <c r="G317" s="14" t="inlineStr">
        <is>
          <t>Room chips, photo, "VERSIONS", a five-mode dock; the panel rises; the bar counts "1 change"; a version lands; "Furnish the room" is greyed, saying why.</t>
        </is>
      </c>
      <c r="H317" s="12" t="inlineStr">
        <is>
          <t>Different from 1.0: every tool on a phone, furnish too</t>
        </is>
      </c>
      <c r="I317" s="11" t="inlineStr">
        <is>
          <t>Dane</t>
        </is>
      </c>
      <c r="J317" s="15" t="n"/>
      <c r="K317" s="15" t="n"/>
      <c r="L317" s="15" t="n"/>
      <c r="M317" s="16" t="n"/>
      <c r="N317" s="17" t="n"/>
      <c r="O317" s="17" t="n"/>
      <c r="P317" s="15" t="n"/>
    </row>
    <row r="318">
      <c r="A318" s="11" t="n">
        <v>13</v>
      </c>
      <c r="B318" s="11" t="inlineStr">
        <is>
          <t>13.33</t>
        </is>
      </c>
      <c r="C318" s="12" t="inlineStr">
        <is>
          <t>On a phone</t>
        </is>
      </c>
      <c r="D318" s="12" t="inlineStr">
        <is>
          <t>Phone</t>
        </is>
      </c>
      <c r="E318" s="13" t="inlineStr">
        <is>
          <t>Open Sophia’s link on the phone and compare</t>
        </is>
      </c>
      <c r="F318" s="14" t="inlineStr">
        <is>
          <t>1. In the design tap "Share with client" (the send icon)
2. Under "SHARED BEFORE" tap "Open the link" (↗)
3. On "Design 1" tap "Before and after" and drag the line with a finger</t>
        </is>
      </c>
      <c r="G318" s="14" t="inlineStr">
        <is>
          <t>Sophia’s page fits the phone; the line follows your finger; "Your favourite" still marks Design 1.</t>
        </is>
      </c>
      <c r="H318" s="12" t="inlineStr">
        <is>
          <t>Same as 1.0</t>
        </is>
      </c>
      <c r="I318" s="18" t="inlineStr">
        <is>
          <t>Sophia Wong (client)</t>
        </is>
      </c>
      <c r="J318" s="15" t="n"/>
      <c r="K318" s="15" t="n"/>
      <c r="L318" s="15" t="n"/>
      <c r="M318" s="16" t="n"/>
      <c r="N318" s="17" t="n"/>
      <c r="O318" s="17" t="n"/>
      <c r="P318" s="15" t="n"/>
    </row>
  </sheetData>
  <mergeCells count="14">
    <mergeCell ref="A183:P183"/>
    <mergeCell ref="A115:P115"/>
    <mergeCell ref="A14:P14"/>
    <mergeCell ref="A197:P197"/>
    <mergeCell ref="A91:P91"/>
    <mergeCell ref="A4:P4"/>
    <mergeCell ref="A224:P224"/>
    <mergeCell ref="A139:P139"/>
    <mergeCell ref="A240:P240"/>
    <mergeCell ref="A271:P271"/>
    <mergeCell ref="A285:P285"/>
    <mergeCell ref="A52:P52"/>
    <mergeCell ref="A257:P257"/>
    <mergeCell ref="A2:P2"/>
  </mergeCells>
  <conditionalFormatting sqref="J4:J318">
    <cfRule type="expression" priority="1" dxfId="0">
      <formula>$J4="✅ Works"</formula>
    </cfRule>
    <cfRule type="expression" priority="2" dxfId="1">
      <formula>$J4="🟡 Works, but…"</formula>
    </cfRule>
    <cfRule type="expression" priority="3" dxfId="2">
      <formula>$J4="❌ Doesn’t work"</formula>
    </cfRule>
    <cfRule type="expression" priority="4" dxfId="3">
      <formula>$J4="🔍 Couldn’t find it"</formula>
    </cfRule>
    <cfRule type="expression" priority="5" dxfId="4">
      <formula>$J4="⏭️ Skipped"</formula>
    </cfRule>
  </conditionalFormatting>
  <conditionalFormatting sqref="O4:O318">
    <cfRule type="expression" priority="6" dxfId="5">
      <formula>$O4="Fixed – please re-test"</formula>
    </cfRule>
  </conditionalFormatting>
  <dataValidations count="4">
    <dataValidation sqref="J4:J318" showDropDown="0" showInputMessage="0" showErrorMessage="1" allowBlank="1" errorTitle="Pick from the list" error="Pick one of the answers in the list." type="list">
      <formula1>='UAT · Lists'!$A$2:$A$6</formula1>
    </dataValidation>
    <dataValidation sqref="O4:O318" showDropDown="0" showInputMessage="0" showErrorMessage="1" allowBlank="1" errorTitle="Pick from the list" error="Pick one of the answers in the list." type="list">
      <formula1>='UAT · Lists'!$B$2:$B$6</formula1>
    </dataValidation>
    <dataValidation sqref="P4:P318" showDropDown="0" showInputMessage="0" showErrorMessage="1" allowBlank="1" errorTitle="Pick from the list" error="Pick one of the answers in the list." type="list">
      <formula1>='UAT · Lists'!$C$2:$C$3</formula1>
    </dataValidation>
    <dataValidation sqref="M4:M318" showDropDown="0" showInputMessage="0" showErrorMessage="0" allowBlank="1" type="date"/>
  </dataValidations>
  <pageMargins left="0.75" right="0.75" top="1" bottom="1" header="0.5" footer="0.5"/>
</worksheet>
</file>

<file path=xl/worksheets/sheet4.xml><?xml version="1.0" encoding="utf-8"?>
<worksheet xmlns="http://schemas.openxmlformats.org/spreadsheetml/2006/main">
  <sheetPr>
    <tabColor rgb="005500FF"/>
    <outlinePr summaryBelow="1" summaryRight="1"/>
    <pageSetUpPr/>
  </sheetPr>
  <dimension ref="A1:P318"/>
  <sheetViews>
    <sheetView zoomScale="100" workbookViewId="0">
      <pane xSplit="5" ySplit="3" topLeftCell="F4"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8" customWidth="1" min="3" max="3"/>
    <col width="12" customWidth="1" min="4" max="4"/>
    <col width="30" customWidth="1" min="5" max="5"/>
    <col width="46" customWidth="1" min="6" max="6"/>
    <col width="40" customWidth="1" min="7" max="7"/>
    <col width="22" customWidth="1" min="8" max="8"/>
    <col width="11" customWidth="1" min="9" max="9"/>
    <col width="18" customWidth="1" min="10" max="10"/>
    <col width="40" customWidth="1" min="11" max="11"/>
    <col width="18" customWidth="1" min="12" max="12"/>
    <col width="12" customWidth="1" min="13" max="13"/>
    <col width="30" customWidth="1" min="14" max="14"/>
    <col width="18" customWidth="1" min="15" max="15"/>
    <col width="15" customWidth="1" min="16" max="16"/>
  </cols>
  <sheetData>
    <row r="1">
      <c r="A1" s="6" t="inlineStr">
        <is>
          <t>Swati — the whole story, chapter by chapter</t>
        </is>
      </c>
    </row>
    <row r="2" ht="30" customHeight="1">
      <c r="A2" s="2" t="inlineStr">
        <is>
          <t>Go in order. Read “Try this”, follow “How”, compare with “You should see”, then pick a Result. Write in “What happened” only when it is not ✅. White columns are yours; grey columns are Vicky’s and Dane’s. See “UAT · Start here” first.</t>
        </is>
      </c>
    </row>
    <row r="3" ht="30" customHeight="1">
      <c r="A3" s="7" t="inlineStr">
        <is>
          <t>Ch</t>
        </is>
      </c>
      <c r="B3" s="7" t="inlineStr">
        <is>
          <t>Step</t>
        </is>
      </c>
      <c r="C3" s="7" t="inlineStr">
        <is>
          <t>Scene</t>
        </is>
      </c>
      <c r="D3" s="7" t="inlineStr">
        <is>
          <t>Module</t>
        </is>
      </c>
      <c r="E3" s="7" t="inlineStr">
        <is>
          <t>Try this</t>
        </is>
      </c>
      <c r="F3" s="7" t="inlineStr">
        <is>
          <t>How</t>
        </is>
      </c>
      <c r="G3" s="7" t="inlineStr">
        <is>
          <t>You should see</t>
        </is>
      </c>
      <c r="H3" s="7" t="inlineStr">
        <is>
          <t>In 1.0</t>
        </is>
      </c>
      <c r="I3" s="7" t="inlineStr">
        <is>
          <t>You are</t>
        </is>
      </c>
      <c r="J3" s="8" t="inlineStr">
        <is>
          <t>Result</t>
        </is>
      </c>
      <c r="K3" s="8" t="inlineStr">
        <is>
          <t>What happened (only if not ✅)</t>
        </is>
      </c>
      <c r="L3" s="8" t="inlineStr">
        <is>
          <t>Screenshot link</t>
        </is>
      </c>
      <c r="M3" s="8" t="inlineStr">
        <is>
          <t>Date tested</t>
        </is>
      </c>
      <c r="N3" s="7" t="inlineStr">
        <is>
          <t>Our reply</t>
        </is>
      </c>
      <c r="O3" s="7" t="inlineStr">
        <is>
          <t>Status</t>
        </is>
      </c>
      <c r="P3" s="8" t="inlineStr">
        <is>
          <t>Re-tested</t>
        </is>
      </c>
    </row>
    <row r="4" ht="22" customHeight="1">
      <c r="A4" s="9" t="inlineStr">
        <is>
          <t>Chapter 1 · First login — Look around your new workspace.</t>
        </is>
      </c>
      <c r="M4" s="10" t="n"/>
    </row>
    <row r="5">
      <c r="A5" s="11" t="n">
        <v>1</v>
      </c>
      <c r="B5" s="11" t="inlineStr">
        <is>
          <t>1.01</t>
        </is>
      </c>
      <c r="C5" s="12" t="inlineStr">
        <is>
          <t>Start fresh and look around</t>
        </is>
      </c>
      <c r="D5" s="12" t="inlineStr">
        <is>
          <t>Shell</t>
        </is>
      </c>
      <c r="E5" s="13" t="inlineStr">
        <is>
          <t>Start from the studio's day-one data</t>
        </is>
      </c>
      <c r="F5" s="14" t="inlineStr">
        <is>
          <t>1. Open http://localhost:3000
2. Click the ✦ "Maison AI" button, bottom right
3. Click "Reset prototype to base"
4. Click "Reset"</t>
        </is>
      </c>
      <c r="G5" s="14" t="inlineStr">
        <is>
          <t>A "Reset the prototype?" box warns that anything tried is lost; after "Reset" the Leads page reloads.</t>
        </is>
      </c>
      <c r="H5" s="12" t="inlineStr">
        <is>
          <t>New in 2.0</t>
        </is>
      </c>
      <c r="I5" s="11" t="inlineStr">
        <is>
          <t>Dane</t>
        </is>
      </c>
      <c r="J5" s="15" t="n"/>
      <c r="K5" s="15" t="n"/>
      <c r="L5" s="15" t="n"/>
      <c r="M5" s="16" t="n"/>
      <c r="N5" s="17" t="n"/>
      <c r="O5" s="17" t="n"/>
      <c r="P5" s="15" t="n"/>
    </row>
    <row r="6">
      <c r="A6" s="11" t="n">
        <v>1</v>
      </c>
      <c r="B6" s="11" t="inlineStr">
        <is>
          <t>1.02</t>
        </is>
      </c>
      <c r="C6" s="12" t="inlineStr">
        <is>
          <t>Start fresh and look around</t>
        </is>
      </c>
      <c r="D6" s="12" t="inlineStr">
        <is>
          <t>Shell</t>
        </is>
      </c>
      <c r="E6" s="13" t="inlineStr">
        <is>
          <t>Find your way around the side navigation</t>
        </is>
      </c>
      <c r="F6" s="14" t="inlineStr">
        <is>
          <t>1. Point at the logo, top left, and click "Expand navigation"
2. Read the items from top to bottom
3. Click "Collapse navigation"</t>
        </is>
      </c>
      <c r="G6" s="14" t="inlineStr">
        <is>
          <t>Search ("/"), Dashboard, Tasks, Projects, Leads, Marketplace, Company, Qanvast Ops; then Upgrade, Tools, Chat, Notifications, Settings; Demo Studio at the bottom.</t>
        </is>
      </c>
      <c r="H6" s="12" t="inlineStr">
        <is>
          <t>Different from 1.0: Settings in the side navigation, not the profile menu</t>
        </is>
      </c>
      <c r="I6" s="11" t="inlineStr">
        <is>
          <t>Dane</t>
        </is>
      </c>
      <c r="J6" s="15" t="n"/>
      <c r="K6" s="15" t="n"/>
      <c r="L6" s="15" t="n"/>
      <c r="M6" s="16" t="n"/>
      <c r="N6" s="17" t="n"/>
      <c r="O6" s="17" t="n"/>
      <c r="P6" s="15" t="n"/>
    </row>
    <row r="7">
      <c r="A7" s="11" t="n">
        <v>1</v>
      </c>
      <c r="B7" s="11" t="inlineStr">
        <is>
          <t>1.03</t>
        </is>
      </c>
      <c r="C7" s="12" t="inlineStr">
        <is>
          <t>Your leads at a glance</t>
        </is>
      </c>
      <c r="D7" s="12" t="inlineStr">
        <is>
          <t>Leads</t>
        </is>
      </c>
      <c r="E7" s="13" t="inlineStr">
        <is>
          <t>See the studio's leads at a glance</t>
        </is>
      </c>
      <c r="F7" s="14" t="inlineStr">
        <is>
          <t>1. Click "Leads" in the side navigation
2. Look at the chip above the table, the rows and the bottom of the screen</t>
        </is>
      </c>
      <c r="G7" s="14" t="inlineStr">
        <is>
          <t>The chip reads "All Leads (27)"; unopened new leads (Marcus Chen, Nur Aisyah) have a coloured left edge; a "Review imported leads" bar waits below.</t>
        </is>
      </c>
      <c r="H7" s="12" t="inlineStr">
        <is>
          <t>Different from 1.0: unopened new leads are marked</t>
        </is>
      </c>
      <c r="I7" s="11" t="inlineStr">
        <is>
          <t>Dane</t>
        </is>
      </c>
      <c r="J7" s="15" t="n"/>
      <c r="K7" s="15" t="n"/>
      <c r="L7" s="15" t="n"/>
      <c r="M7" s="16" t="n"/>
      <c r="N7" s="17" t="n"/>
      <c r="O7" s="17" t="n"/>
      <c r="P7" s="15" t="n"/>
    </row>
    <row r="8">
      <c r="A8" s="11" t="n">
        <v>1</v>
      </c>
      <c r="B8" s="11" t="inlineStr">
        <is>
          <t>1.04</t>
        </is>
      </c>
      <c r="C8" s="12" t="inlineStr">
        <is>
          <t>Your leads at a glance</t>
        </is>
      </c>
      <c r="D8" s="12" t="inlineStr">
        <is>
          <t>Leads</t>
        </is>
      </c>
      <c r="E8" s="13" t="inlineStr">
        <is>
          <t>Find a lead fast with the / key</t>
        </is>
      </c>
      <c r="F8" s="14" t="inlineStr">
        <is>
          <t>1. On Leads, press the / key
2. Type Kenji
3. Clear the search box</t>
        </is>
      </c>
      <c r="G8" s="14" t="inlineStr">
        <is>
          <t>The search box takes the cursor; only Kenji Sato stays in the list; clearing the box brings everyone back.</t>
        </is>
      </c>
      <c r="H8" s="12" t="inlineStr">
        <is>
          <t>Same as 1.0</t>
        </is>
      </c>
      <c r="I8" s="11" t="inlineStr">
        <is>
          <t>Dane</t>
        </is>
      </c>
      <c r="J8" s="15" t="n"/>
      <c r="K8" s="15" t="n"/>
      <c r="L8" s="15" t="n"/>
      <c r="M8" s="16" t="n"/>
      <c r="N8" s="17" t="n"/>
      <c r="O8" s="17" t="n"/>
      <c r="P8" s="15" t="n"/>
    </row>
    <row r="9">
      <c r="A9" s="11" t="n">
        <v>1</v>
      </c>
      <c r="B9" s="11" t="inlineStr">
        <is>
          <t>1.05</t>
        </is>
      </c>
      <c r="C9" s="12" t="inlineStr">
        <is>
          <t>Your leads at a glance</t>
        </is>
      </c>
      <c r="D9" s="12" t="inlineStr">
        <is>
          <t>Leads</t>
        </is>
      </c>
      <c r="E9" s="13" t="inlineStr">
        <is>
          <t>Try editing the lead stages</t>
        </is>
      </c>
      <c r="F9" s="14" t="inlineStr">
        <is>
          <t>1. Click the "All Leads (27)" chip
2. Read the stage list
3. Click "Manage Stages"</t>
        </is>
      </c>
      <c r="G9" s="14" t="inlineStr">
        <is>
          <t>Each stage is listed with its count under Active and Inactive; "Manage Stages" answers "Coming soon in OpenMaison 2.0".</t>
        </is>
      </c>
      <c r="H9" s="12" t="inlineStr">
        <is>
          <t>Different from 1.0: stages are fixed; 1.0 edited its funnel</t>
        </is>
      </c>
      <c r="I9" s="11" t="inlineStr">
        <is>
          <t>Dane</t>
        </is>
      </c>
      <c r="J9" s="15" t="n"/>
      <c r="K9" s="15" t="n"/>
      <c r="L9" s="15" t="n"/>
      <c r="M9" s="16" t="n"/>
      <c r="N9" s="17" t="n"/>
      <c r="O9" s="17" t="n"/>
      <c r="P9" s="15" t="n"/>
    </row>
    <row r="10">
      <c r="A10" s="11" t="n">
        <v>1</v>
      </c>
      <c r="B10" s="11" t="inlineStr">
        <is>
          <t>1.06</t>
        </is>
      </c>
      <c r="C10" s="12" t="inlineStr">
        <is>
          <t>Where everything else lives</t>
        </is>
      </c>
      <c r="D10" s="12" t="inlineStr">
        <is>
          <t>Shell</t>
        </is>
      </c>
      <c r="E10" s="13" t="inlineStr">
        <is>
          <t>See the tools the studio can use</t>
        </is>
      </c>
      <c r="F10" s="14" t="inlineStr">
        <is>
          <t>1. Click "Tools" in the side navigation
2. Read the tiles
3. Click "AI Visualizer"</t>
        </is>
      </c>
      <c r="G10" s="14" t="inlineStr">
        <is>
          <t>Nine tiles, starting with Quotes, Quote X-Ray and Contracts; "AI Visualizer" opens the AI Visualizer — Kevin Ng's design and the "Showroom ideas" folder (REG-673).</t>
        </is>
      </c>
      <c r="H10" s="12" t="inlineStr">
        <is>
          <t>Same as 1.0</t>
        </is>
      </c>
      <c r="I10" s="11" t="inlineStr">
        <is>
          <t>Dane</t>
        </is>
      </c>
      <c r="J10" s="15" t="n"/>
      <c r="K10" s="15" t="n"/>
      <c r="L10" s="15" t="n"/>
      <c r="M10" s="16" t="n"/>
      <c r="N10" s="17" t="n"/>
      <c r="O10" s="17" t="n"/>
      <c r="P10" s="15" t="n"/>
    </row>
    <row r="11">
      <c r="A11" s="11" t="n">
        <v>1</v>
      </c>
      <c r="B11" s="11" t="inlineStr">
        <is>
          <t>1.07</t>
        </is>
      </c>
      <c r="C11" s="12" t="inlineStr">
        <is>
          <t>Where everything else lives</t>
        </is>
      </c>
      <c r="D11" s="12" t="inlineStr">
        <is>
          <t>Company</t>
        </is>
      </c>
      <c r="E11" s="13" t="inlineStr">
        <is>
          <t>See where the studio's records are kept</t>
        </is>
      </c>
      <c r="F11" s="14" t="inlineStr">
        <is>
          <t>1. Click "Company" in the side navigation
2. Read the two groups
3. Press Esc</t>
        </is>
      </c>
      <c r="G11" s="14" t="inlineStr">
        <is>
          <t>"Studio": Profile, Members, Questionnaire, Templates ("1 awaiting"), Price book ("1 proposed"). "Operations": Finance and Reports marked "Soon", Integrations.</t>
        </is>
      </c>
      <c r="H11" s="12" t="inlineStr">
        <is>
          <t>Different from 1.0: records under Company, rules under Settings</t>
        </is>
      </c>
      <c r="I11" s="11" t="inlineStr">
        <is>
          <t>Dane</t>
        </is>
      </c>
      <c r="J11" s="15" t="n"/>
      <c r="K11" s="15" t="n"/>
      <c r="L11" s="15" t="n"/>
      <c r="M11" s="16" t="n"/>
      <c r="N11" s="17" t="n"/>
      <c r="O11" s="17" t="n"/>
      <c r="P11" s="15" t="n"/>
    </row>
    <row r="12">
      <c r="A12" s="11" t="n">
        <v>1</v>
      </c>
      <c r="B12" s="11" t="inlineStr">
        <is>
          <t>1.08</t>
        </is>
      </c>
      <c r="C12" s="12" t="inlineStr">
        <is>
          <t>Where everything else lives</t>
        </is>
      </c>
      <c r="D12" s="12" t="inlineStr">
        <is>
          <t>Notifications</t>
        </is>
      </c>
      <c r="E12" s="13" t="inlineStr">
        <is>
          <t>Check what is waiting for you in the bell</t>
        </is>
      </c>
      <c r="F12" s="14" t="inlineStr">
        <is>
          <t>1. Click "Notifications" (the bell) in the side navigation
2. Read the list
3. Close it without clicking a row</t>
        </is>
      </c>
      <c r="G12" s="14" t="inlineStr">
        <is>
          <t>A "Notifications" panel lists notices newest first, e.g. "New lead: Nur Aisyah"; unread ones have a dot; "Notification settings" sits at the foot.</t>
        </is>
      </c>
      <c r="H12" s="12" t="inlineStr">
        <is>
          <t>Different from 1.0: follow-ups due appear in the same list</t>
        </is>
      </c>
      <c r="I12" s="11" t="inlineStr">
        <is>
          <t>Dane</t>
        </is>
      </c>
      <c r="J12" s="15" t="n"/>
      <c r="K12" s="15" t="n"/>
      <c r="L12" s="15" t="n"/>
      <c r="M12" s="16" t="n"/>
      <c r="N12" s="17" t="n"/>
      <c r="O12" s="17" t="n"/>
      <c r="P12" s="15" t="n"/>
    </row>
    <row r="13">
      <c r="A13" s="11" t="n">
        <v>1</v>
      </c>
      <c r="B13" s="11" t="inlineStr">
        <is>
          <t>1.09</t>
        </is>
      </c>
      <c r="C13" s="12" t="inlineStr">
        <is>
          <t>Where everything else lives</t>
        </is>
      </c>
      <c r="D13" s="12" t="inlineStr">
        <is>
          <t>Shell</t>
        </is>
      </c>
      <c r="E13" s="13" t="inlineStr">
        <is>
          <t>Ask Maison AI for help on the Leads page</t>
        </is>
      </c>
      <c r="F13" s="14" t="inlineStr">
        <is>
          <t>1. On Leads, click the ✦ "Maison AI" button
2. Read the suggestions
3. Click "Which leads need follow-up today?"</t>
        </is>
      </c>
      <c r="G13" s="14" t="inlineStr">
        <is>
          <t>Suggestions about your leads sit above "Reset prototype to base"; picking one answers "Coming soon in OpenMaison 2.0".</t>
        </is>
      </c>
      <c r="H13" s="12" t="inlineStr">
        <is>
          <t>Different from 1.0: scripted suggestions only, in the prototype</t>
        </is>
      </c>
      <c r="I13" s="11" t="inlineStr">
        <is>
          <t>Dane</t>
        </is>
      </c>
      <c r="J13" s="15" t="n"/>
      <c r="K13" s="15" t="n"/>
      <c r="L13" s="15" t="n"/>
      <c r="M13" s="16" t="n"/>
      <c r="N13" s="17" t="n"/>
      <c r="O13" s="17" t="n"/>
      <c r="P13" s="15" t="n"/>
    </row>
    <row r="14" ht="22" customHeight="1">
      <c r="A14" s="9" t="inlineStr">
        <is>
          <t>Chapter 2 · Set up your studio — Company details, your team and the studio’s rules.</t>
        </is>
      </c>
      <c r="M14" s="10" t="n"/>
    </row>
    <row r="15">
      <c r="A15" s="11" t="n">
        <v>2</v>
      </c>
      <c r="B15" s="11" t="inlineStr">
        <is>
          <t>2.01</t>
        </is>
      </c>
      <c r="C15" s="12" t="inlineStr">
        <is>
          <t>Your company on paper</t>
        </is>
      </c>
      <c r="D15" s="12" t="inlineStr">
        <is>
          <t>Company</t>
        </is>
      </c>
      <c r="E15" s="13" t="inlineStr">
        <is>
          <t>Open your company's profile</t>
        </is>
      </c>
      <c r="F15" s="14" t="inlineStr">
        <is>
          <t>1. Click "Company" in the side navigation
2. Click "Profile"</t>
        </is>
      </c>
      <c r="G15" s="14" t="inlineStr">
        <is>
          <t>"Company details" shows Demo Studio Pte Ltd, its UEN and address; the right side shows "Default template · Default Quote PDF".</t>
        </is>
      </c>
      <c r="H15" s="12" t="inlineStr">
        <is>
          <t>Different from 1.0: company records live under Company, not Accounts</t>
        </is>
      </c>
      <c r="I15" s="11" t="inlineStr">
        <is>
          <t>Dane</t>
        </is>
      </c>
      <c r="J15" s="15" t="n"/>
      <c r="K15" s="15" t="n"/>
      <c r="L15" s="15" t="n"/>
      <c r="M15" s="16" t="n"/>
      <c r="N15" s="17" t="n"/>
      <c r="O15" s="17" t="n"/>
      <c r="P15" s="15" t="n"/>
    </row>
    <row r="16">
      <c r="A16" s="11" t="n">
        <v>2</v>
      </c>
      <c r="B16" s="11" t="inlineStr">
        <is>
          <t>2.02</t>
        </is>
      </c>
      <c r="C16" s="12" t="inlineStr">
        <is>
          <t>Your company on paper</t>
        </is>
      </c>
      <c r="D16" s="12" t="inlineStr">
        <is>
          <t>Company</t>
        </is>
      </c>
      <c r="E16" s="13" t="inlineStr">
        <is>
          <t>Add a tagline and your Instagram handle</t>
        </is>
      </c>
      <c r="F16" s="14" t="inlineStr">
        <is>
          <t>1. In "Tagline" type Homes that feel like you
2. Under "Social links", in "Instagram" type @demostudio.sg
3. Click "Save changes"</t>
        </is>
      </c>
      <c r="G16" s="14" t="inlineStr">
        <is>
          <t>A message says "Company details saved"; "Save changes" and "Discard" grey out until you change something again.</t>
        </is>
      </c>
      <c r="H16" s="12" t="inlineStr">
        <is>
          <t>Same as 1.0</t>
        </is>
      </c>
      <c r="I16" s="11" t="inlineStr">
        <is>
          <t>Dane</t>
        </is>
      </c>
      <c r="J16" s="15" t="n"/>
      <c r="K16" s="15" t="n"/>
      <c r="L16" s="15" t="n"/>
      <c r="M16" s="16" t="n"/>
      <c r="N16" s="17" t="n"/>
      <c r="O16" s="17" t="n"/>
      <c r="P16" s="15" t="n"/>
    </row>
    <row r="17">
      <c r="A17" s="11" t="n">
        <v>2</v>
      </c>
      <c r="B17" s="11" t="inlineStr">
        <is>
          <t>2.03</t>
        </is>
      </c>
      <c r="C17" s="12" t="inlineStr">
        <is>
          <t>Your company on paper</t>
        </is>
      </c>
      <c r="D17" s="12" t="inlineStr">
        <is>
          <t>Company</t>
        </is>
      </c>
      <c r="E17" s="13" t="inlineStr">
        <is>
          <t>Put the studio's bank account and PayNow on file</t>
        </is>
      </c>
      <c r="F17" s="14" t="inlineStr">
        <is>
          <t>1. Scroll to "Issuing entities &amp; bank details"
2. For Demo Studio Pte Ltd fill "Bank" DBS Bank, "Account number" 072-123456-7, "SWIFT / BIC" DBSSSGSG, "PayNow (UEN or mobile)" 201234567M
3. Click the "PayNow QR" box and pick paynow-qr.png
4. Click "Save changes"</t>
        </is>
      </c>
      <c r="G17" s="14" t="inlineStr">
        <is>
          <t>"PayNow QR added", then "Company details saved"; a QR code now sits in the box beside the bank fields.</t>
        </is>
      </c>
      <c r="H17" s="12" t="inlineStr">
        <is>
          <t>Same as 1.0</t>
        </is>
      </c>
      <c r="I17" s="11" t="inlineStr">
        <is>
          <t>Dane</t>
        </is>
      </c>
      <c r="J17" s="15" t="n"/>
      <c r="K17" s="15" t="n"/>
      <c r="L17" s="15" t="n"/>
      <c r="M17" s="16" t="n"/>
      <c r="N17" s="17" t="n"/>
      <c r="O17" s="17" t="n"/>
      <c r="P17" s="15" t="n"/>
    </row>
    <row r="18">
      <c r="A18" s="11" t="n">
        <v>2</v>
      </c>
      <c r="B18" s="11" t="inlineStr">
        <is>
          <t>2.04</t>
        </is>
      </c>
      <c r="C18" s="12" t="inlineStr">
        <is>
          <t>Your company on paper</t>
        </is>
      </c>
      <c r="D18" s="12" t="inlineStr">
        <is>
          <t>Company</t>
        </is>
      </c>
      <c r="E18" s="13" t="inlineStr">
        <is>
          <t>Add a second company you issue quotes under</t>
        </is>
      </c>
      <c r="F18" s="14" t="inlineStr">
        <is>
          <t>1. Click "Add an entity"
2. "Entity name": Demo Studio Carpentry Pte Ltd
3. Switch off "GST-registered"; under "Letterhead" fill "UEN / Co. Reg. No." 202512345K
4. Click "Save changes"</t>
        </is>
      </c>
      <c r="G18" s="14" t="inlineStr">
        <is>
          <t>"Company details saved". The new company has its own bank, PayNow and letterhead fields, and a bin to remove it, since nothing uses it yet.</t>
        </is>
      </c>
      <c r="H18" s="12" t="inlineStr">
        <is>
          <t>Different from 1.0: an entity in use is retired, never deleted</t>
        </is>
      </c>
      <c r="I18" s="11" t="inlineStr">
        <is>
          <t>Dane</t>
        </is>
      </c>
      <c r="J18" s="15" t="n"/>
      <c r="K18" s="15" t="n"/>
      <c r="L18" s="15" t="n"/>
      <c r="M18" s="16" t="n"/>
      <c r="N18" s="17" t="n"/>
      <c r="O18" s="17" t="n"/>
      <c r="P18" s="15" t="n"/>
    </row>
    <row r="19">
      <c r="A19" s="11" t="n">
        <v>2</v>
      </c>
      <c r="B19" s="11" t="inlineStr">
        <is>
          <t>2.05</t>
        </is>
      </c>
      <c r="C19" s="12" t="inlineStr">
        <is>
          <t>Your company on paper</t>
        </is>
      </c>
      <c r="D19" s="12" t="inlineStr">
        <is>
          <t>Company</t>
        </is>
      </c>
      <c r="E19" s="13" t="inlineStr">
        <is>
          <t>Look at the brand kit every template starts from</t>
        </is>
      </c>
      <c r="F19" s="14" t="inlineStr">
        <is>
          <t>1. At the bottom of Profile, click "Brand kit"
2. Read the page without changing anything</t>
        </is>
      </c>
      <c r="G19" s="14" t="inlineStr">
        <is>
          <t>"Templates" opens on its "Brand kit" tab: "Logo and marks", "Colours" and "Fonts", with the default template's first page on the right.</t>
        </is>
      </c>
      <c r="H19" s="12" t="inlineStr">
        <is>
          <t>Different from 1.0: one kit every template starts from</t>
        </is>
      </c>
      <c r="I19" s="11" t="inlineStr">
        <is>
          <t>Dane</t>
        </is>
      </c>
      <c r="J19" s="15" t="n"/>
      <c r="K19" s="15" t="n"/>
      <c r="L19" s="15" t="n"/>
      <c r="M19" s="16" t="n"/>
      <c r="N19" s="17" t="n"/>
      <c r="O19" s="17" t="n"/>
      <c r="P19" s="15" t="n"/>
    </row>
    <row r="20">
      <c r="A20" s="11" t="n">
        <v>2</v>
      </c>
      <c r="B20" s="11" t="inlineStr">
        <is>
          <t>2.06</t>
        </is>
      </c>
      <c r="C20" s="12" t="inlineStr">
        <is>
          <t>Your team</t>
        </is>
      </c>
      <c r="D20" s="12" t="inlineStr">
        <is>
          <t>Company</t>
        </is>
      </c>
      <c r="E20" s="13" t="inlineStr">
        <is>
          <t>See who works in the studio and their roles</t>
        </is>
      </c>
      <c r="F20" s="14" t="inlineStr">
        <is>
          <t>1. Click "Company" in the side navigation
2. Click "Members"</t>
        </is>
      </c>
      <c r="G20" s="14" t="inlineStr">
        <is>
          <t>"People and roles": Dane (you) is the Owner; James is a Manager with "Team: Michelle, Sarah"; every row has a role and a lead count.</t>
        </is>
      </c>
      <c r="H20" s="12" t="inlineStr">
        <is>
          <t>Same as 1.0</t>
        </is>
      </c>
      <c r="I20" s="11" t="inlineStr">
        <is>
          <t>Dane</t>
        </is>
      </c>
      <c r="J20" s="15" t="n"/>
      <c r="K20" s="15" t="n"/>
      <c r="L20" s="15" t="n"/>
      <c r="M20" s="16" t="n"/>
      <c r="N20" s="17" t="n"/>
      <c r="O20" s="17" t="n"/>
      <c r="P20" s="15" t="n"/>
    </row>
    <row r="21">
      <c r="A21" s="11" t="n">
        <v>2</v>
      </c>
      <c r="B21" s="11" t="inlineStr">
        <is>
          <t>2.07</t>
        </is>
      </c>
      <c r="C21" s="12" t="inlineStr">
        <is>
          <t>Your team</t>
        </is>
      </c>
      <c r="D21" s="12" t="inlineStr">
        <is>
          <t>Company</t>
        </is>
      </c>
      <c r="E21" s="13" t="inlineStr">
        <is>
          <t>Add a new designer to the team</t>
        </is>
      </c>
      <c r="F21" s="14" t="inlineStr">
        <is>
          <t>1. Click "Add member"
2. "Name": Kavya Menon · "Role": Designer · "Phone": 9123 4567 · "Email": kavya@demostudio.sg
3. Click "Add member"</t>
        </is>
      </c>
      <c r="G21" s="14" t="inlineStr">
        <is>
          <t>"Kavya Menon added as a Designer"; she appears among the designers with "0 leads".</t>
        </is>
      </c>
      <c r="H21" s="12" t="inlineStr">
        <is>
          <t>Different from 1.0: 1.0 only emailed a request to OpenMaison</t>
        </is>
      </c>
      <c r="I21" s="11" t="inlineStr">
        <is>
          <t>Dane</t>
        </is>
      </c>
      <c r="J21" s="15" t="n"/>
      <c r="K21" s="15" t="n"/>
      <c r="L21" s="15" t="n"/>
      <c r="M21" s="16" t="n"/>
      <c r="N21" s="17" t="n"/>
      <c r="O21" s="17" t="n"/>
      <c r="P21" s="15" t="n"/>
    </row>
    <row r="22">
      <c r="A22" s="11" t="n">
        <v>2</v>
      </c>
      <c r="B22" s="11" t="inlineStr">
        <is>
          <t>2.08</t>
        </is>
      </c>
      <c r="C22" s="12" t="inlineStr">
        <is>
          <t>Your team</t>
        </is>
      </c>
      <c r="D22" s="12" t="inlineStr">
        <is>
          <t>Company</t>
        </is>
      </c>
      <c r="E22" s="13" t="inlineStr">
        <is>
          <t>Put Kavya in James's team</t>
        </is>
      </c>
      <c r="F22" s="14" t="inlineStr">
        <is>
          <t>1. In Kavya's row open "Reports to"
2. Pick James</t>
        </is>
      </c>
      <c r="G22" s="14" t="inlineStr">
        <is>
          <t>"Kavya Menon now reports to James"; James's row now reads "Team: Kavya Menon, Michelle, Sarah".</t>
        </is>
      </c>
      <c r="H22" s="12" t="inlineStr">
        <is>
          <t>Different from 1.0: every studio can have managers</t>
        </is>
      </c>
      <c r="I22" s="11" t="inlineStr">
        <is>
          <t>Dane</t>
        </is>
      </c>
      <c r="J22" s="15" t="n"/>
      <c r="K22" s="15" t="n"/>
      <c r="L22" s="15" t="n"/>
      <c r="M22" s="16" t="n"/>
      <c r="N22" s="17" t="n"/>
      <c r="O22" s="17" t="n"/>
      <c r="P22" s="15" t="n"/>
    </row>
    <row r="23">
      <c r="A23" s="11" t="n">
        <v>2</v>
      </c>
      <c r="B23" s="11" t="inlineStr">
        <is>
          <t>2.09</t>
        </is>
      </c>
      <c r="C23" s="12" t="inlineStr">
        <is>
          <t>Your team</t>
        </is>
      </c>
      <c r="D23" s="12" t="inlineStr">
        <is>
          <t>Company</t>
        </is>
      </c>
      <c r="E23" s="13" t="inlineStr">
        <is>
          <t>Tell the studio which leads Kavya should get</t>
        </is>
      </c>
      <c r="F23" s="14" t="inlineStr">
        <is>
          <t>1. In Kavya's row click "Preferences"
2. "Specialty": Condo kitchens
3. Beside "Property type" set "Priority" to "Must match", then pick the "Condo 3-bedder" chip
4. Click "Save preferences"</t>
        </is>
      </c>
      <c r="G23" s="14" t="inlineStr">
        <is>
          <t>"Lead preferences saved"; her row reads "Condo kitchens · Condo 3-bedder (must)".</t>
        </is>
      </c>
      <c r="H23" s="12" t="inlineStr">
        <is>
          <t>Different from 1.0: four categories; Scope is left out</t>
        </is>
      </c>
      <c r="I23" s="11" t="inlineStr">
        <is>
          <t>Dane</t>
        </is>
      </c>
      <c r="J23" s="15" t="n"/>
      <c r="K23" s="15" t="n"/>
      <c r="L23" s="15" t="n"/>
      <c r="M23" s="16" t="n"/>
      <c r="N23" s="17" t="n"/>
      <c r="O23" s="17" t="n"/>
      <c r="P23" s="15" t="n"/>
    </row>
    <row r="24">
      <c r="A24" s="11" t="n">
        <v>2</v>
      </c>
      <c r="B24" s="11" t="inlineStr">
        <is>
          <t>2.10</t>
        </is>
      </c>
      <c r="C24" s="12" t="inlineStr">
        <is>
          <t>Your team</t>
        </is>
      </c>
      <c r="D24" s="12" t="inlineStr">
        <is>
          <t>Company</t>
        </is>
      </c>
      <c r="E24" s="13" t="inlineStr">
        <is>
          <t>Stop new leads going to Kavya for now</t>
        </is>
      </c>
      <c r="F24" s="14" t="inlineStr">
        <is>
          <t>1. In Kavya's row switch off "Open to new leads"</t>
        </is>
      </c>
      <c r="G24" s="14" t="inlineStr">
        <is>
          <t>"Kavya Menon is closed to new leads"; a yellow "Closed to new leads" tag appears on her row.</t>
        </is>
      </c>
      <c r="H24" s="12" t="inlineStr">
        <is>
          <t>Same as 1.0</t>
        </is>
      </c>
      <c r="I24" s="11" t="inlineStr">
        <is>
          <t>Dane</t>
        </is>
      </c>
      <c r="J24" s="15" t="n"/>
      <c r="K24" s="15" t="n"/>
      <c r="L24" s="15" t="n"/>
      <c r="M24" s="16" t="n"/>
      <c r="N24" s="17" t="n"/>
      <c r="O24" s="17" t="n"/>
      <c r="P24" s="15" t="n"/>
    </row>
    <row r="25">
      <c r="A25" s="11" t="n">
        <v>2</v>
      </c>
      <c r="B25" s="11" t="inlineStr">
        <is>
          <t>2.11</t>
        </is>
      </c>
      <c r="C25" s="12" t="inlineStr">
        <is>
          <t>Your team</t>
        </is>
      </c>
      <c r="D25" s="12" t="inlineStr">
        <is>
          <t>Company</t>
        </is>
      </c>
      <c r="E25" s="13" t="inlineStr">
        <is>
          <t>Try to change your own role</t>
        </is>
      </c>
      <c r="F25" s="14" t="inlineStr">
        <is>
          <t>1. On your own row (Dane), point at the "Role" box</t>
        </is>
      </c>
      <c r="G25" s="14" t="inlineStr">
        <is>
          <t>The box is greyed out and a tip says "Nobody changes their own role".</t>
        </is>
      </c>
      <c r="H25" s="12" t="inlineStr">
        <is>
          <t>Different from 1.0: the rule is enforced, not just hidden</t>
        </is>
      </c>
      <c r="I25" s="11" t="inlineStr">
        <is>
          <t>Dane</t>
        </is>
      </c>
      <c r="J25" s="15" t="n"/>
      <c r="K25" s="15" t="n"/>
      <c r="L25" s="15" t="n"/>
      <c r="M25" s="16" t="n"/>
      <c r="N25" s="17" t="n"/>
      <c r="O25" s="17" t="n"/>
      <c r="P25" s="15" t="n"/>
    </row>
    <row r="26">
      <c r="A26" s="11" t="n">
        <v>2</v>
      </c>
      <c r="B26" s="11" t="inlineStr">
        <is>
          <t>2.12</t>
        </is>
      </c>
      <c r="C26" s="12" t="inlineStr">
        <is>
          <t>Your team</t>
        </is>
      </c>
      <c r="D26" s="12" t="inlineStr">
        <is>
          <t>Company</t>
        </is>
      </c>
      <c r="E26" s="13" t="inlineStr">
        <is>
          <t>Deactivate Kavya, then change your mind</t>
        </is>
      </c>
      <c r="F26" s="14" t="inlineStr">
        <is>
          <t>1. In Kavya's row click "Deactivate"
2. Read the box, then click "Deactivate"
3. Click "Undo" in the message at the bottom</t>
        </is>
      </c>
      <c r="G26" s="14" t="inlineStr">
        <is>
          <t>The box says she leaves every picker and "Nothing open is on their name." After Undo: "Kavya Menon is back", still in James's team.</t>
        </is>
      </c>
      <c r="H26" s="12" t="inlineStr">
        <is>
          <t>Different from 1.0: open work is named first, and Undo</t>
        </is>
      </c>
      <c r="I26" s="11" t="inlineStr">
        <is>
          <t>Dane</t>
        </is>
      </c>
      <c r="J26" s="15" t="n"/>
      <c r="K26" s="15" t="n"/>
      <c r="L26" s="15" t="n"/>
      <c r="M26" s="16" t="n"/>
      <c r="N26" s="17" t="n"/>
      <c r="O26" s="17" t="n"/>
      <c r="P26" s="15" t="n"/>
    </row>
    <row r="27">
      <c r="A27" s="11" t="n">
        <v>2</v>
      </c>
      <c r="B27" s="11" t="inlineStr">
        <is>
          <t>2.13</t>
        </is>
      </c>
      <c r="C27" s="12" t="inlineStr">
        <is>
          <t>Your team</t>
        </is>
      </c>
      <c r="D27" s="12" t="inlineStr">
        <is>
          <t>Company</t>
        </is>
      </c>
      <c r="E27" s="13" t="inlineStr">
        <is>
          <t>Deactivate Kavya, then bring her back</t>
        </is>
      </c>
      <c r="F27" s="14" t="inlineStr">
        <is>
          <t>1. Click "Deactivate" on her row, then "Deactivate" in the box
2. Find her under "Deactivated"
3. Click "Reactivate"</t>
        </is>
      </c>
      <c r="G27" s="14" t="inlineStr">
        <is>
          <t>"Deactivated" lists her as "Designer · deactivated" today; Reactivate says "Kavya Menon reactivated — back in every picker".</t>
        </is>
      </c>
      <c r="H27" s="12" t="inlineStr">
        <is>
          <t>New in 2.0</t>
        </is>
      </c>
      <c r="I27" s="11" t="inlineStr">
        <is>
          <t>Dane</t>
        </is>
      </c>
      <c r="J27" s="15" t="n"/>
      <c r="K27" s="15" t="n"/>
      <c r="L27" s="15" t="n"/>
      <c r="M27" s="16" t="n"/>
      <c r="N27" s="17" t="n"/>
      <c r="O27" s="17" t="n"/>
      <c r="P27" s="15" t="n"/>
    </row>
    <row r="28">
      <c r="A28" s="11" t="n">
        <v>2</v>
      </c>
      <c r="B28" s="11" t="inlineStr">
        <is>
          <t>2.14</t>
        </is>
      </c>
      <c r="C28" s="12" t="inlineStr">
        <is>
          <t>The studio's rules at a glance</t>
        </is>
      </c>
      <c r="D28" s="12" t="inlineStr">
        <is>
          <t>Settings</t>
        </is>
      </c>
      <c r="E28" s="13" t="inlineStr">
        <is>
          <t>Open the studio's settings</t>
        </is>
      </c>
      <c r="F28" s="14" t="inlineStr">
        <is>
          <t>1. Click "Settings" in the side navigation
2. Read the tabs
3. Click "Projects"</t>
        </is>
      </c>
      <c r="G28" s="14" t="inlineStr">
        <is>
          <t>Settings opens on "Studio", beside "Lead management", "Quotes &amp; pricing" and "Notifications"; "Projects" (still to come) answers "Coming soon in OpenMaison 2.0".</t>
        </is>
      </c>
      <c r="H28" s="12" t="inlineStr">
        <is>
          <t>Different from 1.0: four tabs instead of one long Accounts page</t>
        </is>
      </c>
      <c r="I28" s="11" t="inlineStr">
        <is>
          <t>Dane</t>
        </is>
      </c>
      <c r="J28" s="15" t="n"/>
      <c r="K28" s="15" t="n"/>
      <c r="L28" s="15" t="n"/>
      <c r="M28" s="16" t="n"/>
      <c r="N28" s="17" t="n"/>
      <c r="O28" s="17" t="n"/>
      <c r="P28" s="15" t="n"/>
    </row>
    <row r="29">
      <c r="A29" s="11" t="n">
        <v>2</v>
      </c>
      <c r="B29" s="11" t="inlineStr">
        <is>
          <t>2.15</t>
        </is>
      </c>
      <c r="C29" s="12" t="inlineStr">
        <is>
          <t>The studio's rules at a glance</t>
        </is>
      </c>
      <c r="D29" s="12" t="inlineStr">
        <is>
          <t>Settings</t>
        </is>
      </c>
      <c r="E29" s="13" t="inlineStr">
        <is>
          <t>Check the team and your companies at a glance</t>
        </is>
      </c>
      <c r="F29" s="14" t="inlineStr">
        <is>
          <t>1. On "Studio", read "Team"
2. Read "Issuing entities"</t>
        </is>
      </c>
      <c r="G29" s="14" t="inlineStr">
        <is>
          <t>Team groups people by role (Kavya · reports to James). Entities: Demo Studio Pte Ltd "Registered" with DBS Bank; the carpentry company "Not registered".</t>
        </is>
      </c>
      <c r="H29" s="12" t="inlineStr">
        <is>
          <t>New in 2.0</t>
        </is>
      </c>
      <c r="I29" s="11" t="inlineStr">
        <is>
          <t>Dane</t>
        </is>
      </c>
      <c r="J29" s="15" t="n"/>
      <c r="K29" s="15" t="n"/>
      <c r="L29" s="15" t="n"/>
      <c r="M29" s="16" t="n"/>
      <c r="N29" s="17" t="n"/>
      <c r="O29" s="17" t="n"/>
      <c r="P29" s="15" t="n"/>
    </row>
    <row r="30">
      <c r="A30" s="11" t="n">
        <v>2</v>
      </c>
      <c r="B30" s="11" t="inlineStr">
        <is>
          <t>2.16</t>
        </is>
      </c>
      <c r="C30" s="12" t="inlineStr">
        <is>
          <t>The studio's rules at a glance</t>
        </is>
      </c>
      <c r="D30" s="12" t="inlineStr">
        <is>
          <t>Settings</t>
        </is>
      </c>
      <c r="E30" s="13" t="inlineStr">
        <is>
          <t>See what each role is allowed to do</t>
        </is>
      </c>
      <c r="F30" s="14" t="inlineStr">
        <is>
          <t>1. On "Studio", scroll to "Who may do what"</t>
        </is>
      </c>
      <c r="G30" s="14" t="inlineStr">
        <is>
          <t>A table of actions against Owner, Admin, Manager and Designer: ticks, dashes or words like "Submits for approval". Nothing here can be edited.</t>
        </is>
      </c>
      <c r="H30" s="12" t="inlineStr">
        <is>
          <t>Different from 1.0: fixed roles stated plainly; no permissions editor</t>
        </is>
      </c>
      <c r="I30" s="11" t="inlineStr">
        <is>
          <t>Dane</t>
        </is>
      </c>
      <c r="J30" s="15" t="n"/>
      <c r="K30" s="15" t="n"/>
      <c r="L30" s="15" t="n"/>
      <c r="M30" s="16" t="n"/>
      <c r="N30" s="17" t="n"/>
      <c r="O30" s="17" t="n"/>
      <c r="P30" s="15" t="n"/>
    </row>
    <row r="31">
      <c r="A31" s="11" t="n">
        <v>2</v>
      </c>
      <c r="B31" s="11" t="inlineStr">
        <is>
          <t>2.17</t>
        </is>
      </c>
      <c r="C31" s="12" t="inlineStr">
        <is>
          <t>How leads are handled</t>
        </is>
      </c>
      <c r="D31" s="12" t="inlineStr">
        <is>
          <t>Settings</t>
        </is>
      </c>
      <c r="E31" s="13" t="inlineStr">
        <is>
          <t>Try both ways leads can move, then keep Linear</t>
        </is>
      </c>
      <c r="F31" s="14" t="inlineStr">
        <is>
          <t>1. Click the "Lead management" tab
2. Under "Stage movement" click "Flexible"
3. Click "Linear"</t>
        </is>
      </c>
      <c r="G31" s="14" t="inlineStr">
        <is>
          <t>"Stage movement set to Flexible", then "Stage movement set to Linear"; Linear ends up selected.</t>
        </is>
      </c>
      <c r="H31" s="12" t="inlineStr">
        <is>
          <t>Different from 1.0: Linear / Flexible replace Classic / Journey</t>
        </is>
      </c>
      <c r="I31" s="11" t="inlineStr">
        <is>
          <t>Dane</t>
        </is>
      </c>
      <c r="J31" s="15" t="n"/>
      <c r="K31" s="15" t="n"/>
      <c r="L31" s="15" t="n"/>
      <c r="M31" s="16" t="n"/>
      <c r="N31" s="17" t="n"/>
      <c r="O31" s="17" t="n"/>
      <c r="P31" s="15" t="n"/>
    </row>
    <row r="32">
      <c r="A32" s="11" t="n">
        <v>2</v>
      </c>
      <c r="B32" s="11" t="inlineStr">
        <is>
          <t>2.18</t>
        </is>
      </c>
      <c r="C32" s="12" t="inlineStr">
        <is>
          <t>How leads are handled</t>
        </is>
      </c>
      <c r="D32" s="12" t="inlineStr">
        <is>
          <t>Settings</t>
        </is>
      </c>
      <c r="E32" s="13" t="inlineStr">
        <is>
          <t>Add Xiaohongshu as a place leads come from</t>
        </is>
      </c>
      <c r="F32" s="14" t="inlineStr">
        <is>
          <t>1. Under "Lead sources", type Xiaohongshu in "Add a source"
2. Click "Add"</t>
        </is>
      </c>
      <c r="G32" s="14" t="inlineStr">
        <is>
          <t>"Xiaohongshu added to the lead sources"; it appears just before "Others" with a count of 0.</t>
        </is>
      </c>
      <c r="H32" s="12" t="inlineStr">
        <is>
          <t>Same as 1.0</t>
        </is>
      </c>
      <c r="I32" s="11" t="inlineStr">
        <is>
          <t>Dane</t>
        </is>
      </c>
      <c r="J32" s="15" t="n"/>
      <c r="K32" s="15" t="n"/>
      <c r="L32" s="15" t="n"/>
      <c r="M32" s="16" t="n"/>
      <c r="N32" s="17" t="n"/>
      <c r="O32" s="17" t="n"/>
      <c r="P32" s="15" t="n"/>
    </row>
    <row r="33">
      <c r="A33" s="11" t="n">
        <v>2</v>
      </c>
      <c r="B33" s="11" t="inlineStr">
        <is>
          <t>2.19</t>
        </is>
      </c>
      <c r="C33" s="12" t="inlineStr">
        <is>
          <t>How leads are handled</t>
        </is>
      </c>
      <c r="D33" s="12" t="inlineStr">
        <is>
          <t>Settings</t>
        </is>
      </c>
      <c r="E33" s="13" t="inlineStr">
        <is>
          <t>Move Xiaohongshu to the top of the list</t>
        </is>
      </c>
      <c r="F33" s="14" t="inlineStr">
        <is>
          <t>1. Click the name "Xiaohongshu"
2. In the "Lead source" box set "Place in the list" to 1
3. Click "Save"</t>
        </is>
      </c>
      <c r="G33" s="14" t="inlineStr">
        <is>
          <t>"Lead sources saved"; Xiaohongshu is now first in the list.</t>
        </is>
      </c>
      <c r="H33" s="12" t="inlineStr">
        <is>
          <t>Same as 1.0</t>
        </is>
      </c>
      <c r="I33" s="11" t="inlineStr">
        <is>
          <t>Dane</t>
        </is>
      </c>
      <c r="J33" s="15" t="n"/>
      <c r="K33" s="15" t="n"/>
      <c r="L33" s="15" t="n"/>
      <c r="M33" s="16" t="n"/>
      <c r="N33" s="17" t="n"/>
      <c r="O33" s="17" t="n"/>
      <c r="P33" s="15" t="n"/>
    </row>
    <row r="34">
      <c r="A34" s="11" t="n">
        <v>2</v>
      </c>
      <c r="B34" s="11" t="inlineStr">
        <is>
          <t>2.20</t>
        </is>
      </c>
      <c r="C34" s="12" t="inlineStr">
        <is>
          <t>How leads are handled</t>
        </is>
      </c>
      <c r="D34" s="12" t="inlineStr">
        <is>
          <t>Settings</t>
        </is>
      </c>
      <c r="E34" s="13" t="inlineStr">
        <is>
          <t>Rename Walk-in and see its lead follow</t>
        </is>
      </c>
      <c r="F34" s="14" t="inlineStr">
        <is>
          <t>1. Click "Walk-in" and change "Name" to Showroom walk-in
2. Click "Save"
3. Open Leads and find Mei Ling Tan's "Source"</t>
        </is>
      </c>
      <c r="G34" s="14" t="inlineStr">
        <is>
          <t>"Walk-in is now Showroom walk-in — its leads follow"; Mei Ling Tan's source reads Showroom walk-in.</t>
        </is>
      </c>
      <c r="H34" s="12" t="inlineStr">
        <is>
          <t>Different from 1.0: a rename carries the leads with it</t>
        </is>
      </c>
      <c r="I34" s="11" t="inlineStr">
        <is>
          <t>Dane</t>
        </is>
      </c>
      <c r="J34" s="15" t="n"/>
      <c r="K34" s="15" t="n"/>
      <c r="L34" s="15" t="n"/>
      <c r="M34" s="16" t="n"/>
      <c r="N34" s="17" t="n"/>
      <c r="O34" s="17" t="n"/>
      <c r="P34" s="15" t="n"/>
    </row>
    <row r="35">
      <c r="A35" s="11" t="n">
        <v>2</v>
      </c>
      <c r="B35" s="11" t="inlineStr">
        <is>
          <t>2.21</t>
        </is>
      </c>
      <c r="C35" s="12" t="inlineStr">
        <is>
          <t>How leads are handled</t>
        </is>
      </c>
      <c r="D35" s="12" t="inlineStr">
        <is>
          <t>Settings</t>
        </is>
      </c>
      <c r="E35" s="13" t="inlineStr">
        <is>
          <t>Add a Lost reason that expects two logged contacts</t>
        </is>
      </c>
      <c r="F35" s="14" t="inlineStr">
        <is>
          <t>1. Back in Settings, open "Lead management" and find "Reasons"
2. In "Add a Lost reason" type Chose a contractor; in "Needs logged contacts" type 2
3. Click "Add"</t>
        </is>
      </c>
      <c r="G35" s="14" t="inlineStr">
        <is>
          <t>"Chose a contractor added to the Lost reasons"; it shows as "Chose a contractor · after 2 contacts", just before "Others".</t>
        </is>
      </c>
      <c r="H35" s="12" t="inlineStr">
        <is>
          <t>Same as 1.0</t>
        </is>
      </c>
      <c r="I35" s="11" t="inlineStr">
        <is>
          <t>Dane</t>
        </is>
      </c>
      <c r="J35" s="15" t="n"/>
      <c r="K35" s="15" t="n"/>
      <c r="L35" s="15" t="n"/>
      <c r="M35" s="16" t="n"/>
      <c r="N35" s="17" t="n"/>
      <c r="O35" s="17" t="n"/>
      <c r="P35" s="15" t="n"/>
    </row>
    <row r="36">
      <c r="A36" s="11" t="n">
        <v>2</v>
      </c>
      <c r="B36" s="11" t="inlineStr">
        <is>
          <t>2.22</t>
        </is>
      </c>
      <c r="C36" s="12" t="inlineStr">
        <is>
          <t>How leads are handled</t>
        </is>
      </c>
      <c r="D36" s="12" t="inlineStr">
        <is>
          <t>Settings</t>
        </is>
      </c>
      <c r="E36" s="13" t="inlineStr">
        <is>
          <t>Add your own field to every lead</t>
        </is>
      </c>
      <c r="F36" s="14" t="inlineStr">
        <is>
          <t>1. Under "Custom fields" click "Add field"
2. "Label": Preferred contact time · "Type": Dropdown
3. Options: Morning, Afternoon, Evening ("Add option" for each new one)
4. Click "Add"</t>
        </is>
      </c>
      <c r="G36" s="14" t="inlineStr">
        <is>
          <t>"Preferred contact time added"; the table shows it with a "Dropdown" tag, its three options, Required off and Active on.</t>
        </is>
      </c>
      <c r="H36" s="12" t="inlineStr">
        <is>
          <t>Different from 1.0: saving never erases the leads' answers</t>
        </is>
      </c>
      <c r="I36" s="11" t="inlineStr">
        <is>
          <t>Dane</t>
        </is>
      </c>
      <c r="J36" s="15" t="n"/>
      <c r="K36" s="15" t="n"/>
      <c r="L36" s="15" t="n"/>
      <c r="M36" s="16" t="n"/>
      <c r="N36" s="17" t="n"/>
      <c r="O36" s="17" t="n"/>
      <c r="P36" s="15" t="n"/>
    </row>
    <row r="37">
      <c r="A37" s="11" t="n">
        <v>2</v>
      </c>
      <c r="B37" s="11" t="inlineStr">
        <is>
          <t>2.23</t>
        </is>
      </c>
      <c r="C37" s="12" t="inlineStr">
        <is>
          <t>How leads are handled</t>
        </is>
      </c>
      <c r="D37" s="12" t="inlineStr">
        <is>
          <t>Settings</t>
        </is>
      </c>
      <c r="E37" s="13" t="inlineStr">
        <is>
          <t>Limit designers to their own leads, then open it back up</t>
        </is>
      </c>
      <c r="F37" s="14" t="inlineStr">
        <is>
          <t>1. Under "Who sees leads" click "Only the leads assigned to them"
2. Click the "Studio" tab and read the "See leads" row
3. Back on "Lead management", click "Everyone sees every lead"</t>
        </is>
      </c>
      <c r="G37" s="14" t="inlineStr">
        <is>
          <t>"See leads" reads "Their team’s" for Managers and "Their own" for Designers; the last click says "Everyone sees every lead again".</t>
        </is>
      </c>
      <c r="H37" s="12" t="inlineStr">
        <is>
          <t>Different from 1.0: one switch, enforced for every role</t>
        </is>
      </c>
      <c r="I37" s="11" t="inlineStr">
        <is>
          <t>Dane</t>
        </is>
      </c>
      <c r="J37" s="15" t="n"/>
      <c r="K37" s="15" t="n"/>
      <c r="L37" s="15" t="n"/>
      <c r="M37" s="16" t="n"/>
      <c r="N37" s="17" t="n"/>
      <c r="O37" s="17" t="n"/>
      <c r="P37" s="15" t="n"/>
    </row>
    <row r="38">
      <c r="A38" s="11" t="n">
        <v>2</v>
      </c>
      <c r="B38" s="11" t="inlineStr">
        <is>
          <t>2.24</t>
        </is>
      </c>
      <c r="C38" s="12" t="inlineStr">
        <is>
          <t>How leads are handled</t>
        </is>
      </c>
      <c r="D38" s="12" t="inlineStr">
        <is>
          <t>Settings</t>
        </is>
      </c>
      <c r="E38" s="13" t="inlineStr">
        <is>
          <t>Find the address your website form sends leads to</t>
        </is>
      </c>
      <c r="F38" s="14" t="inlineStr">
        <is>
          <t>1. Under "Lead capture" click "Copy" beside the address
2. Read the table below it</t>
        </is>
      </c>
      <c r="G38" s="14" t="inlineStr">
        <is>
          <t>"Intake address copied" (leads+demo-studio@in.openmaison.sg). Rows: Website form, Meta Lead Ads, Webhook · Google Ads ("Active"), Email lead sources.</t>
        </is>
      </c>
      <c r="H38" s="12" t="inlineStr">
        <is>
          <t>Different from 1.0: every way in listed in one place</t>
        </is>
      </c>
      <c r="I38" s="11" t="inlineStr">
        <is>
          <t>Dane</t>
        </is>
      </c>
      <c r="J38" s="15" t="n"/>
      <c r="K38" s="15" t="n"/>
      <c r="L38" s="15" t="n"/>
      <c r="M38" s="16" t="n"/>
      <c r="N38" s="17" t="n"/>
      <c r="O38" s="17" t="n"/>
      <c r="P38" s="15" t="n"/>
    </row>
    <row r="39">
      <c r="A39" s="11" t="n">
        <v>2</v>
      </c>
      <c r="B39" s="11" t="inlineStr">
        <is>
          <t>2.25</t>
        </is>
      </c>
      <c r="C39" s="12" t="inlineStr">
        <is>
          <t>How quotes are priced</t>
        </is>
      </c>
      <c r="D39" s="12" t="inlineStr">
        <is>
          <t>Settings</t>
        </is>
      </c>
      <c r="E39" s="13" t="inlineStr">
        <is>
          <t>Try your own quote number pattern without saving it</t>
        </is>
      </c>
      <c r="F39" s="14" t="inlineStr">
        <is>
          <t>1. Click the "Quotes &amp; pricing" tab
2. Under "Quote numbers" change "Prefix" to DS and "Digits" to 4; switch on "Year and month"
3. Read "Next quote:"
4. Click "Discard"</t>
        </is>
      </c>
      <c r="G39" s="14" t="inlineStr">
        <is>
          <t>"Next quote:" changes as you type to DS-(this year and month)-0001; after Discard it reads OM-10010 again.</t>
        </is>
      </c>
      <c r="H39" s="12" t="inlineStr">
        <is>
          <t>Different from 1.0: your own pattern, not a fixed QT-###</t>
        </is>
      </c>
      <c r="I39" s="11" t="inlineStr">
        <is>
          <t>Dane</t>
        </is>
      </c>
      <c r="J39" s="15" t="n"/>
      <c r="K39" s="15" t="n"/>
      <c r="L39" s="15" t="n"/>
      <c r="M39" s="16" t="n"/>
      <c r="N39" s="17" t="n"/>
      <c r="O39" s="17" t="n"/>
      <c r="P39" s="15" t="n"/>
    </row>
    <row r="40">
      <c r="A40" s="11" t="n">
        <v>2</v>
      </c>
      <c r="B40" s="11" t="inlineStr">
        <is>
          <t>2.26</t>
        </is>
      </c>
      <c r="C40" s="12" t="inlineStr">
        <is>
          <t>How quotes are priced</t>
        </is>
      </c>
      <c r="D40" s="12" t="inlineStr">
        <is>
          <t>Settings</t>
        </is>
      </c>
      <c r="E40" s="13" t="inlineStr">
        <is>
          <t>Give Carpentry a standard note for quotes</t>
        </is>
      </c>
      <c r="F40" s="14" t="inlineStr">
        <is>
          <t>1. Under "Trades" click "Carpentry"
2. In "Note" type All carpentry in E0-grade board with laminate finish unless stated.
3. Click "Save"</t>
        </is>
      </c>
      <c r="G40" s="14" t="inlineStr">
        <is>
          <t>"Note saved for Carpentry"; a small note mark appears on the Carpentry chip.</t>
        </is>
      </c>
      <c r="H40" s="12" t="inlineStr">
        <is>
          <t>Same as 1.0</t>
        </is>
      </c>
      <c r="I40" s="11" t="inlineStr">
        <is>
          <t>Dane</t>
        </is>
      </c>
      <c r="J40" s="15" t="n"/>
      <c r="K40" s="15" t="n"/>
      <c r="L40" s="15" t="n"/>
      <c r="M40" s="16" t="n"/>
      <c r="N40" s="17" t="n"/>
      <c r="O40" s="17" t="n"/>
      <c r="P40" s="15" t="n"/>
    </row>
    <row r="41">
      <c r="A41" s="11" t="n">
        <v>2</v>
      </c>
      <c r="B41" s="11" t="inlineStr">
        <is>
          <t>2.27</t>
        </is>
      </c>
      <c r="C41" s="12" t="inlineStr">
        <is>
          <t>How quotes are priced</t>
        </is>
      </c>
      <c r="D41" s="12" t="inlineStr">
        <is>
          <t>Settings</t>
        </is>
      </c>
      <c r="E41" s="13" t="inlineStr">
        <is>
          <t>Check the GST rate refuses a wrong number</t>
        </is>
      </c>
      <c r="F41" s="14" t="inlineStr">
        <is>
          <t>1. Under "GST" check "Registered for GST" is on
2. Change "GST rate (%)" to 35
3. Change it back to 9</t>
        </is>
      </c>
      <c r="G41" s="14" t="inlineStr">
        <is>
          <t>At 35 the box says "Between 0 and 30" and "Save rate" stays grey; back at 9 the warning goes.</t>
        </is>
      </c>
      <c r="H41" s="12" t="inlineStr">
        <is>
          <t>Different from 1.0: the studio sets its GST once</t>
        </is>
      </c>
      <c r="I41" s="11" t="inlineStr">
        <is>
          <t>Dane</t>
        </is>
      </c>
      <c r="J41" s="15" t="n"/>
      <c r="K41" s="15" t="n"/>
      <c r="L41" s="15" t="n"/>
      <c r="M41" s="16" t="n"/>
      <c r="N41" s="17" t="n"/>
      <c r="O41" s="17" t="n"/>
      <c r="P41" s="15" t="n"/>
    </row>
    <row r="42">
      <c r="A42" s="11" t="n">
        <v>2</v>
      </c>
      <c r="B42" s="11" t="inlineStr">
        <is>
          <t>2.28</t>
        </is>
      </c>
      <c r="C42" s="12" t="inlineStr">
        <is>
          <t>How quotes are priced</t>
        </is>
      </c>
      <c r="D42" s="12" t="inlineStr">
        <is>
          <t>Settings</t>
        </is>
      </c>
      <c r="E42" s="13" t="inlineStr">
        <is>
          <t>Round selling prices to S$5, then switch it off</t>
        </is>
      </c>
      <c r="F42" s="14" t="inlineStr">
        <is>
          <t>1. Under "Selling prices", in "Round selling prices to" pick "The nearest S$5"
2. Pick "Not rounded" again</t>
        </is>
      </c>
      <c r="G42" s="14" t="inlineStr">
        <is>
          <t>"Selling prices round to the nearest S$5", then "Selling prices are not rounded".</t>
        </is>
      </c>
      <c r="H42" s="12" t="inlineStr">
        <is>
          <t>Different from 1.0: a studio rule instead of per quote</t>
        </is>
      </c>
      <c r="I42" s="11" t="inlineStr">
        <is>
          <t>Dane</t>
        </is>
      </c>
      <c r="J42" s="15" t="n"/>
      <c r="K42" s="15" t="n"/>
      <c r="L42" s="15" t="n"/>
      <c r="M42" s="16" t="n"/>
      <c r="N42" s="17" t="n"/>
      <c r="O42" s="17" t="n"/>
      <c r="P42" s="15" t="n"/>
    </row>
    <row r="43">
      <c r="A43" s="11" t="n">
        <v>2</v>
      </c>
      <c r="B43" s="11" t="inlineStr">
        <is>
          <t>2.29</t>
        </is>
      </c>
      <c r="C43" s="12" t="inlineStr">
        <is>
          <t>How quotes are priced</t>
        </is>
      </c>
      <c r="D43" s="12" t="inlineStr">
        <is>
          <t>Settings</t>
        </is>
      </c>
      <c r="E43" s="13" t="inlineStr">
        <is>
          <t>Lock payment schedules to Owners and Admins, then unlock</t>
        </is>
      </c>
      <c r="F43" s="14" t="inlineStr">
        <is>
          <t>1. Under "Payment schedule" switch on "Only Owners and Admins can change it"
2. On the "Studio" tab read "Change a quote’s payment schedule"
3. Back on "Quotes &amp; pricing", switch it off</t>
        </is>
      </c>
      <c r="G43" s="14" t="inlineStr">
        <is>
          <t>Locked, Manager and Designer show "—" on that row; unlocking says "Every member can change the payment schedule".</t>
        </is>
      </c>
      <c r="H43" s="12" t="inlineStr">
        <is>
          <t>Different from 1.0: the lock is now actually enforced</t>
        </is>
      </c>
      <c r="I43" s="11" t="inlineStr">
        <is>
          <t>Dane</t>
        </is>
      </c>
      <c r="J43" s="15" t="n"/>
      <c r="K43" s="15" t="n"/>
      <c r="L43" s="15" t="n"/>
      <c r="M43" s="16" t="n"/>
      <c r="N43" s="17" t="n"/>
      <c r="O43" s="17" t="n"/>
      <c r="P43" s="15" t="n"/>
    </row>
    <row r="44">
      <c r="A44" s="11" t="n">
        <v>2</v>
      </c>
      <c r="B44" s="11" t="inlineStr">
        <is>
          <t>2.30</t>
        </is>
      </c>
      <c r="C44" s="12" t="inlineStr">
        <is>
          <t>How quotes are priced</t>
        </is>
      </c>
      <c r="D44" s="12" t="inlineStr">
        <is>
          <t>Settings</t>
        </is>
      </c>
      <c r="E44" s="13" t="inlineStr">
        <is>
          <t>Make James the backup approver, then remove him</t>
        </is>
      </c>
      <c r="F44" s="14" t="inlineStr">
        <is>
          <t>1. Under "Backup approver" pick James
2. On the "Studio" tab read the line under "Who may do what"
3. Back on "Quotes &amp; pricing", pick "None"</t>
        </is>
      </c>
      <c r="G44" s="14" t="inlineStr">
        <is>
          <t>"James can approve as the backup"; Studio says "James is the backup approver…"; picking None says "No backup approver".</t>
        </is>
      </c>
      <c r="H44" s="12" t="inlineStr">
        <is>
          <t>Different from 1.0: one backup instead of an approver list</t>
        </is>
      </c>
      <c r="I44" s="11" t="inlineStr">
        <is>
          <t>Dane</t>
        </is>
      </c>
      <c r="J44" s="15" t="n"/>
      <c r="K44" s="15" t="n"/>
      <c r="L44" s="15" t="n"/>
      <c r="M44" s="16" t="n"/>
      <c r="N44" s="17" t="n"/>
      <c r="O44" s="17" t="n"/>
      <c r="P44" s="15" t="n"/>
    </row>
    <row r="45">
      <c r="A45" s="11" t="n">
        <v>2</v>
      </c>
      <c r="B45" s="11" t="inlineStr">
        <is>
          <t>2.31</t>
        </is>
      </c>
      <c r="C45" s="12" t="inlineStr">
        <is>
          <t>How quotes are priced</t>
        </is>
      </c>
      <c r="D45" s="12" t="inlineStr">
        <is>
          <t>Settings</t>
        </is>
      </c>
      <c r="E45" s="13" t="inlineStr">
        <is>
          <t>Choose whose name a quote's "prepared by" prints</t>
        </is>
      </c>
      <c r="F45" s="14" t="inlineStr">
        <is>
          <t>1. Under "Prepared by", in "Prepared by prints" pick "Every member on the lead"
2. Pick "The member who prepared the quote" again</t>
        </is>
      </c>
      <c r="G45" s="14" t="inlineStr">
        <is>
          <t>"Prepared by prints every member on the lead", then "Prepared by prints the member who prepared the quote".</t>
        </is>
      </c>
      <c r="H45" s="12" t="inlineStr">
        <is>
          <t>Same as 1.0</t>
        </is>
      </c>
      <c r="I45" s="11" t="inlineStr">
        <is>
          <t>Dane</t>
        </is>
      </c>
      <c r="J45" s="15" t="n"/>
      <c r="K45" s="15" t="n"/>
      <c r="L45" s="15" t="n"/>
      <c r="M45" s="16" t="n"/>
      <c r="N45" s="17" t="n"/>
      <c r="O45" s="17" t="n"/>
      <c r="P45" s="15" t="n"/>
    </row>
    <row r="46">
      <c r="A46" s="11" t="n">
        <v>2</v>
      </c>
      <c r="B46" s="11" t="inlineStr">
        <is>
          <t>2.32</t>
        </is>
      </c>
      <c r="C46" s="12" t="inlineStr">
        <is>
          <t>Who hears about what</t>
        </is>
      </c>
      <c r="D46" s="12" t="inlineStr">
        <is>
          <t>Notifications</t>
        </is>
      </c>
      <c r="E46" s="13" t="inlineStr">
        <is>
          <t>Switch off a notice and see email and WhatsApp follow</t>
        </is>
      </c>
      <c r="F46" s="14" t="inlineStr">
        <is>
          <t>1. Click the "Notifications" tab
2. On "A new lead arrives" switch off "In app"
3. Point at its greyed "WhatsApp" switch
4. Switch "In app" back on</t>
        </is>
      </c>
      <c r="G46" s="14" t="inlineStr">
        <is>
          <t>Email and WhatsApp go grey and off; the tip says "Goes out with the in-app notice — switch In app on first"; both return after.</t>
        </is>
      </c>
      <c r="H46" s="12" t="inlineStr">
        <is>
          <t>Different from 1.0: set per event, not per category</t>
        </is>
      </c>
      <c r="I46" s="11" t="inlineStr">
        <is>
          <t>Dane</t>
        </is>
      </c>
      <c r="J46" s="15" t="n"/>
      <c r="K46" s="15" t="n"/>
      <c r="L46" s="15" t="n"/>
      <c r="M46" s="16" t="n"/>
      <c r="N46" s="17" t="n"/>
      <c r="O46" s="17" t="n"/>
      <c r="P46" s="15" t="n"/>
    </row>
    <row r="47">
      <c r="A47" s="11" t="n">
        <v>2</v>
      </c>
      <c r="B47" s="11" t="inlineStr">
        <is>
          <t>2.33</t>
        </is>
      </c>
      <c r="C47" s="12" t="inlineStr">
        <is>
          <t>Who hears about what</t>
        </is>
      </c>
      <c r="D47" s="12" t="inlineStr">
        <is>
          <t>Notifications</t>
        </is>
      </c>
      <c r="E47" s="13" t="inlineStr">
        <is>
          <t>Preview a WhatsApp message with a field filled in</t>
        </is>
      </c>
      <c r="F47" s="14" t="inlineStr">
        <is>
          <t>1. Under "Messages", on "A new lead arrives · WhatsApp" click "Edit"
2. Click at the end of "Message", then "Insert a field" › "The lead’s source"
3. Read "Preview"
4. Click "Cancel"</t>
        </is>
      </c>
      <c r="G47" s="14" t="inlineStr">
        <is>
          <t>The preview fills the new field with a sample source ("Website"); Cancel leaves the message as it was.</t>
        </is>
      </c>
      <c r="H47" s="12" t="inlineStr">
        <is>
          <t>Same as 1.0</t>
        </is>
      </c>
      <c r="I47" s="11" t="inlineStr">
        <is>
          <t>Dane</t>
        </is>
      </c>
      <c r="J47" s="15" t="n"/>
      <c r="K47" s="15" t="n"/>
      <c r="L47" s="15" t="n"/>
      <c r="M47" s="16" t="n"/>
      <c r="N47" s="17" t="n"/>
      <c r="O47" s="17" t="n"/>
      <c r="P47" s="15" t="n"/>
    </row>
    <row r="48">
      <c r="A48" s="11" t="n">
        <v>2</v>
      </c>
      <c r="B48" s="11" t="inlineStr">
        <is>
          <t>2.34</t>
        </is>
      </c>
      <c r="C48" s="12" t="inlineStr">
        <is>
          <t>Leave the studio as you found it</t>
        </is>
      </c>
      <c r="D48" s="12" t="inlineStr">
        <is>
          <t>Settings</t>
        </is>
      </c>
      <c r="E48" s="13" t="inlineStr">
        <is>
          <t>Put the lead sources back as they were</t>
        </is>
      </c>
      <c r="F48" s="14" t="inlineStr">
        <is>
          <t>1. On "Lead management" click ✕ on Xiaohongshu, then "Undo" in the message
2. Click ✕ on Xiaohongshu again
3. Click "Showroom walk-in", change "Name" back to Walk-in, click "Save"</t>
        </is>
      </c>
      <c r="G48" s="14" t="inlineStr">
        <is>
          <t>Undo says "Lead sources put back"; at the end the note under "Lead sources" says "These are the defaults."</t>
        </is>
      </c>
      <c r="H48" s="12" t="inlineStr">
        <is>
          <t>Different from 1.0: removing answers with Undo, not a confirm</t>
        </is>
      </c>
      <c r="I48" s="11" t="inlineStr">
        <is>
          <t>Dane</t>
        </is>
      </c>
      <c r="J48" s="15" t="n"/>
      <c r="K48" s="15" t="n"/>
      <c r="L48" s="15" t="n"/>
      <c r="M48" s="16" t="n"/>
      <c r="N48" s="17" t="n"/>
      <c r="O48" s="17" t="n"/>
      <c r="P48" s="15" t="n"/>
    </row>
    <row r="49">
      <c r="A49" s="11" t="n">
        <v>2</v>
      </c>
      <c r="B49" s="11" t="inlineStr">
        <is>
          <t>2.35</t>
        </is>
      </c>
      <c r="C49" s="12" t="inlineStr">
        <is>
          <t>Leave the studio as you found it</t>
        </is>
      </c>
      <c r="D49" s="12" t="inlineStr">
        <is>
          <t>Settings</t>
        </is>
      </c>
      <c r="E49" s="13" t="inlineStr">
        <is>
          <t>Remove the test reason and the test field</t>
        </is>
      </c>
      <c r="F49" s="14" t="inlineStr">
        <is>
          <t>1. Under "Reasons" click ✕ on "Chose a contractor"
2. Under "Custom fields" click the bin on "Preferred contact time"
3. Click "Delete" in "Delete this field?"</t>
        </is>
      </c>
      <c r="G49" s="14" t="inlineStr">
        <is>
          <t>"Chose a contractor removed", "Preferred contact time deleted"; Reasons says "These are the defaults." and Custom fields "No custom fields yet."</t>
        </is>
      </c>
      <c r="H49" s="12" t="inlineStr">
        <is>
          <t>Same as 1.0</t>
        </is>
      </c>
      <c r="I49" s="11" t="inlineStr">
        <is>
          <t>Dane</t>
        </is>
      </c>
      <c r="J49" s="15" t="n"/>
      <c r="K49" s="15" t="n"/>
      <c r="L49" s="15" t="n"/>
      <c r="M49" s="16" t="n"/>
      <c r="N49" s="17" t="n"/>
      <c r="O49" s="17" t="n"/>
      <c r="P49" s="15" t="n"/>
    </row>
    <row r="50">
      <c r="A50" s="11" t="n">
        <v>2</v>
      </c>
      <c r="B50" s="11" t="inlineStr">
        <is>
          <t>2.36</t>
        </is>
      </c>
      <c r="C50" s="12" t="inlineStr">
        <is>
          <t>Leave the studio as you found it</t>
        </is>
      </c>
      <c r="D50" s="12" t="inlineStr">
        <is>
          <t>Settings</t>
        </is>
      </c>
      <c r="E50" s="13" t="inlineStr">
        <is>
          <t>Take the Carpentry note off again</t>
        </is>
      </c>
      <c r="F50" s="14" t="inlineStr">
        <is>
          <t>1. On "Quotes &amp; pricing" click "Carpentry"
2. Clear "Note"
3. Click "Save"</t>
        </is>
      </c>
      <c r="G50" s="14" t="inlineStr">
        <is>
          <t>"Note removed from Carpentry"; the small note mark leaves the Carpentry chip.</t>
        </is>
      </c>
      <c r="H50" s="12" t="inlineStr">
        <is>
          <t>Same as 1.0</t>
        </is>
      </c>
      <c r="I50" s="11" t="inlineStr">
        <is>
          <t>Dane</t>
        </is>
      </c>
      <c r="J50" s="15" t="n"/>
      <c r="K50" s="15" t="n"/>
      <c r="L50" s="15" t="n"/>
      <c r="M50" s="16" t="n"/>
      <c r="N50" s="17" t="n"/>
      <c r="O50" s="17" t="n"/>
      <c r="P50" s="15" t="n"/>
    </row>
    <row r="51">
      <c r="A51" s="11" t="n">
        <v>2</v>
      </c>
      <c r="B51" s="11" t="inlineStr">
        <is>
          <t>2.37</t>
        </is>
      </c>
      <c r="C51" s="12" t="inlineStr">
        <is>
          <t>Leave the studio as you found it</t>
        </is>
      </c>
      <c r="D51" s="12" t="inlineStr">
        <is>
          <t>Company</t>
        </is>
      </c>
      <c r="E51" s="13" t="inlineStr">
        <is>
          <t>Leave Kavya out and remove the test company</t>
        </is>
      </c>
      <c r="F51" s="14" t="inlineStr">
        <is>
          <t>1. Company › "Members": click "Deactivate" on Kavya, then "Deactivate" in the box
2. Company › "Profile": click the bin on Demo Studio Carpentry Pte Ltd
3. Click "Save changes"
4. Open Settings › "Studio"</t>
        </is>
      </c>
      <c r="G51" s="14" t="inlineStr">
        <is>
          <t>Studio lists one entity, Demo Studio Pte Ltd; the Team card's "Deactivated" line names Kavya Menon, out of every picker.</t>
        </is>
      </c>
      <c r="H51" s="12" t="inlineStr">
        <is>
          <t>Same as 1.0</t>
        </is>
      </c>
      <c r="I51" s="11" t="inlineStr">
        <is>
          <t>Dane</t>
        </is>
      </c>
      <c r="J51" s="15" t="n"/>
      <c r="K51" s="15" t="n"/>
      <c r="L51" s="15" t="n"/>
      <c r="M51" s="16" t="n"/>
      <c r="N51" s="17" t="n"/>
      <c r="O51" s="17" t="n"/>
      <c r="P51" s="15" t="n"/>
    </row>
    <row r="52" ht="22" customHeight="1">
      <c r="A52" s="9" t="inlineStr">
        <is>
          <t>Chapter 3 · Build your library — Price book, templates and the question bank.</t>
        </is>
      </c>
      <c r="M52" s="10" t="n"/>
    </row>
    <row r="53">
      <c r="A53" s="11" t="n">
        <v>3</v>
      </c>
      <c r="B53" s="11" t="inlineStr">
        <is>
          <t>3.01</t>
        </is>
      </c>
      <c r="C53" s="12" t="inlineStr">
        <is>
          <t>Open the price book</t>
        </is>
      </c>
      <c r="D53" s="12" t="inlineStr">
        <is>
          <t>Price book</t>
        </is>
      </c>
      <c r="E53" s="13" t="inlineStr">
        <is>
          <t>Open the studio's price book</t>
        </is>
      </c>
      <c r="F53" s="14" t="inlineStr">
        <is>
          <t>1. Click "Company" in the side navigation
2. Click "Price book"</t>
        </is>
      </c>
      <c r="G53" s="14" t="inlineStr">
        <is>
          <t>"Price book" opens on "My Items": the "Wet works" and "Kitchen" folders, item cards with unit prices, a "1 proposed" chip and "Kind: All".</t>
        </is>
      </c>
      <c r="H53" s="12" t="inlineStr">
        <is>
          <t>Different from 1.0: under Company, not Accounts</t>
        </is>
      </c>
      <c r="I53" s="11" t="inlineStr">
        <is>
          <t>Dane</t>
        </is>
      </c>
      <c r="J53" s="15" t="n"/>
      <c r="K53" s="15" t="n"/>
      <c r="L53" s="15" t="n"/>
      <c r="M53" s="16" t="n"/>
      <c r="N53" s="17" t="n"/>
      <c r="O53" s="17" t="n"/>
      <c r="P53" s="15" t="n"/>
    </row>
    <row r="54">
      <c r="A54" s="11" t="n">
        <v>3</v>
      </c>
      <c r="B54" s="11" t="inlineStr">
        <is>
          <t>3.02</t>
        </is>
      </c>
      <c r="C54" s="12" t="inlineStr">
        <is>
          <t>Open the price book</t>
        </is>
      </c>
      <c r="D54" s="12" t="inlineStr">
        <is>
          <t>Price book</t>
        </is>
      </c>
      <c r="E54" s="13" t="inlineStr">
        <is>
          <t>See one product from two suppliers</t>
        </is>
      </c>
      <c r="F54" s="14" t="inlineStr">
        <is>
          <t>1. Click the "Wet works" folder
2. Look at the two "Homogeneous tiles 600×600, supply and lay" cards
3. Click "My Items" in the path at the top to go back</t>
        </is>
      </c>
      <c r="G54" s="14" t="inlineStr">
        <is>
          <t>The same tile shows twice — "by Hafary" and "by Soon Bee Huat", each S$11.00 / sqft: one item per supplier.</t>
        </is>
      </c>
      <c r="H54" s="12" t="inlineStr">
        <is>
          <t>Different from 1.0: one vendor per item, not several</t>
        </is>
      </c>
      <c r="I54" s="11" t="inlineStr">
        <is>
          <t>Dane</t>
        </is>
      </c>
      <c r="J54" s="15" t="n"/>
      <c r="K54" s="15" t="n"/>
      <c r="L54" s="15" t="n"/>
      <c r="M54" s="16" t="n"/>
      <c r="N54" s="17" t="n"/>
      <c r="O54" s="17" t="n"/>
      <c r="P54" s="15" t="n"/>
    </row>
    <row r="55">
      <c r="A55" s="11" t="n">
        <v>3</v>
      </c>
      <c r="B55" s="11" t="inlineStr">
        <is>
          <t>3.03</t>
        </is>
      </c>
      <c r="C55" s="12" t="inlineStr">
        <is>
          <t>Add the fluted panel</t>
        </is>
      </c>
      <c r="D55" s="12" t="inlineStr">
        <is>
          <t>Price book</t>
        </is>
      </c>
      <c r="E55" s="13" t="inlineStr">
        <is>
          <t>Add a new item with a price in cents</t>
        </is>
      </c>
      <c r="F55" s="14" t="inlineStr">
        <is>
          <t>1. Click "New" › "New item"
2. "Item name": Fluted feature wall panel · "Description": Oak veneer fluted panel, 20 mm slats, supply and install
3. "Kind": Purchase · "Unit": sqft
4. "Cost (S$)": 28.50 · "Markup (S$)": 11.50</t>
        </is>
      </c>
      <c r="G55" s="14" t="inlineStr">
        <is>
          <t>Under Markup it reads "Unit price S$40.00" — the cents are kept exactly as typed.</t>
        </is>
      </c>
      <c r="H55" s="12" t="inlineStr">
        <is>
          <t>Different from 1.0: markup in S$, not a percentage</t>
        </is>
      </c>
      <c r="I55" s="11" t="inlineStr">
        <is>
          <t>Dane</t>
        </is>
      </c>
      <c r="J55" s="15" t="n"/>
      <c r="K55" s="15" t="n"/>
      <c r="L55" s="15" t="n"/>
      <c r="M55" s="16" t="n"/>
      <c r="N55" s="17" t="n"/>
      <c r="O55" s="17" t="n"/>
      <c r="P55" s="15" t="n"/>
    </row>
    <row r="56">
      <c r="A56" s="11" t="n">
        <v>3</v>
      </c>
      <c r="B56" s="11" t="inlineStr">
        <is>
          <t>3.04</t>
        </is>
      </c>
      <c r="C56" s="12" t="inlineStr">
        <is>
          <t>Add the fluted panel</t>
        </is>
      </c>
      <c r="D56" s="12" t="inlineStr">
        <is>
          <t>Price book</t>
        </is>
      </c>
      <c r="E56" s="13" t="inlineStr">
        <is>
          <t>Give it a trade, a supplier and a product link</t>
        </is>
      </c>
      <c r="F56" s="14" t="inlineStr">
        <is>
          <t>1. "Category": pick Carpentry (the list is the studio's trades)
2. "Vendor": Timber Craft
3. "Website link": www.example.com/fluted-panel
4. Click "Add to My Items"</t>
        </is>
      </c>
      <c r="G56" s="14" t="inlineStr">
        <is>
          <t>A message says "Fluted feature wall panel added to My Items"; its card reads "by Timber Craft · S$40.00 / sqft · Carpentry".</t>
        </is>
      </c>
      <c r="H56" s="12" t="inlineStr">
        <is>
          <t>Same as 1.0</t>
        </is>
      </c>
      <c r="I56" s="11" t="inlineStr">
        <is>
          <t>Dane</t>
        </is>
      </c>
      <c r="J56" s="15" t="n"/>
      <c r="K56" s="15" t="n"/>
      <c r="L56" s="15" t="n"/>
      <c r="M56" s="16" t="n"/>
      <c r="N56" s="17" t="n"/>
      <c r="O56" s="17" t="n"/>
      <c r="P56" s="15" t="n"/>
    </row>
    <row r="57">
      <c r="A57" s="11" t="n">
        <v>3</v>
      </c>
      <c r="B57" s="11" t="inlineStr">
        <is>
          <t>3.05</t>
        </is>
      </c>
      <c r="C57" s="12" t="inlineStr">
        <is>
          <t>Add the fluted panel</t>
        </is>
      </c>
      <c r="D57" s="12" t="inlineStr">
        <is>
          <t>Price book</t>
        </is>
      </c>
      <c r="E57" s="13" t="inlineStr">
        <is>
          <t>Add a photo of the panel</t>
        </is>
      </c>
      <c r="F57" s="14" t="inlineStr">
        <is>
          <t>1. Click the "Fluted feature wall panel" card
2. In "Edit item", click the "Photo" box and pick fluted-panel.jpg
3. Click "Save"</t>
        </is>
      </c>
      <c r="G57" s="14" t="inlineStr">
        <is>
          <t>A message says "Item saved" and the card now shows your photo instead of the cart icon.</t>
        </is>
      </c>
      <c r="H57" s="12" t="inlineStr">
        <is>
          <t>Same as 1.0</t>
        </is>
      </c>
      <c r="I57" s="11" t="inlineStr">
        <is>
          <t>Dane</t>
        </is>
      </c>
      <c r="J57" s="15" t="n"/>
      <c r="K57" s="15" t="n"/>
      <c r="L57" s="15" t="n"/>
      <c r="M57" s="16" t="n"/>
      <c r="N57" s="17" t="n"/>
      <c r="O57" s="17" t="n"/>
      <c r="P57" s="15" t="n"/>
    </row>
    <row r="58">
      <c r="A58" s="11" t="n">
        <v>3</v>
      </c>
      <c r="B58" s="11" t="inlineStr">
        <is>
          <t>3.06</t>
        </is>
      </c>
      <c r="C58" s="12" t="inlineStr">
        <is>
          <t>Add the fluted panel</t>
        </is>
      </c>
      <c r="D58" s="12" t="inlineStr">
        <is>
          <t>Price book</t>
        </is>
      </c>
      <c r="E58" s="13" t="inlineStr">
        <is>
          <t>Change its cost and read the item's history</t>
        </is>
      </c>
      <c r="F58" s="14" t="inlineStr">
        <is>
          <t>1. Open the fluted panel again
2. "Cost (S$)": 30.50, then click "Save"
3. Open it once more and scroll down to "History"</t>
        </is>
      </c>
      <c r="G58" s="14" t="inlineStr">
        <is>
          <t>History lists "Added by Dane" and two "Changed by Dane" entries — "Photo added" and "Cost S$28.50 → S$30.50". Unit price is now S$42.00.</t>
        </is>
      </c>
      <c r="H58" s="12" t="inlineStr">
        <is>
          <t>Different from 1.0: every change kept, before → after</t>
        </is>
      </c>
      <c r="I58" s="11" t="inlineStr">
        <is>
          <t>Dane</t>
        </is>
      </c>
      <c r="J58" s="15" t="n"/>
      <c r="K58" s="15" t="n"/>
      <c r="L58" s="15" t="n"/>
      <c r="M58" s="16" t="n"/>
      <c r="N58" s="17" t="n"/>
      <c r="O58" s="17" t="n"/>
      <c r="P58" s="15" t="n"/>
    </row>
    <row r="59">
      <c r="A59" s="11" t="n">
        <v>3</v>
      </c>
      <c r="B59" s="11" t="inlineStr">
        <is>
          <t>3.07</t>
        </is>
      </c>
      <c r="C59" s="12" t="inlineStr">
        <is>
          <t>Find, sort and change many</t>
        </is>
      </c>
      <c r="D59" s="12" t="inlineStr">
        <is>
          <t>Price book</t>
        </is>
      </c>
      <c r="E59" s="13" t="inlineStr">
        <is>
          <t>Sort the list by price</t>
        </is>
      </c>
      <c r="F59" s="14" t="inlineStr">
        <is>
          <t>1. Click "List view" (the list icon, top right)
2. Click the "Unit price" column heading
3. Click it again</t>
        </is>
      </c>
      <c r="G59" s="14" t="inlineStr">
        <is>
          <t>Items sort cheapest first with an up arrow, then dearest first with a down arrow.</t>
        </is>
      </c>
      <c r="H59" s="12" t="inlineStr">
        <is>
          <t>Same as 1.0</t>
        </is>
      </c>
      <c r="I59" s="11" t="inlineStr">
        <is>
          <t>Dane</t>
        </is>
      </c>
      <c r="J59" s="15" t="n"/>
      <c r="K59" s="15" t="n"/>
      <c r="L59" s="15" t="n"/>
      <c r="M59" s="16" t="n"/>
      <c r="N59" s="17" t="n"/>
      <c r="O59" s="17" t="n"/>
      <c r="P59" s="15" t="n"/>
    </row>
    <row r="60">
      <c r="A60" s="11" t="n">
        <v>3</v>
      </c>
      <c r="B60" s="11" t="inlineStr">
        <is>
          <t>3.08</t>
        </is>
      </c>
      <c r="C60" s="12" t="inlineStr">
        <is>
          <t>Find, sort and change many</t>
        </is>
      </c>
      <c r="D60" s="12" t="inlineStr">
        <is>
          <t>Price book</t>
        </is>
      </c>
      <c r="E60" s="13" t="inlineStr">
        <is>
          <t>Show only one trade's items</t>
        </is>
      </c>
      <c r="F60" s="14" t="inlineStr">
        <is>
          <t>1. Click "Filters" (the funnel icon)
2. "Category": Tiling, then click "Done"
3. When checked, open "Filters" again and click "Clear All"</t>
        </is>
      </c>
      <c r="G60" s="14" t="inlineStr">
        <is>
          <t>Only the two Homogeneous tiles items show, each marked with its folder "Wet works"; "Clear All" brings every item back.</t>
        </is>
      </c>
      <c r="H60" s="12" t="inlineStr">
        <is>
          <t>Different from 1.0: a category filter, not grouped lists</t>
        </is>
      </c>
      <c r="I60" s="11" t="inlineStr">
        <is>
          <t>Dane</t>
        </is>
      </c>
      <c r="J60" s="15" t="n"/>
      <c r="K60" s="15" t="n"/>
      <c r="L60" s="15" t="n"/>
      <c r="M60" s="16" t="n"/>
      <c r="N60" s="17" t="n"/>
      <c r="O60" s="17" t="n"/>
      <c r="P60" s="15" t="n"/>
    </row>
    <row r="61">
      <c r="A61" s="11" t="n">
        <v>3</v>
      </c>
      <c r="B61" s="11" t="inlineStr">
        <is>
          <t>3.09</t>
        </is>
      </c>
      <c r="C61" s="12" t="inlineStr">
        <is>
          <t>Find, sort and change many</t>
        </is>
      </c>
      <c r="D61" s="12" t="inlineStr">
        <is>
          <t>Price book</t>
        </is>
      </c>
      <c r="E61" s="13" t="inlineStr">
        <is>
          <t>Look at an item a designer proposed</t>
        </is>
      </c>
      <c r="F61" s="14" t="inlineStr">
        <is>
          <t>1. Click the "1 proposed" chip at the top
2. Click "Skirting, PVC 80 mm"
3. Read the bar at the top, then click "Cancel"
4. Click "1 proposed" again to see every item</t>
        </is>
      </c>
      <c r="G61" s="14" t="inlineStr">
        <is>
          <t>The bar says Sarah proposed it and only their quotes use it until approved; "Send back…" and "Approve" wait for chapter 10.</t>
        </is>
      </c>
      <c r="H61" s="12" t="inlineStr">
        <is>
          <t>Different from 1.0: not used studio-wide until approved</t>
        </is>
      </c>
      <c r="I61" s="11" t="inlineStr">
        <is>
          <t>Dane</t>
        </is>
      </c>
      <c r="J61" s="15" t="n"/>
      <c r="K61" s="15" t="n"/>
      <c r="L61" s="15" t="n"/>
      <c r="M61" s="16" t="n"/>
      <c r="N61" s="17" t="n"/>
      <c r="O61" s="17" t="n"/>
      <c r="P61" s="15" t="n"/>
    </row>
    <row r="62">
      <c r="A62" s="11" t="n">
        <v>3</v>
      </c>
      <c r="B62" s="11" t="inlineStr">
        <is>
          <t>3.10</t>
        </is>
      </c>
      <c r="C62" s="12" t="inlineStr">
        <is>
          <t>Find, sort and change many</t>
        </is>
      </c>
      <c r="D62" s="12" t="inlineStr">
        <is>
          <t>Price book</t>
        </is>
      </c>
      <c r="E62" s="13" t="inlineStr">
        <is>
          <t>Re-price two items at once, then undo</t>
        </is>
      </c>
      <c r="F62" s="14" t="inlineStr">
        <is>
          <t>1. Tick "Vinyl flooring, supply and install" and "Electrical point, new"
2. In the bar at the bottom, click "Set markup"
3. "Markup (% of cost)": 30, then click "Apply to 2 items"
4. On the message "2 items changed", click "Undo" straight away</t>
        </is>
      </c>
      <c r="G62" s="14" t="inlineStr">
        <is>
          <t>Unit prices change to S$7.15 and S$71.50, then Undo puts them back to S$7.00 and S$70.00.</t>
        </is>
      </c>
      <c r="H62" s="12" t="inlineStr">
        <is>
          <t>Different from 1.0: a markup % re-prices the items</t>
        </is>
      </c>
      <c r="I62" s="11" t="inlineStr">
        <is>
          <t>Dane</t>
        </is>
      </c>
      <c r="J62" s="15" t="n"/>
      <c r="K62" s="15" t="n"/>
      <c r="L62" s="15" t="n"/>
      <c r="M62" s="16" t="n"/>
      <c r="N62" s="17" t="n"/>
      <c r="O62" s="17" t="n"/>
      <c r="P62" s="15" t="n"/>
    </row>
    <row r="63">
      <c r="A63" s="11" t="n">
        <v>3</v>
      </c>
      <c r="B63" s="11" t="inlineStr">
        <is>
          <t>3.11</t>
        </is>
      </c>
      <c r="C63" s="12" t="inlineStr">
        <is>
          <t>Import and export</t>
        </is>
      </c>
      <c r="D63" s="12" t="inlineStr">
        <is>
          <t>Price book</t>
        </is>
      </c>
      <c r="E63" s="13" t="inlineStr">
        <is>
          <t>Export My Items to a spreadsheet</t>
        </is>
      </c>
      <c r="F63" s="14" t="inlineStr">
        <is>
          <t>1. Click the ⋮ menu ("More options", top right)
2. Click "Export My Items…"
3. Keep "All items" and "Choose file format": CSV
4. Click "Export"</t>
        </is>
      </c>
      <c r="G63" s="14" t="inlineStr">
        <is>
          <t>my-items.csv downloads and a message says how many items were exported as CSV; the file has an Item column with every name.</t>
        </is>
      </c>
      <c r="H63" s="12" t="inlineStr">
        <is>
          <t>Different from 1.0: live items only, with their names</t>
        </is>
      </c>
      <c r="I63" s="11" t="inlineStr">
        <is>
          <t>Dane</t>
        </is>
      </c>
      <c r="J63" s="15" t="n"/>
      <c r="K63" s="15" t="n"/>
      <c r="L63" s="15" t="n"/>
      <c r="M63" s="16" t="n"/>
      <c r="N63" s="17" t="n"/>
      <c r="O63" s="17" t="n"/>
      <c r="P63" s="15" t="n"/>
    </row>
    <row r="64">
      <c r="A64" s="11" t="n">
        <v>3</v>
      </c>
      <c r="B64" s="11" t="inlineStr">
        <is>
          <t>3.12</t>
        </is>
      </c>
      <c r="C64" s="12" t="inlineStr">
        <is>
          <t>Import and export</t>
        </is>
      </c>
      <c r="D64" s="12" t="inlineStr">
        <is>
          <t>Price book</t>
        </is>
      </c>
      <c r="E64" s="13" t="inlineStr">
        <is>
          <t>Import a supplier's price list</t>
        </is>
      </c>
      <c r="F64" s="14" t="inlineStr">
        <is>
          <t>1. Click "New" › "Import from a spreadsheet…"
2. Drop supplier-price-list.csv on the box (or click "browse")
3. In "Import into My Items", read the "In My Items" column and the notes below</t>
        </is>
      </c>
      <c r="G64" s="14" t="inlineStr">
        <is>
          <t>Rows read New · Updates its price · New · Repeats — skipped; notes name the match, the repeat and new trade "Glass &amp; Mirror".</t>
        </is>
      </c>
      <c r="H64" s="12" t="inlineStr">
        <is>
          <t>Different from 1.0: matches existing items; no PDF reading</t>
        </is>
      </c>
      <c r="I64" s="11" t="inlineStr">
        <is>
          <t>Dane</t>
        </is>
      </c>
      <c r="J64" s="15" t="n"/>
      <c r="K64" s="15" t="n"/>
      <c r="L64" s="15" t="n"/>
      <c r="M64" s="16" t="n"/>
      <c r="N64" s="17" t="n"/>
      <c r="O64" s="17" t="n"/>
      <c r="P64" s="15" t="n"/>
    </row>
    <row r="65">
      <c r="A65" s="11" t="n">
        <v>3</v>
      </c>
      <c r="B65" s="11" t="inlineStr">
        <is>
          <t>3.13</t>
        </is>
      </c>
      <c r="C65" s="12" t="inlineStr">
        <is>
          <t>Import and export</t>
        </is>
      </c>
      <c r="D65" s="12" t="inlineStr">
        <is>
          <t>Price book</t>
        </is>
      </c>
      <c r="E65" s="13" t="inlineStr">
        <is>
          <t>Finish the import</t>
        </is>
      </c>
      <c r="F65" s="14" t="inlineStr">
        <is>
          <t>1. Keep "Rows that match" on "Update the price"
2. Click "Import 3 rows"</t>
        </is>
      </c>
      <c r="G65" s="14" t="inlineStr">
        <is>
          <t>A message says "2 items added · 1 updated · 1 skipped"; the shower screen and wallpaper join My Items and Vinyl flooring becomes S$7.30.</t>
        </is>
      </c>
      <c r="H65" s="12" t="inlineStr">
        <is>
          <t>Different from 1.0: repeats skipped, matches updated, no duplicates</t>
        </is>
      </c>
      <c r="I65" s="11" t="inlineStr">
        <is>
          <t>Dane</t>
        </is>
      </c>
      <c r="J65" s="15" t="n"/>
      <c r="K65" s="15" t="n"/>
      <c r="L65" s="15" t="n"/>
      <c r="M65" s="16" t="n"/>
      <c r="N65" s="17" t="n"/>
      <c r="O65" s="17" t="n"/>
      <c r="P65" s="15" t="n"/>
    </row>
    <row r="66">
      <c r="A66" s="11" t="n">
        <v>3</v>
      </c>
      <c r="B66" s="11" t="inlineStr">
        <is>
          <t>3.14</t>
        </is>
      </c>
      <c r="C66" s="12" t="inlineStr">
        <is>
          <t>Delete safely, save a section</t>
        </is>
      </c>
      <c r="D66" s="12" t="inlineStr">
        <is>
          <t>Price book</t>
        </is>
      </c>
      <c r="E66" s="13" t="inlineStr">
        <is>
          <t>Delete an item that quotes already use</t>
        </is>
      </c>
      <c r="F66" s="14" t="inlineStr">
        <is>
          <t>1. Point at "Electrical point, new" and open its ⋮ menu › "Delete"
2. Read the warning, then click "Delete" (don't press Undo)</t>
        </is>
      </c>
      <c r="G66" s="14" t="inlineStr">
        <is>
          <t>The warning says the quotes already carrying it keep the line and it can be restored from Deleted Items; the item leaves the list.</t>
        </is>
      </c>
      <c r="H66" s="12" t="inlineStr">
        <is>
          <t>Different from 1.0: deleted items can be restored</t>
        </is>
      </c>
      <c r="I66" s="11" t="inlineStr">
        <is>
          <t>Dane</t>
        </is>
      </c>
      <c r="J66" s="15" t="n"/>
      <c r="K66" s="15" t="n"/>
      <c r="L66" s="15" t="n"/>
      <c r="M66" s="16" t="n"/>
      <c r="N66" s="17" t="n"/>
      <c r="O66" s="17" t="n"/>
      <c r="P66" s="15" t="n"/>
    </row>
    <row r="67">
      <c r="A67" s="11" t="n">
        <v>3</v>
      </c>
      <c r="B67" s="11" t="inlineStr">
        <is>
          <t>3.15</t>
        </is>
      </c>
      <c r="C67" s="12" t="inlineStr">
        <is>
          <t>Delete safely, save a section</t>
        </is>
      </c>
      <c r="D67" s="12" t="inlineStr">
        <is>
          <t>Price book</t>
        </is>
      </c>
      <c r="E67" s="13" t="inlineStr">
        <is>
          <t>Bring the deleted item back</t>
        </is>
      </c>
      <c r="F67" s="14" t="inlineStr">
        <is>
          <t>1. Click the ⋮ menu ("More options", top right) › "Deleted Items · 1"
2. Point at "Delete Forever" on Electrical point, new
3. Click "Restore"</t>
        </is>
      </c>
      <c r="G67" s="14" t="inlineStr">
        <is>
          <t>"Delete Forever" is greyed out — it is on quotes, restore it instead — and "Restore" puts the item back in My Items.</t>
        </is>
      </c>
      <c r="H67" s="12" t="inlineStr">
        <is>
          <t>Different from 1.0: items on quotes can't be deleted forever</t>
        </is>
      </c>
      <c r="I67" s="11" t="inlineStr">
        <is>
          <t>Dane</t>
        </is>
      </c>
      <c r="J67" s="15" t="n"/>
      <c r="K67" s="15" t="n"/>
      <c r="L67" s="15" t="n"/>
      <c r="M67" s="16" t="n"/>
      <c r="N67" s="17" t="n"/>
      <c r="O67" s="17" t="n"/>
      <c r="P67" s="15" t="n"/>
    </row>
    <row r="68">
      <c r="A68" s="11" t="n">
        <v>3</v>
      </c>
      <c r="B68" s="11" t="inlineStr">
        <is>
          <t>3.16</t>
        </is>
      </c>
      <c r="C68" s="12" t="inlineStr">
        <is>
          <t>Delete safely, save a section</t>
        </is>
      </c>
      <c r="D68" s="12" t="inlineStr">
        <is>
          <t>Price book</t>
        </is>
      </c>
      <c r="E68" s="13" t="inlineStr">
        <is>
          <t>Save a whole section for future quotes</t>
        </is>
      </c>
      <c r="F68" s="14" t="inlineStr">
        <is>
          <t>1. Click the "My Sections" tab, then "New" › "New section"
2. "Section name": Feature wall package · "Property type": HDB 4-Room · "Tags": Feature wall, Living room
3. Click "Add an item" twice: Fluted feature wall panel, 60, sqft, 42.00 · LED strip light, 1, set, 280.00 (Item · Qty · Unit · Unit price)
4. Click "Save"</t>
        </is>
      </c>
      <c r="G68" s="14" t="inlineStr">
        <is>
          <t>A message says "Feature wall package added to My Sections"; its card reads "2 items · S$2,800.00 · HDB 4-Room".</t>
        </is>
      </c>
      <c r="H68" s="12" t="inlineStr">
        <is>
          <t>Different from 1.0: Packages are now My Sections</t>
        </is>
      </c>
      <c r="I68" s="11" t="inlineStr">
        <is>
          <t>Dane</t>
        </is>
      </c>
      <c r="J68" s="15" t="n"/>
      <c r="K68" s="15" t="n"/>
      <c r="L68" s="15" t="n"/>
      <c r="M68" s="16" t="n"/>
      <c r="N68" s="17" t="n"/>
      <c r="O68" s="17" t="n"/>
      <c r="P68" s="15" t="n"/>
    </row>
    <row r="69">
      <c r="A69" s="11" t="n">
        <v>3</v>
      </c>
      <c r="B69" s="11" t="inlineStr">
        <is>
          <t>3.17</t>
        </is>
      </c>
      <c r="C69" s="12" t="inlineStr">
        <is>
          <t>The template libraries</t>
        </is>
      </c>
      <c r="D69" s="12" t="inlineStr">
        <is>
          <t>Templates</t>
        </is>
      </c>
      <c r="E69" s="13" t="inlineStr">
        <is>
          <t>Open the studio's templates</t>
        </is>
      </c>
      <c r="F69" s="14" t="inlineStr">
        <is>
          <t>1. Click "Company" › "Templates"</t>
        </is>
      </c>
      <c r="G69" s="14" t="inlineStr">
        <is>
          <t>It opens on "Quotes": "Default Quote PDF" with a "Default" chip, the "HDB" and "Show flats" folders, and a "1 awaiting approval" chip.</t>
        </is>
      </c>
      <c r="H69" s="12" t="inlineStr">
        <is>
          <t>Different from 1.0: Company › Templates, with drafts and versions</t>
        </is>
      </c>
      <c r="I69" s="11" t="inlineStr">
        <is>
          <t>Dane</t>
        </is>
      </c>
      <c r="J69" s="15" t="n"/>
      <c r="K69" s="15" t="n"/>
      <c r="L69" s="15" t="n"/>
      <c r="M69" s="16" t="n"/>
      <c r="N69" s="17" t="n"/>
      <c r="O69" s="17" t="n"/>
      <c r="P69" s="15" t="n"/>
    </row>
    <row r="70">
      <c r="A70" s="11" t="n">
        <v>3</v>
      </c>
      <c r="B70" s="11" t="inlineStr">
        <is>
          <t>3.18</t>
        </is>
      </c>
      <c r="C70" s="12" t="inlineStr">
        <is>
          <t>The template libraries</t>
        </is>
      </c>
      <c r="D70" s="12" t="inlineStr">
        <is>
          <t>Templates</t>
        </is>
      </c>
      <c r="E70" s="13" t="inlineStr">
        <is>
          <t>Make a 40/60 payment split</t>
        </is>
      </c>
      <c r="F70" s="14" t="inlineStr">
        <is>
          <t>1. Click the "Payments" tab › "New" › "Blank split"
2. Click the name "Untitled split" and type 40/60
3. Change the first "Share (%)" to 40 and read the line beside "Total"
4. Change the second to 60, then click "Done"</t>
        </is>
      </c>
      <c r="G70" s="14" t="inlineStr">
        <is>
          <t>At 90% it warns "10% short — the last payment will not close the quote"; at 100% it reads "Adds up to the quote".</t>
        </is>
      </c>
      <c r="H70" s="12" t="inlineStr">
        <is>
          <t>Same as 1.0</t>
        </is>
      </c>
      <c r="I70" s="11" t="inlineStr">
        <is>
          <t>Dane</t>
        </is>
      </c>
      <c r="J70" s="15" t="n"/>
      <c r="K70" s="15" t="n"/>
      <c r="L70" s="15" t="n"/>
      <c r="M70" s="16" t="n"/>
      <c r="N70" s="17" t="n"/>
      <c r="O70" s="17" t="n"/>
      <c r="P70" s="15" t="n"/>
    </row>
    <row r="71">
      <c r="A71" s="11" t="n">
        <v>3</v>
      </c>
      <c r="B71" s="11" t="inlineStr">
        <is>
          <t>3.19</t>
        </is>
      </c>
      <c r="C71" s="12" t="inlineStr">
        <is>
          <t>The template libraries</t>
        </is>
      </c>
      <c r="D71" s="12" t="inlineStr">
        <is>
          <t>Templates</t>
        </is>
      </c>
      <c r="E71" s="13" t="inlineStr">
        <is>
          <t>Write a reusable site-protection note</t>
        </is>
      </c>
      <c r="F71" s="14" t="inlineStr">
        <is>
          <t>1. Click the "T&amp;Cs &amp; Notes" tab › "New" › "Additional Notes"
2. Rename "Untitled template" to Site protection
3. In the text, type: Floors and lifts are protected before works start by — then "Insert Token" › "Studio Name"
4. Click "Done"</t>
        </is>
      </c>
      <c r="G71" s="14" t="inlineStr">
        <is>
          <t>The text ends with [Studio Name], filled in on each quote; the gallery shows "Site protection" with a "Notes" chip.</t>
        </is>
      </c>
      <c r="H71" s="12" t="inlineStr">
        <is>
          <t>Different from 1.0: [bracket] tokens, one library for both</t>
        </is>
      </c>
      <c r="I71" s="11" t="inlineStr">
        <is>
          <t>Dane</t>
        </is>
      </c>
      <c r="J71" s="15" t="n"/>
      <c r="K71" s="15" t="n"/>
      <c r="L71" s="15" t="n"/>
      <c r="M71" s="16" t="n"/>
      <c r="N71" s="17" t="n"/>
      <c r="O71" s="17" t="n"/>
      <c r="P71" s="15" t="n"/>
    </row>
    <row r="72">
      <c r="A72" s="11" t="n">
        <v>3</v>
      </c>
      <c r="B72" s="11" t="inlineStr">
        <is>
          <t>3.20</t>
        </is>
      </c>
      <c r="C72" s="12" t="inlineStr">
        <is>
          <t>The template libraries</t>
        </is>
      </c>
      <c r="D72" s="12" t="inlineStr">
        <is>
          <t>Templates</t>
        </is>
      </c>
      <c r="E72" s="13" t="inlineStr">
        <is>
          <t>Save a site-visit checklist as a task template</t>
        </is>
      </c>
      <c r="F72" s="14" t="inlineStr">
        <is>
          <t>1. Click the "Tasks" tab › "New" › "Blank template"; name it Site visit checklist
2. Change "First step" to Measure the site; "Due in (days)": 1
3. Click "Add a step": Photograph the existing condition; "Due in (days)": 1
4. Click "Done"</t>
        </is>
      </c>
      <c r="G72" s="14" t="inlineStr">
        <is>
          <t>Its card reads "2 steps · keeps members · descriptions" with a "Due dates" chip, ready for any lead's Tasks tab.</t>
        </is>
      </c>
      <c r="H72" s="12" t="inlineStr">
        <is>
          <t>New in 2.0</t>
        </is>
      </c>
      <c r="I72" s="11" t="inlineStr">
        <is>
          <t>Dane</t>
        </is>
      </c>
      <c r="J72" s="15" t="n"/>
      <c r="K72" s="15" t="n"/>
      <c r="L72" s="15" t="n"/>
      <c r="M72" s="16" t="n"/>
      <c r="N72" s="17" t="n"/>
      <c r="O72" s="17" t="n"/>
      <c r="P72" s="15" t="n"/>
    </row>
    <row r="73">
      <c r="A73" s="11" t="n">
        <v>3</v>
      </c>
      <c r="B73" s="11" t="inlineStr">
        <is>
          <t>3.21</t>
        </is>
      </c>
      <c r="C73" s="12" t="inlineStr">
        <is>
          <t>Contract templates</t>
        </is>
      </c>
      <c r="D73" s="12" t="inlineStr">
        <is>
          <t>Templates</t>
        </is>
      </c>
      <c r="E73" s="13" t="inlineStr">
        <is>
          <t>Start a contract template from the studio agreement</t>
        </is>
      </c>
      <c r="F73" s="14" t="inlineStr">
        <is>
          <t>1. Click the "Contracts" tab › "New" › "From the studio agreement"
2. Click the title and rename it Renovation Agreement (HDB)
3. Click "eSignatures" and look under "Before the client signs"
4. Close the panel and click "Done"</t>
        </is>
      </c>
      <c r="G73" s="14" t="inlineStr">
        <is>
          <t>"Read to the end" and "Tick to accept" are already on for a new template; the gallery now lists "Renovation Agreement (HDB)".</t>
        </is>
      </c>
      <c r="H73" s="12" t="inlineStr">
        <is>
          <t>Different from 1.0: read-and-accept set on the template</t>
        </is>
      </c>
      <c r="I73" s="11" t="inlineStr">
        <is>
          <t>Dane</t>
        </is>
      </c>
      <c r="J73" s="15" t="n"/>
      <c r="K73" s="15" t="n"/>
      <c r="L73" s="15" t="n"/>
      <c r="M73" s="16" t="n"/>
      <c r="N73" s="17" t="n"/>
      <c r="O73" s="17" t="n"/>
      <c r="P73" s="15" t="n"/>
    </row>
    <row r="74">
      <c r="A74" s="11" t="n">
        <v>3</v>
      </c>
      <c r="B74" s="11" t="inlineStr">
        <is>
          <t>3.22</t>
        </is>
      </c>
      <c r="C74" s="12" t="inlineStr">
        <is>
          <t>Contract templates</t>
        </is>
      </c>
      <c r="D74" s="12" t="inlineStr">
        <is>
          <t>Templates</t>
        </is>
      </c>
      <c r="E74" s="13" t="inlineStr">
        <is>
          <t>Make the studio agreement the default contract</t>
        </is>
      </c>
      <c r="F74" s="14" t="inlineStr">
        <is>
          <t>1. On the "Contracts" tab, open the "Agreements" folder
2. On "Interior Design Service Agreement", open the ⋮ menu › "Set as default"</t>
        </is>
      </c>
      <c r="G74" s="14" t="inlineStr">
        <is>
          <t>A message says it is the default contract template and its card carries a "Default" chip.</t>
        </is>
      </c>
      <c r="H74" s="12" t="inlineStr">
        <is>
          <t>Same as 1.0</t>
        </is>
      </c>
      <c r="I74" s="11" t="inlineStr">
        <is>
          <t>Dane</t>
        </is>
      </c>
      <c r="J74" s="15" t="n"/>
      <c r="K74" s="15" t="n"/>
      <c r="L74" s="15" t="n"/>
      <c r="M74" s="16" t="n"/>
      <c r="N74" s="17" t="n"/>
      <c r="O74" s="17" t="n"/>
      <c r="P74" s="15" t="n"/>
    </row>
    <row r="75">
      <c r="A75" s="11" t="n">
        <v>3</v>
      </c>
      <c r="B75" s="11" t="inlineStr">
        <is>
          <t>3.23</t>
        </is>
      </c>
      <c r="C75" s="12" t="inlineStr">
        <is>
          <t>Build a quote template</t>
        </is>
      </c>
      <c r="D75" s="12" t="inlineStr">
        <is>
          <t>Templates</t>
        </is>
      </c>
      <c r="E75" s="13" t="inlineStr">
        <is>
          <t>Start a quote template from a ready-made design</t>
        </is>
      </c>
      <c r="F75" s="14" t="inlineStr">
        <is>
          <t>1. Click the "Quotes" tab › "New" › "Use a ready-made design"
2. Click the "Presentation" card ("Preview" shows its pages; "Back" returns)
3. "Template name": Studio Presentation, then click "Create template"
4. Click "Got it" on the tip bar</t>
        </is>
      </c>
      <c r="G75" s="14" t="inlineStr">
        <is>
          <t>The template editor opens on "Studio Presentation" with a "Draft" chip and a cover in the studio's accent colour.</t>
        </is>
      </c>
      <c r="H75" s="12" t="inlineStr">
        <is>
          <t>Different from 1.0: whole designs, not preset overlays</t>
        </is>
      </c>
      <c r="I75" s="11" t="inlineStr">
        <is>
          <t>Dane</t>
        </is>
      </c>
      <c r="J75" s="15" t="n"/>
      <c r="K75" s="15" t="n"/>
      <c r="L75" s="15" t="n"/>
      <c r="M75" s="16" t="n"/>
      <c r="N75" s="17" t="n"/>
      <c r="O75" s="17" t="n"/>
      <c r="P75" s="15" t="n"/>
    </row>
    <row r="76">
      <c r="A76" s="11" t="n">
        <v>3</v>
      </c>
      <c r="B76" s="11" t="inlineStr">
        <is>
          <t>3.24</t>
        </is>
      </c>
      <c r="C76" s="12" t="inlineStr">
        <is>
          <t>Build a quote template</t>
        </is>
      </c>
      <c r="D76" s="12" t="inlineStr">
        <is>
          <t>Templates</t>
        </is>
      </c>
      <c r="E76" s="13" t="inlineStr">
        <is>
          <t>Add a thank-you line to the page</t>
        </is>
      </c>
      <c r="F76" s="14" t="inlineStr">
        <is>
          <t>1. On the "Page" tab (left), click "Title &amp; intro"
2. Click "Add to the page" (bottom left) › "Text"
3. On the right, replace the words in "Text" with: Thank you for choosing Demo Studio,</t>
        </is>
      </c>
      <c r="G76" s="14" t="inlineStr">
        <is>
          <t>A "Text" row appears under "Title &amp; intro" and your sentence prints under "Scope of works" on the page.</t>
        </is>
      </c>
      <c r="H76" s="12" t="inlineStr">
        <is>
          <t>Different from 1.0: added to the template, not per lead</t>
        </is>
      </c>
      <c r="I76" s="11" t="inlineStr">
        <is>
          <t>Dane</t>
        </is>
      </c>
      <c r="J76" s="15" t="n"/>
      <c r="K76" s="15" t="n"/>
      <c r="L76" s="15" t="n"/>
      <c r="M76" s="16" t="n"/>
      <c r="N76" s="17" t="n"/>
      <c r="O76" s="17" t="n"/>
      <c r="P76" s="15" t="n"/>
    </row>
    <row r="77">
      <c r="A77" s="11" t="n">
        <v>3</v>
      </c>
      <c r="B77" s="11" t="inlineStr">
        <is>
          <t>3.25</t>
        </is>
      </c>
      <c r="C77" s="12" t="inlineStr">
        <is>
          <t>Build a quote template</t>
        </is>
      </c>
      <c r="D77" s="12" t="inlineStr">
        <is>
          <t>Templates</t>
        </is>
      </c>
      <c r="E77" s="13" t="inlineStr">
        <is>
          <t>Put the client's name into your line</t>
        </is>
      </c>
      <c r="F77" s="14" t="inlineStr">
        <is>
          <t>1. Beside the "Text" box, click "Insert a field" (the { } button)
2. Pick "Client name"</t>
        </is>
      </c>
      <c r="G77" s="14" t="inlineStr">
        <is>
          <t>The box ends with {client_name}; under it: "Prints as: Thank you for choosing Demo Studio, Mr &amp; Mrs Tan" — the sample client.</t>
        </is>
      </c>
      <c r="H77" s="12" t="inlineStr">
        <is>
          <t>Same as 1.0</t>
        </is>
      </c>
      <c r="I77" s="11" t="inlineStr">
        <is>
          <t>Dane</t>
        </is>
      </c>
      <c r="J77" s="15" t="n"/>
      <c r="K77" s="15" t="n"/>
      <c r="L77" s="15" t="n"/>
      <c r="M77" s="16" t="n"/>
      <c r="N77" s="17" t="n"/>
      <c r="O77" s="17" t="n"/>
      <c r="P77" s="15" t="n"/>
    </row>
    <row r="78">
      <c r="A78" s="11" t="n">
        <v>3</v>
      </c>
      <c r="B78" s="11" t="inlineStr">
        <is>
          <t>3.26</t>
        </is>
      </c>
      <c r="C78" s="12" t="inlineStr">
        <is>
          <t>Build a quote template</t>
        </is>
      </c>
      <c r="D78" s="12" t="inlineStr">
        <is>
          <t>Templates</t>
        </is>
      </c>
      <c r="E78" s="13" t="inlineStr">
        <is>
          <t>Remove the line by mistake, then undo</t>
        </is>
      </c>
      <c r="F78" s="14" t="inlineStr">
        <is>
          <t>1. At the top right, click "Remove from the page" (the bin)
2. On the message "Text removed", click "Undo"</t>
        </is>
      </c>
      <c r="G78" s="14" t="inlineStr">
        <is>
          <t>The Text block disappears from the page and the list, then comes back in the same place.</t>
        </is>
      </c>
      <c r="H78" s="12" t="inlineStr">
        <is>
          <t>Same as 1.0</t>
        </is>
      </c>
      <c r="I78" s="11" t="inlineStr">
        <is>
          <t>Dane</t>
        </is>
      </c>
      <c r="J78" s="15" t="n"/>
      <c r="K78" s="15" t="n"/>
      <c r="L78" s="15" t="n"/>
      <c r="M78" s="16" t="n"/>
      <c r="N78" s="17" t="n"/>
      <c r="O78" s="17" t="n"/>
      <c r="P78" s="15" t="n"/>
    </row>
    <row r="79">
      <c r="A79" s="11" t="n">
        <v>3</v>
      </c>
      <c r="B79" s="11" t="inlineStr">
        <is>
          <t>3.27</t>
        </is>
      </c>
      <c r="C79" s="12" t="inlineStr">
        <is>
          <t>Build a quote template</t>
        </is>
      </c>
      <c r="D79" s="12" t="inlineStr">
        <is>
          <t>Templates</t>
        </is>
      </c>
      <c r="E79" s="13" t="inlineStr">
        <is>
          <t>See the template drawn with a real quote</t>
        </is>
      </c>
      <c r="F79" s="14" t="inlineStr">
        <is>
          <t>1. At the top, click "Preview with: Sample quote"
2. Pick any "OM-…" quote
3. When checked, switch back to "Sample quote"</t>
        </is>
      </c>
      <c r="G79" s="14" t="inlineStr">
        <is>
          <t>The pages redraw with that quote's client, lines and totals, then with the sample quote again.</t>
        </is>
      </c>
      <c r="H79" s="12" t="inlineStr">
        <is>
          <t>Different from 1.0: your own quotes, not a fixed sample</t>
        </is>
      </c>
      <c r="I79" s="11" t="inlineStr">
        <is>
          <t>Dane</t>
        </is>
      </c>
      <c r="J79" s="15" t="n"/>
      <c r="K79" s="15" t="n"/>
      <c r="L79" s="15" t="n"/>
      <c r="M79" s="16" t="n"/>
      <c r="N79" s="17" t="n"/>
      <c r="O79" s="17" t="n"/>
      <c r="P79" s="15" t="n"/>
    </row>
    <row r="80">
      <c r="A80" s="11" t="n">
        <v>3</v>
      </c>
      <c r="B80" s="11" t="inlineStr">
        <is>
          <t>3.28</t>
        </is>
      </c>
      <c r="C80" s="12" t="inlineStr">
        <is>
          <t>Make it yours and publish</t>
        </is>
      </c>
      <c r="D80" s="12" t="inlineStr">
        <is>
          <t>Templates</t>
        </is>
      </c>
      <c r="E80" s="13" t="inlineStr">
        <is>
          <t>Give this template its own colour</t>
        </is>
      </c>
      <c r="F80" s="14" t="inlineStr">
        <is>
          <t>1. Click the "Brand" tab (left)
2. Under "Colours", click the "Accent" swatch and pick a dark green</t>
        </is>
      </c>
      <c r="G80" s="14" t="inlineStr">
        <is>
          <t>The cover and the room bands turn green; the Accent row ends "· this template" with a reset button. The brand kit is untouched.</t>
        </is>
      </c>
      <c r="H80" s="12" t="inlineStr">
        <is>
          <t>New in 2.0</t>
        </is>
      </c>
      <c r="I80" s="11" t="inlineStr">
        <is>
          <t>Dane</t>
        </is>
      </c>
      <c r="J80" s="15" t="n"/>
      <c r="K80" s="15" t="n"/>
      <c r="L80" s="15" t="n"/>
      <c r="M80" s="16" t="n"/>
      <c r="N80" s="17" t="n"/>
      <c r="O80" s="17" t="n"/>
      <c r="P80" s="15" t="n"/>
    </row>
    <row r="81">
      <c r="A81" s="11" t="n">
        <v>3</v>
      </c>
      <c r="B81" s="11" t="inlineStr">
        <is>
          <t>3.29</t>
        </is>
      </c>
      <c r="C81" s="12" t="inlineStr">
        <is>
          <t>Make it yours and publish</t>
        </is>
      </c>
      <c r="D81" s="12" t="inlineStr">
        <is>
          <t>Templates</t>
        </is>
      </c>
      <c r="E81" s="13" t="inlineStr">
        <is>
          <t>Number the items A1, A2 in each room</t>
        </is>
      </c>
      <c r="F81" s="14" t="inlineStr">
        <is>
          <t>1. Click the "Page" tab, then "Items table" in the list
2. On the right, "Item numbers": A1 · A2 · B1</t>
        </is>
      </c>
      <c r="G81" s="14" t="inlineStr">
        <is>
          <t>Item numbers on the page read A1, A2… in the first room and B1, B2… in the next.</t>
        </is>
      </c>
      <c r="H81" s="12" t="inlineStr">
        <is>
          <t>Same as 1.0</t>
        </is>
      </c>
      <c r="I81" s="11" t="inlineStr">
        <is>
          <t>Dane</t>
        </is>
      </c>
      <c r="J81" s="15" t="n"/>
      <c r="K81" s="15" t="n"/>
      <c r="L81" s="15" t="n"/>
      <c r="M81" s="16" t="n"/>
      <c r="N81" s="17" t="n"/>
      <c r="O81" s="17" t="n"/>
      <c r="P81" s="15" t="n"/>
    </row>
    <row r="82">
      <c r="A82" s="11" t="n">
        <v>3</v>
      </c>
      <c r="B82" s="11" t="inlineStr">
        <is>
          <t>3.30</t>
        </is>
      </c>
      <c r="C82" s="12" t="inlineStr">
        <is>
          <t>Make it yours and publish</t>
        </is>
      </c>
      <c r="D82" s="12" t="inlineStr">
        <is>
          <t>Templates</t>
        </is>
      </c>
      <c r="E82" s="13" t="inlineStr">
        <is>
          <t>Choose what a new quote starts with</t>
        </is>
      </c>
      <c r="F82" s="14" t="inlineStr">
        <is>
          <t>1. Click the "New quotes" tab
2. "Payment schedule": 40/60 · "Additional Notes": Site protection</t>
        </is>
      </c>
      <c r="G82" s="14" t="inlineStr">
        <is>
          <t>Your split and note are offered from the libraries; the tab warns "Not published yet — quotes can use this template once you press Publish."</t>
        </is>
      </c>
      <c r="H82" s="12" t="inlineStr">
        <is>
          <t>Different from 1.0: sections and defaults, never priced lines</t>
        </is>
      </c>
      <c r="I82" s="11" t="inlineStr">
        <is>
          <t>Dane</t>
        </is>
      </c>
      <c r="J82" s="15" t="n"/>
      <c r="K82" s="15" t="n"/>
      <c r="L82" s="15" t="n"/>
      <c r="M82" s="16" t="n"/>
      <c r="N82" s="17" t="n"/>
      <c r="O82" s="17" t="n"/>
      <c r="P82" s="15" t="n"/>
    </row>
    <row r="83">
      <c r="A83" s="11" t="n">
        <v>3</v>
      </c>
      <c r="B83" s="11" t="inlineStr">
        <is>
          <t>3.31</t>
        </is>
      </c>
      <c r="C83" s="12" t="inlineStr">
        <is>
          <t>Make it yours and publish</t>
        </is>
      </c>
      <c r="D83" s="12" t="inlineStr">
        <is>
          <t>Templates</t>
        </is>
      </c>
      <c r="E83" s="13" t="inlineStr">
        <is>
          <t>Publish the template and make it the default</t>
        </is>
      </c>
      <c r="F83" s="14" t="inlineStr">
        <is>
          <t>1. Click "Publish" (top right)
2. "What changed": First version · turn on "Make it the studio’s default"
3. Click "Publish"</t>
        </is>
      </c>
      <c r="G83" s="14" t="inlineStr">
        <is>
          <t>A message says "Studio Presentation published"; the top shows "Published v1" and "Default", and the button now reads "Published".</t>
        </is>
      </c>
      <c r="H83" s="12" t="inlineStr">
        <is>
          <t>Different from 1.0: drafts publish as numbered versions</t>
        </is>
      </c>
      <c r="I83" s="11" t="inlineStr">
        <is>
          <t>Dane</t>
        </is>
      </c>
      <c r="J83" s="15" t="n"/>
      <c r="K83" s="15" t="n"/>
      <c r="L83" s="15" t="n"/>
      <c r="M83" s="16" t="n"/>
      <c r="N83" s="17" t="n"/>
      <c r="O83" s="17" t="n"/>
      <c r="P83" s="15" t="n"/>
    </row>
    <row r="84">
      <c r="A84" s="11" t="n">
        <v>3</v>
      </c>
      <c r="B84" s="11" t="inlineStr">
        <is>
          <t>3.32</t>
        </is>
      </c>
      <c r="C84" s="12" t="inlineStr">
        <is>
          <t>Make it yours and publish</t>
        </is>
      </c>
      <c r="D84" s="12" t="inlineStr">
        <is>
          <t>Templates</t>
        </is>
      </c>
      <c r="E84" s="13" t="inlineStr">
        <is>
          <t>See the template's version history</t>
        </is>
      </c>
      <c r="F84" s="14" t="inlineStr">
        <is>
          <t>1. Click "History" (the clock icon at the top)</t>
        </is>
      </c>
      <c r="G84" s="14" t="inlineStr">
        <is>
          <t>The History panel lists v1 marked "Current", your note "First version" and your name.</t>
        </is>
      </c>
      <c r="H84" s="12" t="inlineStr">
        <is>
          <t>New in 2.0</t>
        </is>
      </c>
      <c r="I84" s="11" t="inlineStr">
        <is>
          <t>Dane</t>
        </is>
      </c>
      <c r="J84" s="15" t="n"/>
      <c r="K84" s="15" t="n"/>
      <c r="L84" s="15" t="n"/>
      <c r="M84" s="16" t="n"/>
      <c r="N84" s="17" t="n"/>
      <c r="O84" s="17" t="n"/>
      <c r="P84" s="15" t="n"/>
    </row>
    <row r="85">
      <c r="A85" s="11" t="n">
        <v>3</v>
      </c>
      <c r="B85" s="11" t="inlineStr">
        <is>
          <t>3.33</t>
        </is>
      </c>
      <c r="C85" s="12" t="inlineStr">
        <is>
          <t>The studio's default</t>
        </is>
      </c>
      <c r="D85" s="12" t="inlineStr">
        <is>
          <t>Templates</t>
        </is>
      </c>
      <c r="E85" s="13" t="inlineStr">
        <is>
          <t>Check the default moved in the gallery</t>
        </is>
      </c>
      <c r="F85" s="14" t="inlineStr">
        <is>
          <t>1. Close the History panel
2. Click the back arrow ("Back to Quote templates")</t>
        </is>
      </c>
      <c r="G85" s="14" t="inlineStr">
        <is>
          <t>"Studio Presentation" now carries the "Default" chip and "Published v1"; "Default Quote PDF" no longer does.</t>
        </is>
      </c>
      <c r="H85" s="12" t="inlineStr">
        <is>
          <t>Same as 1.0</t>
        </is>
      </c>
      <c r="I85" s="11" t="inlineStr">
        <is>
          <t>Dane</t>
        </is>
      </c>
      <c r="J85" s="15" t="n"/>
      <c r="K85" s="15" t="n"/>
      <c r="L85" s="15" t="n"/>
      <c r="M85" s="16" t="n"/>
      <c r="N85" s="17" t="n"/>
      <c r="O85" s="17" t="n"/>
      <c r="P85" s="15" t="n"/>
    </row>
    <row r="86">
      <c r="A86" s="11" t="n">
        <v>3</v>
      </c>
      <c r="B86" s="11" t="inlineStr">
        <is>
          <t>3.34</t>
        </is>
      </c>
      <c r="C86" s="12" t="inlineStr">
        <is>
          <t>The studio's default</t>
        </is>
      </c>
      <c r="D86" s="12" t="inlineStr">
        <is>
          <t>Templates</t>
        </is>
      </c>
      <c r="E86" s="13" t="inlineStr">
        <is>
          <t>See the default in the brand kit preview</t>
        </is>
      </c>
      <c r="F86" s="14" t="inlineStr">
        <is>
          <t>1. Click the "Brand kit" tab</t>
        </is>
      </c>
      <c r="G86" s="14" t="inlineStr">
        <is>
          <t>The preview on the right is labelled "Default template · Studio Presentation" and shows its first page.</t>
        </is>
      </c>
      <c r="H86" s="12" t="inlineStr">
        <is>
          <t>New in 2.0</t>
        </is>
      </c>
      <c r="I86" s="11" t="inlineStr">
        <is>
          <t>Dane</t>
        </is>
      </c>
      <c r="J86" s="15" t="n"/>
      <c r="K86" s="15" t="n"/>
      <c r="L86" s="15" t="n"/>
      <c r="M86" s="16" t="n"/>
      <c r="N86" s="17" t="n"/>
      <c r="O86" s="17" t="n"/>
      <c r="P86" s="15" t="n"/>
    </row>
    <row r="87">
      <c r="A87" s="11" t="n">
        <v>3</v>
      </c>
      <c r="B87" s="11" t="inlineStr">
        <is>
          <t>3.35</t>
        </is>
      </c>
      <c r="C87" s="12" t="inlineStr">
        <is>
          <t>The studio's default</t>
        </is>
      </c>
      <c r="D87" s="12" t="inlineStr">
        <is>
          <t>Templates</t>
        </is>
      </c>
      <c r="E87" s="13" t="inlineStr">
        <is>
          <t>Look at the deleted templates</t>
        </is>
      </c>
      <c r="F87" s="14" t="inlineStr">
        <is>
          <t>1. Click the "Quotes" tab
2. Click the ⋮ menu ("More options", top right) › "Deleted Templates · 2"
3. Close the panel</t>
        </is>
      </c>
      <c r="G87" s="14" t="inlineStr">
        <is>
          <t>"Copy of Default Quote PDF" and "Test" wait there with "Restore" and "Delete Forever" — nothing is lost at once.</t>
        </is>
      </c>
      <c r="H87" s="12" t="inlineStr">
        <is>
          <t>Different from 1.0: deleted templates can be restored</t>
        </is>
      </c>
      <c r="I87" s="11" t="inlineStr">
        <is>
          <t>Dane</t>
        </is>
      </c>
      <c r="J87" s="15" t="n"/>
      <c r="K87" s="15" t="n"/>
      <c r="L87" s="15" t="n"/>
      <c r="M87" s="16" t="n"/>
      <c r="N87" s="17" t="n"/>
      <c r="O87" s="17" t="n"/>
      <c r="P87" s="15" t="n"/>
    </row>
    <row r="88">
      <c r="A88" s="11" t="n">
        <v>3</v>
      </c>
      <c r="B88" s="11" t="inlineStr">
        <is>
          <t>3.36</t>
        </is>
      </c>
      <c r="C88" s="12" t="inlineStr">
        <is>
          <t>The studio's default</t>
        </is>
      </c>
      <c r="D88" s="12" t="inlineStr">
        <is>
          <t>Templates</t>
        </is>
      </c>
      <c r="E88" s="13" t="inlineStr">
        <is>
          <t>Put the studio's default back</t>
        </is>
      </c>
      <c r="F88" s="14" t="inlineStr">
        <is>
          <t>1. On "Default Quote PDF", open the ⋮ menu › "Set as default"</t>
        </is>
      </c>
      <c r="G88" s="14" t="inlineStr">
        <is>
          <t>A message says "Default Quote PDF is the default template" and the Default chip moves back — chapter 6's quotes start from it.</t>
        </is>
      </c>
      <c r="H88" s="12" t="inlineStr">
        <is>
          <t>Same as 1.0</t>
        </is>
      </c>
      <c r="I88" s="11" t="inlineStr">
        <is>
          <t>Dane</t>
        </is>
      </c>
      <c r="J88" s="15" t="n"/>
      <c r="K88" s="15" t="n"/>
      <c r="L88" s="15" t="n"/>
      <c r="M88" s="16" t="n"/>
      <c r="N88" s="17" t="n"/>
      <c r="O88" s="17" t="n"/>
      <c r="P88" s="15" t="n"/>
    </row>
    <row r="89">
      <c r="A89" s="11" t="n">
        <v>3</v>
      </c>
      <c r="B89" s="11" t="inlineStr">
        <is>
          <t>3.37</t>
        </is>
      </c>
      <c r="C89" s="12" t="inlineStr">
        <is>
          <t>The question bank</t>
        </is>
      </c>
      <c r="D89" s="12" t="inlineStr">
        <is>
          <t>Company</t>
        </is>
      </c>
      <c r="E89" s="13" t="inlineStr">
        <is>
          <t>Add a question every new lead starts with</t>
        </is>
      </c>
      <c r="F89" s="14" t="inlineStr">
        <is>
          <t>1. Click "Company" › "Questionnaire", then "Add question"
2. "Question": Will anyone work from home? · "Type": Single select
3. "Option 1": Yes, every day · "Add option": Some days · "Add option": No
4. Click "Add"</t>
        </is>
      </c>
      <c r="G89" s="14" t="inlineStr">
        <is>
          <t>A message says "Question added"; it joins the bottom of the "Question bank" with a "Single select" chip and "Active" on.</t>
        </is>
      </c>
      <c r="H89" s="12" t="inlineStr">
        <is>
          <t>Same as 1.0</t>
        </is>
      </c>
      <c r="I89" s="11" t="inlineStr">
        <is>
          <t>Dane</t>
        </is>
      </c>
      <c r="J89" s="15" t="n"/>
      <c r="K89" s="15" t="n"/>
      <c r="L89" s="15" t="n"/>
      <c r="M89" s="16" t="n"/>
      <c r="N89" s="17" t="n"/>
      <c r="O89" s="17" t="n"/>
      <c r="P89" s="15" t="n"/>
    </row>
    <row r="90">
      <c r="A90" s="11" t="n">
        <v>3</v>
      </c>
      <c r="B90" s="11" t="inlineStr">
        <is>
          <t>3.38</t>
        </is>
      </c>
      <c r="C90" s="12" t="inlineStr">
        <is>
          <t>The question bank</t>
        </is>
      </c>
      <c r="D90" s="12" t="inlineStr">
        <is>
          <t>Company</t>
        </is>
      </c>
      <c r="E90" s="13" t="inlineStr">
        <is>
          <t>Move your question higher in the list</t>
        </is>
      </c>
      <c r="F90" s="14" t="inlineStr">
        <is>
          <t>1. On your new question, click "Move up" (the up arrow) twice</t>
        </is>
      </c>
      <c r="G90" s="14" t="inlineStr">
        <is>
          <t>A message says "Order saved" each time and the question sits two places higher; Sophia's questionnaire (chapter 4) follows this order.</t>
        </is>
      </c>
      <c r="H90" s="12" t="inlineStr">
        <is>
          <t>Same as 1.0</t>
        </is>
      </c>
      <c r="I90" s="11" t="inlineStr">
        <is>
          <t>Dane</t>
        </is>
      </c>
      <c r="J90" s="15" t="n"/>
      <c r="K90" s="15" t="n"/>
      <c r="L90" s="15" t="n"/>
      <c r="M90" s="16" t="n"/>
      <c r="N90" s="17" t="n"/>
      <c r="O90" s="17" t="n"/>
      <c r="P90" s="15" t="n"/>
    </row>
    <row r="91" ht="22" customHeight="1">
      <c r="A91" s="9" t="inlineStr">
        <is>
          <t>Chapter 4 · Leads arrive — Add, import and capture leads; find them in the list.</t>
        </is>
      </c>
      <c r="M91" s="10" t="n"/>
    </row>
    <row r="92">
      <c r="A92" s="11" t="n">
        <v>4</v>
      </c>
      <c r="B92" s="11" t="inlineStr">
        <is>
          <t>4.01</t>
        </is>
      </c>
      <c r="C92" s="12" t="inlineStr">
        <is>
          <t>A new enquiry by hand</t>
        </is>
      </c>
      <c r="D92" s="12" t="inlineStr">
        <is>
          <t>Leads</t>
        </is>
      </c>
      <c r="E92" s="13" t="inlineStr">
        <is>
          <t>Open a new lead form with one key</t>
        </is>
      </c>
      <c r="F92" s="14" t="inlineStr">
        <is>
          <t>1. Click "Leads" in the side navigation
2. Click an empty part of the page (not a search box)
3. Press the C key</t>
        </is>
      </c>
      <c r="G92" s="14" t="inlineStr">
        <is>
          <t>The "Create New Lead" form opens with the cursor already in "Lead name".</t>
        </is>
      </c>
      <c r="H92" s="12" t="inlineStr">
        <is>
          <t>Same as 1.0</t>
        </is>
      </c>
      <c r="I92" s="11" t="inlineStr">
        <is>
          <t>Dane</t>
        </is>
      </c>
      <c r="J92" s="15" t="n"/>
      <c r="K92" s="15" t="n"/>
      <c r="L92" s="15" t="n"/>
      <c r="M92" s="16" t="n"/>
      <c r="N92" s="17" t="n"/>
      <c r="O92" s="17" t="n"/>
      <c r="P92" s="15" t="n"/>
    </row>
    <row r="93">
      <c r="A93" s="11" t="n">
        <v>4</v>
      </c>
      <c r="B93" s="11" t="inlineStr">
        <is>
          <t>4.02</t>
        </is>
      </c>
      <c r="C93" s="12" t="inlineStr">
        <is>
          <t>A new enquiry by hand</t>
        </is>
      </c>
      <c r="D93" s="12" t="inlineStr">
        <is>
          <t>Leads</t>
        </is>
      </c>
      <c r="E93" s="13" t="inlineStr">
        <is>
          <t>Let the document reader fill a lead for you</t>
        </is>
      </c>
      <c r="F93" s="14" t="inlineStr">
        <is>
          <t>1. In the open form, click "Fill from a document"
2. Press "Upload" (no file needed — this is a demo)
3. Look at the fields, then press "Cancel" at the bottom</t>
        </is>
      </c>
      <c r="G93" s="14" t="inlineStr">
        <is>
          <t>Empty fields fill with a sample enquiry (Nurul Hassan, Condo 3-bedder, East) and a PDF is attached; Cancel closes without saving anything.</t>
        </is>
      </c>
      <c r="H93" s="12" t="inlineStr">
        <is>
          <t>Different from 1.0: fixed sample values stand in for AI reading</t>
        </is>
      </c>
      <c r="I93" s="11" t="inlineStr">
        <is>
          <t>Dane</t>
        </is>
      </c>
      <c r="J93" s="15" t="n"/>
      <c r="K93" s="15" t="n"/>
      <c r="L93" s="15" t="n"/>
      <c r="M93" s="16" t="n"/>
      <c r="N93" s="17" t="n"/>
      <c r="O93" s="17" t="n"/>
      <c r="P93" s="15" t="n"/>
    </row>
    <row r="94">
      <c r="A94" s="11" t="n">
        <v>4</v>
      </c>
      <c r="B94" s="11" t="inlineStr">
        <is>
          <t>4.03</t>
        </is>
      </c>
      <c r="C94" s="12" t="inlineStr">
        <is>
          <t>A new enquiry by hand</t>
        </is>
      </c>
      <c r="D94" s="12" t="inlineStr">
        <is>
          <t>Leads</t>
        </is>
      </c>
      <c r="E94" s="13" t="inlineStr">
        <is>
          <t>Get warned about a lead you already have</t>
        </is>
      </c>
      <c r="F94" s="14" t="inlineStr">
        <is>
          <t>1. Click "Add Lead", then "Create New Lead"
2. "Lead name": Test Duplicate · "Lead phone number": 9123 8803
3. Press "Create"
4. In the warning, press "Open existing lead"</t>
        </is>
      </c>
      <c r="G94" s="14" t="inlineStr">
        <is>
          <t>"A lead with this phone already exists" names Kenji Sato · 9123 8803 · Lost; the button opens his lead and nothing new is created.</t>
        </is>
      </c>
      <c r="H94" s="12" t="inlineStr">
        <is>
          <t>Different from 1.0: "Create anyway" creates it, not held for review</t>
        </is>
      </c>
      <c r="I94" s="11" t="inlineStr">
        <is>
          <t>Dane</t>
        </is>
      </c>
      <c r="J94" s="15" t="n"/>
      <c r="K94" s="15" t="n"/>
      <c r="L94" s="15" t="n"/>
      <c r="M94" s="16" t="n"/>
      <c r="N94" s="17" t="n"/>
      <c r="O94" s="17" t="n"/>
      <c r="P94" s="15" t="n"/>
    </row>
    <row r="95">
      <c r="A95" s="11" t="n">
        <v>4</v>
      </c>
      <c r="B95" s="11" t="inlineStr">
        <is>
          <t>4.04</t>
        </is>
      </c>
      <c r="C95" s="12" t="inlineStr">
        <is>
          <t>Sophia Wong gets in touch</t>
        </is>
      </c>
      <c r="D95" s="12" t="inlineStr">
        <is>
          <t>Leads</t>
        </is>
      </c>
      <c r="E95" s="13" t="inlineStr">
        <is>
          <t>Start Sophia's lead and test the budget limit</t>
        </is>
      </c>
      <c r="F95" s="14" t="inlineStr">
        <is>
          <t>1. Back on "Leads", click "Add Lead", then "Create New Lead"
2. "Lead name" Sophia Wong · "Lead phone number" 9765 4321 · "Lead source" Referral · "Property type" HDB 4-Room · "Property address" Blk 201 Tampines Street 21 · "District" East — leave "Assign member" empty
3. Open "Additional info": "Lead email" sophia.wong@example.com · "Estimated budget (S$)" 500
4. Press "Create"</t>
        </is>
      </c>
      <c r="G95" s="14" t="inlineStr">
        <is>
          <t>The form stays open and the budget box says "Enter a budget between S$1,000 and S$5,000,000".</t>
        </is>
      </c>
      <c r="H95" s="12" t="inlineStr">
        <is>
          <t>Same as 1.0</t>
        </is>
      </c>
      <c r="I95" s="11" t="inlineStr">
        <is>
          <t>Dane</t>
        </is>
      </c>
      <c r="J95" s="15" t="n"/>
      <c r="K95" s="15" t="n"/>
      <c r="L95" s="15" t="n"/>
      <c r="M95" s="16" t="n"/>
      <c r="N95" s="17" t="n"/>
      <c r="O95" s="17" t="n"/>
      <c r="P95" s="15" t="n"/>
    </row>
    <row r="96">
      <c r="A96" s="11" t="n">
        <v>4</v>
      </c>
      <c r="B96" s="11" t="inlineStr">
        <is>
          <t>4.05</t>
        </is>
      </c>
      <c r="C96" s="12" t="inlineStr">
        <is>
          <t>Sophia Wong gets in touch</t>
        </is>
      </c>
      <c r="D96" s="12" t="inlineStr">
        <is>
          <t>Leads</t>
        </is>
      </c>
      <c r="E96" s="13" t="inlineStr">
        <is>
          <t>Save Sophia's lead with her floor plan attached</t>
        </is>
      </c>
      <c r="F96" s="14" t="inlineStr">
        <is>
          <t>1. Change "Estimated budget (S$)" to 60,000
2. "Condition" Resale · "Key collection" in 3 months (fill any custom field your studio still has)
3. Under "Attach files (optional)" press "Attach" and pick sophia-floor-plan.pdf
4. Press "Create"</t>
        </is>
      </c>
      <c r="G96" s="14" t="inlineStr">
        <is>
          <t>"Successfully Created"; Sophia Wong tops the list in New, with a coloured band on the left and "Assign" under Members.</t>
        </is>
      </c>
      <c r="H96" s="12" t="inlineStr">
        <is>
          <t>Different from 1.0: one name field; only name and phone required</t>
        </is>
      </c>
      <c r="I96" s="11" t="inlineStr">
        <is>
          <t>Dane</t>
        </is>
      </c>
      <c r="J96" s="15" t="n"/>
      <c r="K96" s="15" t="n"/>
      <c r="L96" s="15" t="n"/>
      <c r="M96" s="16" t="n"/>
      <c r="N96" s="17" t="n"/>
      <c r="O96" s="17" t="n"/>
      <c r="P96" s="15" t="n"/>
    </row>
    <row r="97">
      <c r="A97" s="11" t="n">
        <v>4</v>
      </c>
      <c r="B97" s="11" t="inlineStr">
        <is>
          <t>4.06</t>
        </is>
      </c>
      <c r="C97" s="12" t="inlineStr">
        <is>
          <t>Leads from files</t>
        </is>
      </c>
      <c r="D97" s="12" t="inlineStr">
        <is>
          <t>Leads</t>
        </is>
      </c>
      <c r="E97" s="13" t="inlineStr">
        <is>
          <t>Upload a spreadsheet of new leads</t>
        </is>
      </c>
      <c r="F97" s="14" t="inlineStr">
        <is>
          <t>1. Click "Add Lead", then "Import from File"
2. Drop new-leads.xlsx on "Drop your file or browse"
3. Press "Next"
4. Read the column list, then press "Next" again</t>
        </is>
      </c>
      <c r="G97" s="14" t="inlineStr">
        <is>
          <t>"Success!" says "Detected 5 line(s)"; all 11 columns are tagged "Auto-matched"; the preview table lists the five rows.</t>
        </is>
      </c>
      <c r="H97" s="12" t="inlineStr">
        <is>
          <t>New in 2.0</t>
        </is>
      </c>
      <c r="I97" s="11" t="inlineStr">
        <is>
          <t>Dane</t>
        </is>
      </c>
      <c r="J97" s="15" t="n"/>
      <c r="K97" s="15" t="n"/>
      <c r="L97" s="15" t="n"/>
      <c r="M97" s="16" t="n"/>
      <c r="N97" s="17" t="n"/>
      <c r="O97" s="17" t="n"/>
      <c r="P97" s="15" t="n"/>
    </row>
    <row r="98">
      <c r="A98" s="11" t="n">
        <v>4</v>
      </c>
      <c r="B98" s="11" t="inlineStr">
        <is>
          <t>4.07</t>
        </is>
      </c>
      <c r="C98" s="12" t="inlineStr">
        <is>
          <t>Leads from files</t>
        </is>
      </c>
      <c r="D98" s="12" t="inlineStr">
        <is>
          <t>Leads</t>
        </is>
      </c>
      <c r="E98" s="13" t="inlineStr">
        <is>
          <t>Send the clean leads straight to your list</t>
        </is>
      </c>
      <c r="F98" s="14" t="inlineStr">
        <is>
          <t>1. Press "Import"
2. In "Lead routing" choose "Add to my lead listing", press "Import"
3. Read the result, press "Done"</t>
        </is>
      </c>
      <c r="G98" s="14" t="inlineStr">
        <is>
          <t>"4 of 5 records imported successfully" · "3 leads added to your listing · 1 possible duplicate sent to review"; three new leads appear.</t>
        </is>
      </c>
      <c r="H98" s="12" t="inlineStr">
        <is>
          <t>New in 2.0</t>
        </is>
      </c>
      <c r="I98" s="11" t="inlineStr">
        <is>
          <t>Dane</t>
        </is>
      </c>
      <c r="J98" s="15" t="n"/>
      <c r="K98" s="15" t="n"/>
      <c r="L98" s="15" t="n"/>
      <c r="M98" s="16" t="n"/>
      <c r="N98" s="17" t="n"/>
      <c r="O98" s="17" t="n"/>
      <c r="P98" s="15" t="n"/>
    </row>
    <row r="99">
      <c r="A99" s="11" t="n">
        <v>4</v>
      </c>
      <c r="B99" s="11" t="inlineStr">
        <is>
          <t>4.08</t>
        </is>
      </c>
      <c r="C99" s="12" t="inlineStr">
        <is>
          <t>Leads from files</t>
        </is>
      </c>
      <c r="D99" s="12" t="inlineStr">
        <is>
          <t>Leads</t>
        </is>
      </c>
      <c r="E99" s="13" t="inlineStr">
        <is>
          <t>See the import on record, with the row it skipped</t>
        </is>
      </c>
      <c r="F99" s="14" t="inlineStr">
        <is>
          <t>1. On Leads, click ⋮ ("More options"), then "Lead Import History"
2. Find new-leads.xlsx
3. Click "Download Skipped Records"</t>
        </is>
      </c>
      <c r="G99" s="14" t="inlineStr">
        <is>
          <t>The row reads 5 total, 4 imported and "1 error detected across 1 skipped lead"; the download lists the nameless row with "Missing Lead Name".</t>
        </is>
      </c>
      <c r="H99" s="12" t="inlineStr">
        <is>
          <t>New in 2.0</t>
        </is>
      </c>
      <c r="I99" s="11" t="inlineStr">
        <is>
          <t>Dane</t>
        </is>
      </c>
      <c r="J99" s="15" t="n"/>
      <c r="K99" s="15" t="n"/>
      <c r="L99" s="15" t="n"/>
      <c r="M99" s="16" t="n"/>
      <c r="N99" s="17" t="n"/>
      <c r="O99" s="17" t="n"/>
      <c r="P99" s="15" t="n"/>
    </row>
    <row r="100">
      <c r="A100" s="11" t="n">
        <v>4</v>
      </c>
      <c r="B100" s="11" t="inlineStr">
        <is>
          <t>4.09</t>
        </is>
      </c>
      <c r="C100" s="12" t="inlineStr">
        <is>
          <t>Leads from files</t>
        </is>
      </c>
      <c r="D100" s="12" t="inlineStr">
        <is>
          <t>Leads</t>
        </is>
      </c>
      <c r="E100" s="13" t="inlineStr">
        <is>
          <t>Import a PDF lead sheet to check first</t>
        </is>
      </c>
      <c r="F100" s="14" t="inlineStr">
        <is>
          <t>1. Back on Leads, click "Add Lead", then "Import from File"
2. Drop homematch-lead-sheet.pdf, press "Next" twice
3. Press "Import", choose "Review and approve manually", press "Import"
4. Press "Done"</t>
        </is>
      </c>
      <c r="G100" s="14" t="inlineStr">
        <is>
          <t>"Detected 2 line(s)"; the result reads "2 of 2 records imported successfully" and "2 leads waiting in Review imported leads"; the list itself is unchanged.</t>
        </is>
      </c>
      <c r="H100" s="12" t="inlineStr">
        <is>
          <t>New in 2.0</t>
        </is>
      </c>
      <c r="I100" s="11" t="inlineStr">
        <is>
          <t>Dane</t>
        </is>
      </c>
      <c r="J100" s="15" t="n"/>
      <c r="K100" s="15" t="n"/>
      <c r="L100" s="15" t="n"/>
      <c r="M100" s="16" t="n"/>
      <c r="N100" s="17" t="n"/>
      <c r="O100" s="17" t="n"/>
      <c r="P100" s="15" t="n"/>
    </row>
    <row r="101">
      <c r="A101" s="11" t="n">
        <v>4</v>
      </c>
      <c r="B101" s="11" t="inlineStr">
        <is>
          <t>4.10</t>
        </is>
      </c>
      <c r="C101" s="12" t="inlineStr">
        <is>
          <t>Review what came in</t>
        </is>
      </c>
      <c r="D101" s="12" t="inlineStr">
        <is>
          <t>Leads</t>
        </is>
      </c>
      <c r="E101" s="13" t="inlineStr">
        <is>
          <t>Open the review queue</t>
        </is>
      </c>
      <c r="F101" s="14" t="inlineStr">
        <is>
          <t>1. On Leads, click the "Review imported leads" bar at the bottom
2. Find Gerald Tan and your two PDF leads
3. Switch on "Show only duplicates", then off again</t>
        </is>
      </c>
      <c r="G101" s="14" t="inlineStr">
        <is>
          <t>Gerald Tan is tagged DUPLICATE with "Matches: Gerald Tan"; Vanessa Ho and Samuel Yeo are PENDING; the switch narrows the queue to duplicates.</t>
        </is>
      </c>
      <c r="H101" s="12" t="inlineStr">
        <is>
          <t>Same as 1.0</t>
        </is>
      </c>
      <c r="I101" s="11" t="inlineStr">
        <is>
          <t>Dane</t>
        </is>
      </c>
      <c r="J101" s="15" t="n"/>
      <c r="K101" s="15" t="n"/>
      <c r="L101" s="15" t="n"/>
      <c r="M101" s="16" t="n"/>
      <c r="N101" s="17" t="n"/>
      <c r="O101" s="17" t="n"/>
      <c r="P101" s="15" t="n"/>
    </row>
    <row r="102">
      <c r="A102" s="11" t="n">
        <v>4</v>
      </c>
      <c r="B102" s="11" t="inlineStr">
        <is>
          <t>4.11</t>
        </is>
      </c>
      <c r="C102" s="12" t="inlineStr">
        <is>
          <t>Review what came in</t>
        </is>
      </c>
      <c r="D102" s="12" t="inlineStr">
        <is>
          <t>Leads</t>
        </is>
      </c>
      <c r="E102" s="13" t="inlineStr">
        <is>
          <t>Merge the repeat enquiry into Gerald's lead</t>
        </is>
      </c>
      <c r="F102" s="14" t="inlineStr">
        <is>
          <t>1. On Gerald Tan's card press "View &amp; Merge"
2. In the "Budget (S$)" row, click the round button beside 120,000 (the "New" column)
3. Read the "Merged result" column
4. Press "Merge into Existing"</t>
        </is>
      </c>
      <c r="G102" s="14" t="inlineStr">
        <is>
          <t>Phone says "identical - matched on this"; Email and District fill in by themselves; "Merged into the existing lead"; Gerald's budget becomes 120,000.</t>
        </is>
      </c>
      <c r="H102" s="12" t="inlineStr">
        <is>
          <t>Different from 1.0: side by side; you pick each clashing value</t>
        </is>
      </c>
      <c r="I102" s="11" t="inlineStr">
        <is>
          <t>Dane</t>
        </is>
      </c>
      <c r="J102" s="15" t="n"/>
      <c r="K102" s="15" t="n"/>
      <c r="L102" s="15" t="n"/>
      <c r="M102" s="16" t="n"/>
      <c r="N102" s="17" t="n"/>
      <c r="O102" s="17" t="n"/>
      <c r="P102" s="15" t="n"/>
    </row>
    <row r="103">
      <c r="A103" s="11" t="n">
        <v>4</v>
      </c>
      <c r="B103" s="11" t="inlineStr">
        <is>
          <t>4.12</t>
        </is>
      </c>
      <c r="C103" s="12" t="inlineStr">
        <is>
          <t>Review what came in</t>
        </is>
      </c>
      <c r="D103" s="12" t="inlineStr">
        <is>
          <t>Leads</t>
        </is>
      </c>
      <c r="E103" s="13" t="inlineStr">
        <is>
          <t>Approve the two PDF leads</t>
        </is>
      </c>
      <c r="F103" s="14" t="inlineStr">
        <is>
          <t>1. In the queue, click the "Others (2)" chip
2. On Vanessa Ho's card press "Approve"
3. On Samuel Yeo's card press "Approve"
4. Close the queue</t>
        </is>
      </c>
      <c r="G103" s="14" t="inlineStr">
        <is>
          <t>Each press says "Lead approved and added to your leads"; both leads now show in the list in New.</t>
        </is>
      </c>
      <c r="H103" s="12" t="inlineStr">
        <is>
          <t>Same as 1.0</t>
        </is>
      </c>
      <c r="I103" s="11" t="inlineStr">
        <is>
          <t>Dane</t>
        </is>
      </c>
      <c r="J103" s="15" t="n"/>
      <c r="K103" s="15" t="n"/>
      <c r="L103" s="15" t="n"/>
      <c r="M103" s="16" t="n"/>
      <c r="N103" s="17" t="n"/>
      <c r="O103" s="17" t="n"/>
      <c r="P103" s="15" t="n"/>
    </row>
    <row r="104">
      <c r="A104" s="11" t="n">
        <v>4</v>
      </c>
      <c r="B104" s="11" t="inlineStr">
        <is>
          <t>4.13</t>
        </is>
      </c>
      <c r="C104" s="12" t="inlineStr">
        <is>
          <t>Leads that arrive by themselves</t>
        </is>
      </c>
      <c r="D104" s="12" t="inlineStr">
        <is>
          <t>Company</t>
        </is>
      </c>
      <c r="E104" s="13" t="inlineStr">
        <is>
          <t>Receive a lead from an ad form (Webhooks)</t>
        </is>
      </c>
      <c r="F104" s="14" t="inlineStr">
        <is>
          <t>1. On Leads, click "Add Lead", then "Link to Zapier"
2. In the "Webhooks" card, find the "Google Ads" row
3. Press "Simulate a POST (demo)"</t>
        </is>
      </c>
      <c r="G104" s="14" t="inlineStr">
        <is>
          <t>A message says someone "arrived via Google Ads" (new, or a known number sent to review); the counters rise and "Recent activity" gains a row.</t>
        </is>
      </c>
      <c r="H104" s="12" t="inlineStr">
        <is>
          <t>Different from 1.0: a demo POST stands in for real traffic</t>
        </is>
      </c>
      <c r="I104" s="11" t="inlineStr">
        <is>
          <t>Dane</t>
        </is>
      </c>
      <c r="J104" s="15" t="n"/>
      <c r="K104" s="15" t="n"/>
      <c r="L104" s="15" t="n"/>
      <c r="M104" s="16" t="n"/>
      <c r="N104" s="17" t="n"/>
      <c r="O104" s="17" t="n"/>
      <c r="P104" s="15" t="n"/>
    </row>
    <row r="105">
      <c r="A105" s="11" t="n">
        <v>4</v>
      </c>
      <c r="B105" s="11" t="inlineStr">
        <is>
          <t>4.14</t>
        </is>
      </c>
      <c r="C105" s="12" t="inlineStr">
        <is>
          <t>Leads that arrive by themselves</t>
        </is>
      </c>
      <c r="D105" s="12" t="inlineStr">
        <is>
          <t>Company</t>
        </is>
      </c>
      <c r="E105" s="13" t="inlineStr">
        <is>
          <t>Pick up leads from portal emails</t>
        </is>
      </c>
      <c r="F105" s="14" t="inlineStr">
        <is>
          <t>1. Scroll to the "Email lead sources" card
2. Press "Connect Gmail"
3. Press "Sync now"</t>
        </is>
      </c>
      <c r="G105" s="14" t="inlineStr">
        <is>
          <t>"Gmail connected — the platforms below are monitored"; the card turns ACTIVE; Sync now names who "enquired via @…" and EMAILS FOUND reads 1.</t>
        </is>
      </c>
      <c r="H105" s="12" t="inlineStr">
        <is>
          <t>Different from 1.0: a stand-in inbox; each sync plays one enquiry</t>
        </is>
      </c>
      <c r="I105" s="11" t="inlineStr">
        <is>
          <t>Dane</t>
        </is>
      </c>
      <c r="J105" s="15" t="n"/>
      <c r="K105" s="15" t="n"/>
      <c r="L105" s="15" t="n"/>
      <c r="M105" s="16" t="n"/>
      <c r="N105" s="17" t="n"/>
      <c r="O105" s="17" t="n"/>
      <c r="P105" s="15" t="n"/>
    </row>
    <row r="106">
      <c r="A106" s="11" t="n">
        <v>4</v>
      </c>
      <c r="B106" s="11" t="inlineStr">
        <is>
          <t>4.15</t>
        </is>
      </c>
      <c r="C106" s="12" t="inlineStr">
        <is>
          <t>Leads that arrive by themselves</t>
        </is>
      </c>
      <c r="D106" s="12" t="inlineStr">
        <is>
          <t>Leads</t>
        </is>
      </c>
      <c r="E106" s="13" t="inlineStr">
        <is>
          <t>Check the lead that came from Qanvast</t>
        </is>
      </c>
      <c r="F106" s="14" t="inlineStr">
        <is>
          <t>1. On Leads, open Hakim Salleh
2. Look at the source chip, then open ⋮ ("More options")
3. Click "Qanvast Ops" in the side navigation and find Hakim Salleh</t>
        </is>
      </c>
      <c r="G106" s="14" t="inlineStr">
        <is>
          <t>His QANVAST chip is green and the menu offers "Return Lead"; Qanvast Ops lists him with Return window "Opens in 7 days".</t>
        </is>
      </c>
      <c r="H106" s="12" t="inlineStr">
        <is>
          <t>New in 2.0</t>
        </is>
      </c>
      <c r="I106" s="11" t="inlineStr">
        <is>
          <t>Dane</t>
        </is>
      </c>
      <c r="J106" s="15" t="n"/>
      <c r="K106" s="15" t="n"/>
      <c r="L106" s="15" t="n"/>
      <c r="M106" s="16" t="n"/>
      <c r="N106" s="17" t="n"/>
      <c r="O106" s="17" t="n"/>
      <c r="P106" s="15" t="n"/>
    </row>
    <row r="107">
      <c r="A107" s="11" t="n">
        <v>4</v>
      </c>
      <c r="B107" s="11" t="inlineStr">
        <is>
          <t>4.16</t>
        </is>
      </c>
      <c r="C107" s="12" t="inlineStr">
        <is>
          <t>Find your way around the list</t>
        </is>
      </c>
      <c r="D107" s="12" t="inlineStr">
        <is>
          <t>Leads</t>
        </is>
      </c>
      <c r="E107" s="13" t="inlineStr">
        <is>
          <t>Find Sophia by part of her phone number</t>
        </is>
      </c>
      <c r="F107" s="14" t="inlineStr">
        <is>
          <t>1. On Leads, click the search box ("Search name, phone, email…")
2. Type 9765
3. Replace it with zzzz
4. Press "Clear All"</t>
        </is>
      </c>
      <c r="G107" s="14" t="inlineStr">
        <is>
          <t>9765 leaves only Sophia Wong, digits highlighted; zzzz shows "No results found"; "Clear All" brings every lead back.</t>
        </is>
      </c>
      <c r="H107" s="12" t="inlineStr">
        <is>
          <t>Different from 1.0: matches anything shown; phone at any length</t>
        </is>
      </c>
      <c r="I107" s="11" t="inlineStr">
        <is>
          <t>Dane</t>
        </is>
      </c>
      <c r="J107" s="15" t="n"/>
      <c r="K107" s="15" t="n"/>
      <c r="L107" s="15" t="n"/>
      <c r="M107" s="16" t="n"/>
      <c r="N107" s="17" t="n"/>
      <c r="O107" s="17" t="n"/>
      <c r="P107" s="15" t="n"/>
    </row>
    <row r="108">
      <c r="A108" s="11" t="n">
        <v>4</v>
      </c>
      <c r="B108" s="11" t="inlineStr">
        <is>
          <t>4.17</t>
        </is>
      </c>
      <c r="C108" s="12" t="inlineStr">
        <is>
          <t>Find your way around the list</t>
        </is>
      </c>
      <c r="D108" s="12" t="inlineStr">
        <is>
          <t>Leads</t>
        </is>
      </c>
      <c r="E108" s="13" t="inlineStr">
        <is>
          <t>Show only leads nobody owns yet</t>
        </is>
      </c>
      <c r="F108" s="14" t="inlineStr">
        <is>
          <t>1. Click the Filters icon ("Filters")
2. Open "Quick filters" and tick "Unassigned"
3. Press "Done"</t>
        </is>
      </c>
      <c r="G108" s="14" t="inlineStr">
        <is>
          <t>Only leads with "Assign" under Members remain — Sophia Wong and the new imports among them; the Filters icon shows 1.</t>
        </is>
      </c>
      <c r="H108" s="12" t="inlineStr">
        <is>
          <t>Different from 1.0: no Hot filter; Unseen added</t>
        </is>
      </c>
      <c r="I108" s="11" t="inlineStr">
        <is>
          <t>Dane</t>
        </is>
      </c>
      <c r="J108" s="15" t="n"/>
      <c r="K108" s="15" t="n"/>
      <c r="L108" s="15" t="n"/>
      <c r="M108" s="16" t="n"/>
      <c r="N108" s="17" t="n"/>
      <c r="O108" s="17" t="n"/>
      <c r="P108" s="15" t="n"/>
    </row>
    <row r="109">
      <c r="A109" s="11" t="n">
        <v>4</v>
      </c>
      <c r="B109" s="11" t="inlineStr">
        <is>
          <t>4.18</t>
        </is>
      </c>
      <c r="C109" s="12" t="inlineStr">
        <is>
          <t>Find your way around the list</t>
        </is>
      </c>
      <c r="D109" s="12" t="inlineStr">
        <is>
          <t>Leads</t>
        </is>
      </c>
      <c r="E109" s="13" t="inlineStr">
        <is>
          <t>Give two new leads to Alex in one go</t>
        </is>
      </c>
      <c r="F109" s="14" t="inlineStr">
        <is>
          <t>1. With the filter still on, tick Aaron Goh and Priscilla Low (not Sophia)
2. In the bar at the bottom press "Assign"
3. Tick "Alex", then press "Assign"</t>
        </is>
      </c>
      <c r="G109" s="14" t="inlineStr">
        <is>
          <t>The bar counts 2; "2 leads assigned to Alex" appears and both leave the Unassigned list; Sophia stays unassigned.</t>
        </is>
      </c>
      <c r="H109" s="12" t="inlineStr">
        <is>
          <t>Different from 1.0: adds members; never replaces or unassigns</t>
        </is>
      </c>
      <c r="I109" s="11" t="inlineStr">
        <is>
          <t>Dane</t>
        </is>
      </c>
      <c r="J109" s="15" t="n"/>
      <c r="K109" s="15" t="n"/>
      <c r="L109" s="15" t="n"/>
      <c r="M109" s="16" t="n"/>
      <c r="N109" s="17" t="n"/>
      <c r="O109" s="17" t="n"/>
      <c r="P109" s="15" t="n"/>
    </row>
    <row r="110">
      <c r="A110" s="11" t="n">
        <v>4</v>
      </c>
      <c r="B110" s="11" t="inlineStr">
        <is>
          <t>4.19</t>
        </is>
      </c>
      <c r="C110" s="12" t="inlineStr">
        <is>
          <t>Find your way around the list</t>
        </is>
      </c>
      <c r="D110" s="12" t="inlineStr">
        <is>
          <t>Leads</t>
        </is>
      </c>
      <c r="E110" s="13" t="inlineStr">
        <is>
          <t>Narrow the list to leads created this month</t>
        </is>
      </c>
      <c r="F110" s="14" t="inlineStr">
        <is>
          <t>1. Click "Filters", then "Date"
2. Choose "This month"
3. Press "Done"</t>
        </is>
      </c>
      <c r="G110" s="14" t="inlineStr">
        <is>
          <t>Only unassigned leads created since the 1st of this month remain, today's included; the Filters icon shows 2.</t>
        </is>
      </c>
      <c r="H110" s="12" t="inlineStr">
        <is>
          <t>Same as 1.0</t>
        </is>
      </c>
      <c r="I110" s="11" t="inlineStr">
        <is>
          <t>Dane</t>
        </is>
      </c>
      <c r="J110" s="15" t="n"/>
      <c r="K110" s="15" t="n"/>
      <c r="L110" s="15" t="n"/>
      <c r="M110" s="16" t="n"/>
      <c r="N110" s="17" t="n"/>
      <c r="O110" s="17" t="n"/>
      <c r="P110" s="15" t="n"/>
    </row>
    <row r="111">
      <c r="A111" s="11" t="n">
        <v>4</v>
      </c>
      <c r="B111" s="11" t="inlineStr">
        <is>
          <t>4.20</t>
        </is>
      </c>
      <c r="C111" s="12" t="inlineStr">
        <is>
          <t>Share and shape the list</t>
        </is>
      </c>
      <c r="D111" s="12" t="inlineStr">
        <is>
          <t>Leads</t>
        </is>
      </c>
      <c r="E111" s="13" t="inlineStr">
        <is>
          <t>Export exactly what the list shows</t>
        </is>
      </c>
      <c r="F111" s="14" t="inlineStr">
        <is>
          <t>1. Click ⋮ ("More options"), then "Export all as…"
2. Choose "What the list shows"; "Columns": As the list shows; "Choose file format": XLSX
3. Press "Export"
4. Then "Filters" › "Clear All" › "Done"</t>
        </is>
      </c>
      <c r="G111" s="14" t="inlineStr">
        <is>
          <t>The summary line counts those leads and columns; an XLSX downloads with "Exported … as XLSX"; Clear All brings every lead back.</t>
        </is>
      </c>
      <c r="H111" s="12" t="inlineStr">
        <is>
          <t>Different from 1.0: all or shown leads; four formats</t>
        </is>
      </c>
      <c r="I111" s="11" t="inlineStr">
        <is>
          <t>Dane</t>
        </is>
      </c>
      <c r="J111" s="15" t="n"/>
      <c r="K111" s="15" t="n"/>
      <c r="L111" s="15" t="n"/>
      <c r="M111" s="16" t="n"/>
      <c r="N111" s="17" t="n"/>
      <c r="O111" s="17" t="n"/>
      <c r="P111" s="15" t="n"/>
    </row>
    <row r="112">
      <c r="A112" s="11" t="n">
        <v>4</v>
      </c>
      <c r="B112" s="11" t="inlineStr">
        <is>
          <t>4.21</t>
        </is>
      </c>
      <c r="C112" s="12" t="inlineStr">
        <is>
          <t>Share and shape the list</t>
        </is>
      </c>
      <c r="D112" s="12" t="inlineStr">
        <is>
          <t>Leads</t>
        </is>
      </c>
      <c r="E112" s="13" t="inlineStr">
        <is>
          <t>Look at one stage, one source and one member</t>
        </is>
      </c>
      <c r="F112" s="14" t="inlineStr">
        <is>
          <t>1. Click "All Leads (…)" and pick "Contacted"
2. "Filters": in "Source" tick Qanvast, in "Members" tick Dane, in "Sort" pick "Oldest at the top"; "Done"
3. Read the list
4. "Filters" › "Clear All" › "Done"; then the pill › "All Leads"</t>
        </is>
      </c>
      <c r="G112" s="14" t="inlineStr">
        <is>
          <t>The pill reads "Contacted (2)" with a dot: Jasmine Lee above Gavin See; clearing both brings every lead back.</t>
        </is>
      </c>
      <c r="H112" s="12" t="inlineStr">
        <is>
          <t>Different from 1.0: stages on the pill; filters combine freely</t>
        </is>
      </c>
      <c r="I112" s="11" t="inlineStr">
        <is>
          <t>Dane</t>
        </is>
      </c>
      <c r="J112" s="15" t="n"/>
      <c r="K112" s="15" t="n"/>
      <c r="L112" s="15" t="n"/>
      <c r="M112" s="16" t="n"/>
      <c r="N112" s="17" t="n"/>
      <c r="O112" s="17" t="n"/>
      <c r="P112" s="15" t="n"/>
    </row>
    <row r="113">
      <c r="A113" s="11" t="n">
        <v>4</v>
      </c>
      <c r="B113" s="11" t="inlineStr">
        <is>
          <t>4.22</t>
        </is>
      </c>
      <c r="C113" s="12" t="inlineStr">
        <is>
          <t>Share and shape the list</t>
        </is>
      </c>
      <c r="D113" s="12" t="inlineStr">
        <is>
          <t>Leads</t>
        </is>
      </c>
      <c r="E113" s="13" t="inlineStr">
        <is>
          <t>Add the District and follow-up columns</t>
        </is>
      </c>
      <c r="F113" s="14" t="inlineStr">
        <is>
          <t>1. Click the "Column settings" icon (right of Filters)
2. Switch on "District", "Next follow-up" and "Last contact"
3. Press "Done"</t>
        </is>
      </c>
      <c r="G113" s="14" t="inlineStr">
        <is>
          <t>Three columns appear; on Sophia's row DISTRICT reads East and LAST CONTACT reads "No contact yet".</t>
        </is>
      </c>
      <c r="H113" s="12" t="inlineStr">
        <is>
          <t>New in 2.0</t>
        </is>
      </c>
      <c r="I113" s="11" t="inlineStr">
        <is>
          <t>Dane</t>
        </is>
      </c>
      <c r="J113" s="15" t="n"/>
      <c r="K113" s="15" t="n"/>
      <c r="L113" s="15" t="n"/>
      <c r="M113" s="16" t="n"/>
      <c r="N113" s="17" t="n"/>
      <c r="O113" s="17" t="n"/>
      <c r="P113" s="15" t="n"/>
    </row>
    <row r="114">
      <c r="A114" s="11" t="n">
        <v>4</v>
      </c>
      <c r="B114" s="11" t="inlineStr">
        <is>
          <t>4.23</t>
        </is>
      </c>
      <c r="C114" s="12" t="inlineStr">
        <is>
          <t>Share and shape the list</t>
        </is>
      </c>
      <c r="D114" s="12" t="inlineStr">
        <is>
          <t>Leads</t>
        </is>
      </c>
      <c r="E114" s="13" t="inlineStr">
        <is>
          <t>See the board and the owner-first rule</t>
        </is>
      </c>
      <c r="F114" s="14" t="inlineStr">
        <is>
          <t>1. Switch to the board ("Kanban view", top right of the list)
2. Drag Sophia Wong's card from New to Contacted
3. Switch back to "Table view"</t>
        </is>
      </c>
      <c r="G114" s="14" t="inlineStr">
        <is>
          <t>Seven stage columns sit under ACTIVE and INACTIVE; Sophia's card springs back with "Assign a member first".</t>
        </is>
      </c>
      <c r="H114" s="12" t="inlineStr">
        <is>
          <t>Different from 1.0: seven stage columns, not four buckets</t>
        </is>
      </c>
      <c r="I114" s="11" t="inlineStr">
        <is>
          <t>Dane</t>
        </is>
      </c>
      <c r="J114" s="15" t="n"/>
      <c r="K114" s="15" t="n"/>
      <c r="L114" s="15" t="n"/>
      <c r="M114" s="16" t="n"/>
      <c r="N114" s="17" t="n"/>
      <c r="O114" s="17" t="n"/>
      <c r="P114" s="15" t="n"/>
    </row>
    <row r="115" ht="22" customHeight="1">
      <c r="A115" s="9" t="inlineStr">
        <is>
          <t>Chapter 5 · Work your lead — Sophia Wong: assign, call, notes, tasks, files, questionnaire, meeting.</t>
        </is>
      </c>
      <c r="M115" s="10" t="n"/>
    </row>
    <row r="116">
      <c r="A116" s="11" t="n">
        <v>5</v>
      </c>
      <c r="B116" s="11" t="inlineStr">
        <is>
          <t>5.01</t>
        </is>
      </c>
      <c r="C116" s="12" t="inlineStr">
        <is>
          <t>Meet your new lead</t>
        </is>
      </c>
      <c r="D116" s="12" t="inlineStr">
        <is>
          <t>Lead details</t>
        </is>
      </c>
      <c r="E116" s="13" t="inlineStr">
        <is>
          <t>Open Sophia's lead</t>
        </is>
      </c>
      <c r="F116" s="14" t="inlineStr">
        <is>
          <t>1. On Leads, click Sophia Wong's name
2. Read the header
3. Press the back arrow, look at her row, then open her again</t>
        </is>
      </c>
      <c r="G116" s="14" t="inlineStr">
        <is>
          <t>Her "Overview" opens with chips 9765 4321 · S$ 60K · HDB 4-ROOM · REFERRAL and "Stage: New"; her row's band is gone.</t>
        </is>
      </c>
      <c r="H116" s="12" t="inlineStr">
        <is>
          <t>Different from 1.0: a full page with tabs, not a drawer</t>
        </is>
      </c>
      <c r="I116" s="11" t="inlineStr">
        <is>
          <t>Dane</t>
        </is>
      </c>
      <c r="J116" s="15" t="n"/>
      <c r="K116" s="15" t="n"/>
      <c r="L116" s="15" t="n"/>
      <c r="M116" s="16" t="n"/>
      <c r="N116" s="17" t="n"/>
      <c r="O116" s="17" t="n"/>
      <c r="P116" s="15" t="n"/>
    </row>
    <row r="117">
      <c r="A117" s="11" t="n">
        <v>5</v>
      </c>
      <c r="B117" s="11" t="inlineStr">
        <is>
          <t>5.02</t>
        </is>
      </c>
      <c r="C117" s="12" t="inlineStr">
        <is>
          <t>Meet your new lead</t>
        </is>
      </c>
      <c r="D117" s="12" t="inlineStr">
        <is>
          <t>Lead details</t>
        </is>
      </c>
      <c r="E117" s="13" t="inlineStr">
        <is>
          <t>Check her details on the left</t>
        </is>
      </c>
      <c r="F117" s="14" t="inlineStr">
        <is>
          <t>1. On her Overview, read the left column
2. Look at "Lead info", "Property info" and "Other info"</t>
        </is>
      </c>
      <c r="G117" s="14" t="inlineStr">
        <is>
          <t>Lead info: Stage New, Source Referral, Budget (S$) 60,000; Property info: HDB 4-Room, District East, Resale, in 3 months, her address.</t>
        </is>
      </c>
      <c r="H117" s="12" t="inlineStr">
        <is>
          <t>Same as 1.0</t>
        </is>
      </c>
      <c r="I117" s="11" t="inlineStr">
        <is>
          <t>Dane</t>
        </is>
      </c>
      <c r="J117" s="15" t="n"/>
      <c r="K117" s="15" t="n"/>
      <c r="L117" s="15" t="n"/>
      <c r="M117" s="16" t="n"/>
      <c r="N117" s="17" t="n"/>
      <c r="O117" s="17" t="n"/>
      <c r="P117" s="15" t="n"/>
    </row>
    <row r="118">
      <c r="A118" s="11" t="n">
        <v>5</v>
      </c>
      <c r="B118" s="11" t="inlineStr">
        <is>
          <t>5.03</t>
        </is>
      </c>
      <c r="C118" s="12" t="inlineStr">
        <is>
          <t>Meet your new lead</t>
        </is>
      </c>
      <c r="D118" s="12" t="inlineStr">
        <is>
          <t>Lead details</t>
        </is>
      </c>
      <c r="E118" s="13" t="inlineStr">
        <is>
          <t>Try to move her before anyone owns her</t>
        </is>
      </c>
      <c r="F118" s="14" t="inlineStr">
        <is>
          <t>1. Click "Stage: New" and point at "Contacted"
2. Close the menu
3. Point at, then press, "Convert to Project"</t>
        </is>
      </c>
      <c r="G118" s="14" t="inlineStr">
        <is>
          <t>Contacted is greyed with "Assign a member first"; Convert to Project wears a lock and answers "Assign a member first".</t>
        </is>
      </c>
      <c r="H118" s="12" t="inlineStr">
        <is>
          <t>Same as 1.0</t>
        </is>
      </c>
      <c r="I118" s="11" t="inlineStr">
        <is>
          <t>Dane</t>
        </is>
      </c>
      <c r="J118" s="15" t="n"/>
      <c r="K118" s="15" t="n"/>
      <c r="L118" s="15" t="n"/>
      <c r="M118" s="16" t="n"/>
      <c r="N118" s="17" t="n"/>
      <c r="O118" s="17" t="n"/>
      <c r="P118" s="15" t="n"/>
    </row>
    <row r="119">
      <c r="A119" s="11" t="n">
        <v>5</v>
      </c>
      <c r="B119" s="11" t="inlineStr">
        <is>
          <t>5.04</t>
        </is>
      </c>
      <c r="C119" s="12" t="inlineStr">
        <is>
          <t>Give her an owner</t>
        </is>
      </c>
      <c r="D119" s="12" t="inlineStr">
        <is>
          <t>Lead details</t>
        </is>
      </c>
      <c r="E119" s="13" t="inlineStr">
        <is>
          <t>Assign the member the studio suggests</t>
        </is>
      </c>
      <c r="F119" s="14" t="inlineStr">
        <is>
          <t>1. In the left column, under "Collaborators", click "Assign Member"
2. Read the "Suggested · …" box
3. Press "Assign to Sarah", then "Assign"</t>
        </is>
      </c>
      <c r="G119" s="14" t="inlineStr">
        <is>
          <t>"Suggested · Sarah" explains why (HDB 4-Room, East area); "Members updated" and Sarah shows under Collaborators.</t>
        </is>
      </c>
      <c r="H119" s="12" t="inlineStr">
        <is>
          <t>Different from 1.0: a line in Assign, scored the same way</t>
        </is>
      </c>
      <c r="I119" s="11" t="inlineStr">
        <is>
          <t>Dane</t>
        </is>
      </c>
      <c r="J119" s="15" t="n"/>
      <c r="K119" s="15" t="n"/>
      <c r="L119" s="15" t="n"/>
      <c r="M119" s="16" t="n"/>
      <c r="N119" s="17" t="n"/>
      <c r="O119" s="17" t="n"/>
      <c r="P119" s="15" t="n"/>
    </row>
    <row r="120">
      <c r="A120" s="11" t="n">
        <v>5</v>
      </c>
      <c r="B120" s="11" t="inlineStr">
        <is>
          <t>5.05</t>
        </is>
      </c>
      <c r="C120" s="12" t="inlineStr">
        <is>
          <t>Give her an owner</t>
        </is>
      </c>
      <c r="D120" s="12" t="inlineStr">
        <is>
          <t>Lead details</t>
        </is>
      </c>
      <c r="E120" s="13" t="inlineStr">
        <is>
          <t>Set a reminder to follow up tomorrow</t>
        </is>
      </c>
      <c r="F120" s="14" t="inlineStr">
        <is>
          <t>1. In the "LEAD STAGES" card click "Next follow-up" (None set)
2. In "Set a follow-up", pick tomorrow at 10:00 AM for "When"
3. Keep the "Task" name, press "Save"</t>
        </is>
      </c>
      <c r="G120" s="14" t="inlineStr">
        <is>
          <t>"Follow-up set for …" appears; Next follow-up now reads "Follow up with Sophia Wong" with tomorrow's date.</t>
        </is>
      </c>
      <c r="H120" s="12" t="inlineStr">
        <is>
          <t>Different from 1.0: the follow-up is a task, not a lead date</t>
        </is>
      </c>
      <c r="I120" s="11" t="inlineStr">
        <is>
          <t>Dane</t>
        </is>
      </c>
      <c r="J120" s="15" t="n"/>
      <c r="K120" s="15" t="n"/>
      <c r="L120" s="15" t="n"/>
      <c r="M120" s="16" t="n"/>
      <c r="N120" s="17" t="n"/>
      <c r="O120" s="17" t="n"/>
      <c r="P120" s="15" t="n"/>
    </row>
    <row r="121">
      <c r="A121" s="11" t="n">
        <v>5</v>
      </c>
      <c r="B121" s="11" t="inlineStr">
        <is>
          <t>5.06</t>
        </is>
      </c>
      <c r="C121" s="12" t="inlineStr">
        <is>
          <t>Give her an owner</t>
        </is>
      </c>
      <c r="D121" s="12" t="inlineStr">
        <is>
          <t>Lead details</t>
        </is>
      </c>
      <c r="E121" s="13" t="inlineStr">
        <is>
          <t>Add her NRIC and correct her key collection</t>
        </is>
      </c>
      <c r="F121" s="14" t="inlineStr">
        <is>
          <t>1. Open ⋮ ("More options"), then "Edit"
2. "NRIC / FIN": S8812345D · "Key collection": Collected
3. Press "Save"</t>
        </is>
      </c>
      <c r="G121" s="14" t="inlineStr">
        <is>
          <t>"Successfully Updated"; Lead info shows NRIC / FIN S8812345D and Property info shows Key collection Collected.</t>
        </is>
      </c>
      <c r="H121" s="12" t="inlineStr">
        <is>
          <t>Same as 1.0</t>
        </is>
      </c>
      <c r="I121" s="11" t="inlineStr">
        <is>
          <t>Dane</t>
        </is>
      </c>
      <c r="J121" s="15" t="n"/>
      <c r="K121" s="15" t="n"/>
      <c r="L121" s="15" t="n"/>
      <c r="M121" s="16" t="n"/>
      <c r="N121" s="17" t="n"/>
      <c r="O121" s="17" t="n"/>
      <c r="P121" s="15" t="n"/>
    </row>
    <row r="122">
      <c r="A122" s="11" t="n">
        <v>5</v>
      </c>
      <c r="B122" s="11" t="inlineStr">
        <is>
          <t>5.07</t>
        </is>
      </c>
      <c r="C122" s="12" t="inlineStr">
        <is>
          <t>Log the first call</t>
        </is>
      </c>
      <c r="D122" s="12" t="inlineStr">
        <is>
          <t>Lead details</t>
        </is>
      </c>
      <c r="E122" s="13" t="inlineStr">
        <is>
          <t>Check the call log asks for what it needs</t>
        </is>
      </c>
      <c r="F122" s="14" t="inlineStr">
        <is>
          <t>1. Click "Stage: New", then "Contacted"
2. In the "Move stage" window press "Save" without filling anything</t>
        </is>
      </c>
      <c r="G122" s="14" t="inlineStr">
        <is>
          <t>"Moving to Contacted"; red messages under the empty fields and "Unable to move. Please fill in the required fields."; channels include "In person".</t>
        </is>
      </c>
      <c r="H122" s="12" t="inlineStr">
        <is>
          <t>Different from 1.0: a screenshot is needed to log contact</t>
        </is>
      </c>
      <c r="I122" s="11" t="inlineStr">
        <is>
          <t>Dane</t>
        </is>
      </c>
      <c r="J122" s="15" t="n"/>
      <c r="K122" s="15" t="n"/>
      <c r="L122" s="15" t="n"/>
      <c r="M122" s="16" t="n"/>
      <c r="N122" s="17" t="n"/>
      <c r="O122" s="17" t="n"/>
      <c r="P122" s="15" t="n"/>
    </row>
    <row r="123">
      <c r="A123" s="11" t="n">
        <v>5</v>
      </c>
      <c r="B123" s="11" t="inlineStr">
        <is>
          <t>5.08</t>
        </is>
      </c>
      <c r="C123" s="12" t="inlineStr">
        <is>
          <t>Log the first call</t>
        </is>
      </c>
      <c r="D123" s="12" t="inlineStr">
        <is>
          <t>Lead details</t>
        </is>
      </c>
      <c r="E123" s="13" t="inlineStr">
        <is>
          <t>Log the call and pick the suggested tasks</t>
        </is>
      </c>
      <c r="F123" s="14" t="inlineStr">
        <is>
          <t>1. "Contacted via" Call · "Date &amp; Time" today, now · "Outcome" Callback requested
2. Under "Schedule a call/meeting (optional)": two days from now, 11:00 AM · "Preferred mode" Call
3. Under "Attach screenshots of your call attempts" press "Attach", then "Save"
4. In "Suggested tasks" tick the suggestion, press "Save"</t>
        </is>
      </c>
      <c r="G123" s="14" t="inlineStr">
        <is>
          <t>"Auto added" shows "Follow up with the client via Call on …"; then "Moved to Contacted" and the button reads "Stage: Contacted".</t>
        </is>
      </c>
      <c r="H123" s="12" t="inlineStr">
        <is>
          <t>Different from 1.0: a scheduled call becomes a task automatically</t>
        </is>
      </c>
      <c r="I123" s="11" t="inlineStr">
        <is>
          <t>Dane</t>
        </is>
      </c>
      <c r="J123" s="15" t="n"/>
      <c r="K123" s="15" t="n"/>
      <c r="L123" s="15" t="n"/>
      <c r="M123" s="16" t="n"/>
      <c r="N123" s="17" t="n"/>
      <c r="O123" s="17" t="n"/>
      <c r="P123" s="15" t="n"/>
    </row>
    <row r="124">
      <c r="A124" s="11" t="n">
        <v>5</v>
      </c>
      <c r="B124" s="11" t="inlineStr">
        <is>
          <t>5.09</t>
        </is>
      </c>
      <c r="C124" s="12" t="inlineStr">
        <is>
          <t>Log the first call</t>
        </is>
      </c>
      <c r="D124" s="12" t="inlineStr">
        <is>
          <t>Lead details</t>
        </is>
      </c>
      <c r="E124" s="13" t="inlineStr">
        <is>
          <t>Find the call in Notes &amp; Logs</t>
        </is>
      </c>
      <c r="F124" s="14" t="inlineStr">
        <is>
          <t>1. Open the "Notes &amp; Logs" tab
2. Click the Call contact log in the list</t>
        </is>
      </c>
      <c r="G124" s="14" t="inlineStr">
        <is>
          <t>The log shows Call · Callback requested; its header reads "Added during stage movement — view only".</t>
        </is>
      </c>
      <c r="H124" s="12" t="inlineStr">
        <is>
          <t>New in 2.0</t>
        </is>
      </c>
      <c r="I124" s="11" t="inlineStr">
        <is>
          <t>Dane</t>
        </is>
      </c>
      <c r="J124" s="15" t="n"/>
      <c r="K124" s="15" t="n"/>
      <c r="L124" s="15" t="n"/>
      <c r="M124" s="16" t="n"/>
      <c r="N124" s="17" t="n"/>
      <c r="O124" s="17" t="n"/>
      <c r="P124" s="15" t="n"/>
    </row>
    <row r="125">
      <c r="A125" s="11" t="n">
        <v>5</v>
      </c>
      <c r="B125" s="11" t="inlineStr">
        <is>
          <t>5.10</t>
        </is>
      </c>
      <c r="C125" s="12" t="inlineStr">
        <is>
          <t>Notes and tasks</t>
        </is>
      </c>
      <c r="D125" s="12" t="inlineStr">
        <is>
          <t>Lead details</t>
        </is>
      </c>
      <c r="E125" s="13" t="inlineStr">
        <is>
          <t>Write a quick note that saves itself</t>
        </is>
      </c>
      <c r="F125" s="14" t="inlineStr">
        <is>
          <t>1. In "Notes &amp; Logs" click "New", then "Note"
2. Title: Site visit prep; write a line about her kitchen
3. Click another item in the list</t>
        </is>
      </c>
      <c r="G125" s="14" t="inlineStr">
        <is>
          <t>The note stays in the list under its title — there is no Save button to press.</t>
        </is>
      </c>
      <c r="H125" s="12" t="inlineStr">
        <is>
          <t>Different from 1.0: many dated notes, not one field</t>
        </is>
      </c>
      <c r="I125" s="11" t="inlineStr">
        <is>
          <t>Dane</t>
        </is>
      </c>
      <c r="J125" s="15" t="n"/>
      <c r="K125" s="15" t="n"/>
      <c r="L125" s="15" t="n"/>
      <c r="M125" s="16" t="n"/>
      <c r="N125" s="17" t="n"/>
      <c r="O125" s="17" t="n"/>
      <c r="P125" s="15" t="n"/>
    </row>
    <row r="126">
      <c r="A126" s="11" t="n">
        <v>5</v>
      </c>
      <c r="B126" s="11" t="inlineStr">
        <is>
          <t>5.11</t>
        </is>
      </c>
      <c r="C126" s="12" t="inlineStr">
        <is>
          <t>Notes and tasks</t>
        </is>
      </c>
      <c r="D126" s="12" t="inlineStr">
        <is>
          <t>Lead details</t>
        </is>
      </c>
      <c r="E126" s="13" t="inlineStr">
        <is>
          <t>Log a WhatsApp chat with Auto Fill</t>
        </is>
      </c>
      <c r="F126" s="14" t="inlineStr">
        <is>
          <t>1. Click "New", then "Contact Log"
2. Press "Auto Fill", then "Upload"
3. In "Add tasks" press "Save"
4. Press "Save" under the log (if "Add tasks" opens again, press "Cancel")</t>
        </is>
      </c>
      <c r="G126" s="14" t="inlineStr">
        <is>
          <t>The log fills with WhatsApp · Connected and a meeting in three days; "1 task added", then "Contact log saved".</t>
        </is>
      </c>
      <c r="H126" s="12" t="inlineStr">
        <is>
          <t>Different from 1.0: a sample fill stands in for AI reading</t>
        </is>
      </c>
      <c r="I126" s="11" t="inlineStr">
        <is>
          <t>Dane</t>
        </is>
      </c>
      <c r="J126" s="15" t="n"/>
      <c r="K126" s="15" t="n"/>
      <c r="L126" s="15" t="n"/>
      <c r="M126" s="16" t="n"/>
      <c r="N126" s="17" t="n"/>
      <c r="O126" s="17" t="n"/>
      <c r="P126" s="15" t="n"/>
    </row>
    <row r="127">
      <c r="A127" s="11" t="n">
        <v>5</v>
      </c>
      <c r="B127" s="11" t="inlineStr">
        <is>
          <t>5.12</t>
        </is>
      </c>
      <c r="C127" s="12" t="inlineStr">
        <is>
          <t>Notes and tasks</t>
        </is>
      </c>
      <c r="D127" s="12" t="inlineStr">
        <is>
          <t>Lead details</t>
        </is>
      </c>
      <c r="E127" s="13" t="inlineStr">
        <is>
          <t>Tick off the follow-up you just did</t>
        </is>
      </c>
      <c r="F127" s="14" t="inlineStr">
        <is>
          <t>1. Open the "Tasks" tab
2. Find "Follow up with Sophia Wong"
3. Click its round check ("Mark as completed")</t>
        </is>
      </c>
      <c r="G127" s="14" t="inlineStr">
        <is>
          <t>The list holds your follow-ups with due dates and the suggestion; the ticked one now shows a filled check.</t>
        </is>
      </c>
      <c r="H127" s="12" t="inlineStr">
        <is>
          <t>New in 2.0</t>
        </is>
      </c>
      <c r="I127" s="11" t="inlineStr">
        <is>
          <t>Dane</t>
        </is>
      </c>
      <c r="J127" s="15" t="n"/>
      <c r="K127" s="15" t="n"/>
      <c r="L127" s="15" t="n"/>
      <c r="M127" s="16" t="n"/>
      <c r="N127" s="17" t="n"/>
      <c r="O127" s="17" t="n"/>
      <c r="P127" s="15" t="n"/>
    </row>
    <row r="128">
      <c r="A128" s="11" t="n">
        <v>5</v>
      </c>
      <c r="B128" s="11" t="inlineStr">
        <is>
          <t>5.13</t>
        </is>
      </c>
      <c r="C128" s="12" t="inlineStr">
        <is>
          <t>Notes and tasks</t>
        </is>
      </c>
      <c r="D128" s="12" t="inlineStr">
        <is>
          <t>Lead details</t>
        </is>
      </c>
      <c r="E128" s="13" t="inlineStr">
        <is>
          <t>Add a task and give it a due date</t>
        </is>
      </c>
      <c r="F128" s="14" t="inlineStr">
        <is>
          <t>1. Click "Add Task", then "Create New Task"
2. Type Send Sophia the HDB renovation checklist, press Enter
3. In its "Due date" cell click the calendar ("Set due date") and pick Friday</t>
        </is>
      </c>
      <c r="G128" s="14" t="inlineStr">
        <is>
          <t>The new task sits in the list with Friday as its due date.</t>
        </is>
      </c>
      <c r="H128" s="12" t="inlineStr">
        <is>
          <t>New in 2.0</t>
        </is>
      </c>
      <c r="I128" s="11" t="inlineStr">
        <is>
          <t>Dane</t>
        </is>
      </c>
      <c r="J128" s="15" t="n"/>
      <c r="K128" s="15" t="n"/>
      <c r="L128" s="15" t="n"/>
      <c r="M128" s="16" t="n"/>
      <c r="N128" s="17" t="n"/>
      <c r="O128" s="17" t="n"/>
      <c r="P128" s="15" t="n"/>
    </row>
    <row r="129">
      <c r="A129" s="11" t="n">
        <v>5</v>
      </c>
      <c r="B129" s="11" t="inlineStr">
        <is>
          <t>5.14</t>
        </is>
      </c>
      <c r="C129" s="12" t="inlineStr">
        <is>
          <t>Her files</t>
        </is>
      </c>
      <c r="D129" s="12" t="inlineStr">
        <is>
          <t>Lead details</t>
        </is>
      </c>
      <c r="E129" s="13" t="inlineStr">
        <is>
          <t>Find her floor plan and make a folder</t>
        </is>
      </c>
      <c r="F129" s="14" t="inlineStr">
        <is>
          <t>1. Open the "Files" tab
2. Check sophia-floor-plan.pdf is there
3. Click the "New Folder" icon, name it Site photos, press "Save"</t>
        </is>
      </c>
      <c r="G129" s="14" t="inlineStr">
        <is>
          <t>The floor plan attached when she was created is listed; "Folder created" and a Site photos folder appears.</t>
        </is>
      </c>
      <c r="H129" s="12" t="inlineStr">
        <is>
          <t>Different from 1.0: folders, trash and comments</t>
        </is>
      </c>
      <c r="I129" s="11" t="inlineStr">
        <is>
          <t>Dane</t>
        </is>
      </c>
      <c r="J129" s="15" t="n"/>
      <c r="K129" s="15" t="n"/>
      <c r="L129" s="15" t="n"/>
      <c r="M129" s="16" t="n"/>
      <c r="N129" s="17" t="n"/>
      <c r="O129" s="17" t="n"/>
      <c r="P129" s="15" t="n"/>
    </row>
    <row r="130">
      <c r="A130" s="11" t="n">
        <v>5</v>
      </c>
      <c r="B130" s="11" t="inlineStr">
        <is>
          <t>5.15</t>
        </is>
      </c>
      <c r="C130" s="12" t="inlineStr">
        <is>
          <t>Her files</t>
        </is>
      </c>
      <c r="D130" s="12" t="inlineStr">
        <is>
          <t>Lead details</t>
        </is>
      </c>
      <c r="E130" s="13" t="inlineStr">
        <is>
          <t>Upload a photo into the folder</t>
        </is>
      </c>
      <c r="F130" s="14" t="inlineStr">
        <is>
          <t>1. Click the Site photos folder to open it
2. Click "New File", then "From Local Files"
3. Pick sophia-living-room.jpg</t>
        </is>
      </c>
      <c r="G130" s="14" t="inlineStr">
        <is>
          <t>"Uploading 1 file", then "File uploaded"; a tile named sophia-living-room.jpg appears, showing her living-room photo.</t>
        </is>
      </c>
      <c r="H130" s="12" t="inlineStr">
        <is>
          <t>Same as 1.0</t>
        </is>
      </c>
      <c r="I130" s="11" t="inlineStr">
        <is>
          <t>Dane</t>
        </is>
      </c>
      <c r="J130" s="15" t="n"/>
      <c r="K130" s="15" t="n"/>
      <c r="L130" s="15" t="n"/>
      <c r="M130" s="16" t="n"/>
      <c r="N130" s="17" t="n"/>
      <c r="O130" s="17" t="n"/>
      <c r="P130" s="15" t="n"/>
    </row>
    <row r="131">
      <c r="A131" s="11" t="n">
        <v>5</v>
      </c>
      <c r="B131" s="11" t="inlineStr">
        <is>
          <t>5.16</t>
        </is>
      </c>
      <c r="C131" s="12" t="inlineStr">
        <is>
          <t>Her files</t>
        </is>
      </c>
      <c r="D131" s="12" t="inlineStr">
        <is>
          <t>Lead details</t>
        </is>
      </c>
      <c r="E131" s="13" t="inlineStr">
        <is>
          <t>Leave your team a comment on the photo</t>
        </is>
      </c>
      <c r="F131" s="14" t="inlineStr">
        <is>
          <t>1. Double-click the photo to open it
2. Click the "Comments" icon (top right)
3. Type Check the window measurements, press Enter
4. Press the back arrow ("Back to Files")</t>
        </is>
      </c>
      <c r="G131" s="14" t="inlineStr">
        <is>
          <t>Your comment appears under your name; the panel notes "Clients can’t see these comments".</t>
        </is>
      </c>
      <c r="H131" s="12" t="inlineStr">
        <is>
          <t>New in 2.0</t>
        </is>
      </c>
      <c r="I131" s="11" t="inlineStr">
        <is>
          <t>Dane</t>
        </is>
      </c>
      <c r="J131" s="15" t="n"/>
      <c r="K131" s="15" t="n"/>
      <c r="L131" s="15" t="n"/>
      <c r="M131" s="16" t="n"/>
      <c r="N131" s="17" t="n"/>
      <c r="O131" s="17" t="n"/>
      <c r="P131" s="15" t="n"/>
    </row>
    <row r="132">
      <c r="A132" s="11" t="n">
        <v>5</v>
      </c>
      <c r="B132" s="11" t="inlineStr">
        <is>
          <t>5.17</t>
        </is>
      </c>
      <c r="C132" s="12" t="inlineStr">
        <is>
          <t>What does she need?</t>
        </is>
      </c>
      <c r="D132" s="12" t="inlineStr">
        <is>
          <t>Lead details</t>
        </is>
      </c>
      <c r="E132" s="13" t="inlineStr">
        <is>
          <t>Answer one of the studio's questions</t>
        </is>
      </c>
      <c r="F132" s="14" t="inlineStr">
        <is>
          <t>1. Open the "Questionnaire" tab
2. On the first question press "Answer"
3. Type a short answer, press "Save"</t>
        </is>
      </c>
      <c r="G132" s="14" t="inlineStr">
        <is>
          <t>Her lead already holds the studio's questions (Company › Questionnaire, chapter 3's included); "Answer saved" and your answer shows after "A:".</t>
        </is>
      </c>
      <c r="H132" s="12" t="inlineStr">
        <is>
          <t>Different from 1.0: the studio answers here; clients use the portal</t>
        </is>
      </c>
      <c r="I132" s="11" t="inlineStr">
        <is>
          <t>Dane</t>
        </is>
      </c>
      <c r="J132" s="15" t="n"/>
      <c r="K132" s="15" t="n"/>
      <c r="L132" s="15" t="n"/>
      <c r="M132" s="16" t="n"/>
      <c r="N132" s="17" t="n"/>
      <c r="O132" s="17" t="n"/>
      <c r="P132" s="15" t="n"/>
    </row>
    <row r="133">
      <c r="A133" s="11" t="n">
        <v>5</v>
      </c>
      <c r="B133" s="11" t="inlineStr">
        <is>
          <t>5.18</t>
        </is>
      </c>
      <c r="C133" s="12" t="inlineStr">
        <is>
          <t>What does she need?</t>
        </is>
      </c>
      <c r="D133" s="12" t="inlineStr">
        <is>
          <t>Lead details</t>
        </is>
      </c>
      <c r="E133" s="13" t="inlineStr">
        <is>
          <t>Ask Sophia to answer the rest herself</t>
        </is>
      </c>
      <c r="F133" s="14" t="inlineStr">
        <is>
          <t>1. Press "Ask Client"
2. In "Ask the client", press "Copy" beside the portal link
3. Press "Send via WhatsApp"</t>
        </is>
      </c>
      <c r="G133" s="14" t="inlineStr">
        <is>
          <t>"Notification sent to Sophia Wong" (no WhatsApp tab opens here); the summary now reads "Client asked on" with today's date.</t>
        </is>
      </c>
      <c r="H133" s="12" t="inlineStr">
        <is>
          <t>Different from 1.0: the ask is recorded; no 5-minute limit</t>
        </is>
      </c>
      <c r="I133" s="11" t="inlineStr">
        <is>
          <t>Dane</t>
        </is>
      </c>
      <c r="J133" s="15" t="n"/>
      <c r="K133" s="15" t="n"/>
      <c r="L133" s="15" t="n"/>
      <c r="M133" s="16" t="n"/>
      <c r="N133" s="17" t="n"/>
      <c r="O133" s="17" t="n"/>
      <c r="P133" s="15" t="n"/>
    </row>
    <row r="134">
      <c r="A134" s="11" t="n">
        <v>5</v>
      </c>
      <c r="B134" s="11" t="inlineStr">
        <is>
          <t>5.19</t>
        </is>
      </c>
      <c r="C134" s="12" t="inlineStr">
        <is>
          <t>The showroom visit</t>
        </is>
      </c>
      <c r="D134" s="12" t="inlineStr">
        <is>
          <t>Lead details</t>
        </is>
      </c>
      <c r="E134" s="13" t="inlineStr">
        <is>
          <t>Record the showroom meeting</t>
        </is>
      </c>
      <c r="F134" s="14" t="inlineStr">
        <is>
          <t>1. Click "Stage: Contacted", then "Met"
2. "Where": Showroom · "Date &amp; Time": today, now
3. Press "Save"</t>
        </is>
      </c>
      <c r="G134" s="14" t="inlineStr">
        <is>
          <t>"Moved to Met"; the header button reads "Stage: Met".</t>
        </is>
      </c>
      <c r="H134" s="12" t="inlineStr">
        <is>
          <t>Different from 1.0: a meeting log with where and when</t>
        </is>
      </c>
      <c r="I134" s="11" t="inlineStr">
        <is>
          <t>Dane</t>
        </is>
      </c>
      <c r="J134" s="15" t="n"/>
      <c r="K134" s="15" t="n"/>
      <c r="L134" s="15" t="n"/>
      <c r="M134" s="16" t="n"/>
      <c r="N134" s="17" t="n"/>
      <c r="O134" s="17" t="n"/>
      <c r="P134" s="15" t="n"/>
    </row>
    <row r="135">
      <c r="A135" s="11" t="n">
        <v>5</v>
      </c>
      <c r="B135" s="11" t="inlineStr">
        <is>
          <t>5.20</t>
        </is>
      </c>
      <c r="C135" s="12" t="inlineStr">
        <is>
          <t>The showroom visit</t>
        </is>
      </c>
      <c r="D135" s="12" t="inlineStr">
        <is>
          <t>Lead details</t>
        </is>
      </c>
      <c r="E135" s="13" t="inlineStr">
        <is>
          <t>Look back at the call — stages never move back</t>
        </is>
      </c>
      <c r="F135" s="14" t="inlineStr">
        <is>
          <t>1. In the "LEAD STAGES" card, click the "Contacted" row
2. Read the window, then press "Cancel"</t>
        </is>
      </c>
      <c r="G135" s="14" t="inlineStr">
        <is>
          <t>"Contacted details" opens read-only, with "Edit" on the log and "Add Log" at the top; there is no Save button.</t>
        </is>
      </c>
      <c r="H135" s="12" t="inlineStr">
        <is>
          <t>Different from 1.0: done stages open read-only; nothing moves back</t>
        </is>
      </c>
      <c r="I135" s="11" t="inlineStr">
        <is>
          <t>Dane</t>
        </is>
      </c>
      <c r="J135" s="15" t="n"/>
      <c r="K135" s="15" t="n"/>
      <c r="L135" s="15" t="n"/>
      <c r="M135" s="16" t="n"/>
      <c r="N135" s="17" t="n"/>
      <c r="O135" s="17" t="n"/>
      <c r="P135" s="15" t="n"/>
    </row>
    <row r="136">
      <c r="A136" s="11" t="n">
        <v>5</v>
      </c>
      <c r="B136" s="11" t="inlineStr">
        <is>
          <t>5.21</t>
        </is>
      </c>
      <c r="C136" s="12" t="inlineStr">
        <is>
          <t>The showroom visit</t>
        </is>
      </c>
      <c r="D136" s="12" t="inlineStr">
        <is>
          <t>Lead details</t>
        </is>
      </c>
      <c r="E136" s="13" t="inlineStr">
        <is>
          <t>Read her journey at a glance</t>
        </is>
      </c>
      <c r="F136" s="14" t="inlineStr">
        <is>
          <t>1. On "Overview", read the "LEAD STAGES" card
2. Read the three lines under the stages</t>
        </is>
      </c>
      <c r="G136" s="14" t="inlineStr">
        <is>
          <t>New, Contacted ticked, Met current; Next follow-up shows your earliest dated task; Response time reads like "Assigned in … · First contact in …".</t>
        </is>
      </c>
      <c r="H136" s="12" t="inlineStr">
        <is>
          <t>Different from 1.0: one line instead of a Response time card</t>
        </is>
      </c>
      <c r="I136" s="11" t="inlineStr">
        <is>
          <t>Dane</t>
        </is>
      </c>
      <c r="J136" s="15" t="n"/>
      <c r="K136" s="15" t="n"/>
      <c r="L136" s="15" t="n"/>
      <c r="M136" s="16" t="n"/>
      <c r="N136" s="17" t="n"/>
      <c r="O136" s="17" t="n"/>
      <c r="P136" s="15" t="n"/>
    </row>
    <row r="137">
      <c r="A137" s="11" t="n">
        <v>5</v>
      </c>
      <c r="B137" s="11" t="inlineStr">
        <is>
          <t>5.22</t>
        </is>
      </c>
      <c r="C137" s="12" t="inlineStr">
        <is>
          <t>The day's record</t>
        </is>
      </c>
      <c r="D137" s="12" t="inlineStr">
        <is>
          <t>Lead details</t>
        </is>
      </c>
      <c r="E137" s="13" t="inlineStr">
        <is>
          <t>Read everything that happened to her lead</t>
        </is>
      </c>
      <c r="F137" s="14" t="inlineStr">
        <is>
          <t>1. Open the "Activity" tab
2. Scroll through today</t>
        </is>
      </c>
      <c r="G137" s="14" t="inlineStr">
        <is>
          <t>Among the lines: "You assigned Sarah to this lead.", "You edited the lead — …" and "You asked Sophia Wong to answer the questionnaire."</t>
        </is>
      </c>
      <c r="H137" s="12" t="inlineStr">
        <is>
          <t>Different from 1.0: built from records, plus logged edits and asks</t>
        </is>
      </c>
      <c r="I137" s="11" t="inlineStr">
        <is>
          <t>Dane</t>
        </is>
      </c>
      <c r="J137" s="15" t="n"/>
      <c r="K137" s="15" t="n"/>
      <c r="L137" s="15" t="n"/>
      <c r="M137" s="16" t="n"/>
      <c r="N137" s="17" t="n"/>
      <c r="O137" s="17" t="n"/>
      <c r="P137" s="15" t="n"/>
    </row>
    <row r="138">
      <c r="A138" s="11" t="n">
        <v>5</v>
      </c>
      <c r="B138" s="11" t="inlineStr">
        <is>
          <t>5.23</t>
        </is>
      </c>
      <c r="C138" s="12" t="inlineStr">
        <is>
          <t>The day's record</t>
        </is>
      </c>
      <c r="D138" s="12" t="inlineStr">
        <is>
          <t>Leads</t>
        </is>
      </c>
      <c r="E138" s="13" t="inlineStr">
        <is>
          <t>See Sophia's progress from the list</t>
        </is>
      </c>
      <c r="F138" s="14" t="inlineStr">
        <is>
          <t>1. Go back to "Leads"
2. Find Sophia Wong's row</t>
        </is>
      </c>
      <c r="G138" s="14" t="inlineStr">
        <is>
          <t>Stage Met, Sarah under Members, a task in Tasks, and the District, Next follow-up and Last contact columns filled in.</t>
        </is>
      </c>
      <c r="H138" s="12" t="inlineStr">
        <is>
          <t>Same as 1.0</t>
        </is>
      </c>
      <c r="I138" s="11" t="inlineStr">
        <is>
          <t>Dane</t>
        </is>
      </c>
      <c r="J138" s="15" t="n"/>
      <c r="K138" s="15" t="n"/>
      <c r="L138" s="15" t="n"/>
      <c r="M138" s="16" t="n"/>
      <c r="N138" s="17" t="n"/>
      <c r="O138" s="17" t="n"/>
      <c r="P138" s="15" t="n"/>
    </row>
    <row r="139" ht="22" customHeight="1">
      <c r="A139" s="9" t="inlineStr">
        <is>
          <t>Chapter 6 · Quote it — Sophia’s quote, from template to the client’s confirmation.</t>
        </is>
      </c>
      <c r="M139" s="10" t="n"/>
    </row>
    <row r="140">
      <c r="A140" s="11" t="n">
        <v>6</v>
      </c>
      <c r="B140" s="11" t="inlineStr">
        <is>
          <t>6.01</t>
        </is>
      </c>
      <c r="C140" s="12" t="inlineStr">
        <is>
          <t>Start Sophia’s quote</t>
        </is>
      </c>
      <c r="D140" s="12" t="inlineStr">
        <is>
          <t>Quotes</t>
        </is>
      </c>
      <c r="E140" s="13" t="inlineStr">
        <is>
          <t>Start Sophia’s quote from your default template</t>
        </is>
      </c>
      <c r="F140" s="14" t="inlineStr">
        <is>
          <t>1. Open Sophia Wong and click the "Quotes" tab
2. Click "Create Quote"
3. In "Start a quote for Sophia Wong", click the tile marked "Default" (if it is not there, click "View all")</t>
        </is>
      </c>
      <c r="G140" s="14" t="inlineStr">
        <is>
          <t>The quote editor opens as a Draft, "Version 1", titled Sophia Wong; the Template card in General Info shows your template marked "Default".</t>
        </is>
      </c>
      <c r="H140" s="12" t="inlineStr">
        <is>
          <t>Same as 1.0</t>
        </is>
      </c>
      <c r="I140" s="11" t="inlineStr">
        <is>
          <t>Dane</t>
        </is>
      </c>
      <c r="J140" s="15" t="n"/>
      <c r="K140" s="15" t="n"/>
      <c r="L140" s="15" t="n"/>
      <c r="M140" s="16" t="n"/>
      <c r="N140" s="17" t="n"/>
      <c r="O140" s="17" t="n"/>
      <c r="P140" s="15" t="n"/>
    </row>
    <row r="141">
      <c r="A141" s="11" t="n">
        <v>6</v>
      </c>
      <c r="B141" s="11" t="inlineStr">
        <is>
          <t>6.02</t>
        </is>
      </c>
      <c r="C141" s="12" t="inlineStr">
        <is>
          <t>Start Sophia’s quote</t>
        </is>
      </c>
      <c r="D141" s="12" t="inlineStr">
        <is>
          <t>Quotes</t>
        </is>
      </c>
      <c r="E141" s="13" t="inlineStr">
        <is>
          <t>Check what the quote filled in for you</t>
        </is>
      </c>
      <c r="F141" s="14" t="inlineStr">
        <is>
          <t>1. Look at "General Info"
2. Read "Client", "Property Type", "Prepared by" and "Quote Valid Until"
3. Scroll down to "Items"</t>
        </is>
      </c>
      <c r="G141" s="14" t="inlineStr">
        <is>
          <t>Client Sophia Wong, Property Type HDB 4-Room, Prepared by Dane and a valid-until date are filled; Items shows any starter sections your template has.</t>
        </is>
      </c>
      <c r="H141" s="12" t="inlineStr">
        <is>
          <t>Different from 1.0: settings belong to each quote, not the lead</t>
        </is>
      </c>
      <c r="I141" s="11" t="inlineStr">
        <is>
          <t>Dane</t>
        </is>
      </c>
      <c r="J141" s="15" t="n"/>
      <c r="K141" s="15" t="n"/>
      <c r="L141" s="15" t="n"/>
      <c r="M141" s="16" t="n"/>
      <c r="N141" s="17" t="n"/>
      <c r="O141" s="17" t="n"/>
      <c r="P141" s="15" t="n"/>
    </row>
    <row r="142">
      <c r="A142" s="11" t="n">
        <v>6</v>
      </c>
      <c r="B142" s="11" t="inlineStr">
        <is>
          <t>6.03</t>
        </is>
      </c>
      <c r="C142" s="12" t="inlineStr">
        <is>
          <t>Start Sophia’s quote</t>
        </is>
      </c>
      <c r="D142" s="12" t="inlineStr">
        <is>
          <t>Quotes</t>
        </is>
      </c>
      <c r="E142" s="13" t="inlineStr">
        <is>
          <t>Give the quote a clear name</t>
        </is>
      </c>
      <c r="F142" s="14" t="inlineStr">
        <is>
          <t>1. Click "More options" (⋮, top right of the editor)
2. Choose "Rename Quote"
3. Type "Tampines 4-room renovation" in "Quote title"
4. Click "Rename"</t>
        </is>
      </c>
      <c r="G142" s="14" t="inlineStr">
        <is>
          <t>The header title changes to Tampines 4-room renovation and the header says "Saved just now".</t>
        </is>
      </c>
      <c r="H142" s="12" t="inlineStr">
        <is>
          <t>Same as 1.0</t>
        </is>
      </c>
      <c r="I142" s="11" t="inlineStr">
        <is>
          <t>Dane</t>
        </is>
      </c>
      <c r="J142" s="15" t="n"/>
      <c r="K142" s="15" t="n"/>
      <c r="L142" s="15" t="n"/>
      <c r="M142" s="16" t="n"/>
      <c r="N142" s="17" t="n"/>
      <c r="O142" s="17" t="n"/>
      <c r="P142" s="15" t="n"/>
    </row>
    <row r="143">
      <c r="A143" s="11" t="n">
        <v>6</v>
      </c>
      <c r="B143" s="11" t="inlineStr">
        <is>
          <t>6.04</t>
        </is>
      </c>
      <c r="C143" s="12" t="inlineStr">
        <is>
          <t>Start Sophia’s quote</t>
        </is>
      </c>
      <c r="D143" s="12" t="inlineStr">
        <is>
          <t>Quotes</t>
        </is>
      </c>
      <c r="E143" s="13" t="inlineStr">
        <is>
          <t>Try to send the quote while it is still empty</t>
        </is>
      </c>
      <c r="F143" s="14" t="inlineStr">
        <is>
          <t>1. Click "Send" (top right)
2. Choose "Send for confirmation"
3. Click "Show me" on the message</t>
        </is>
      </c>
      <c r="G143" s="14" t="inlineStr">
        <is>
          <t>Nothing is sent: the message reads "Before you send: No items to price", and "Show me" takes you to Items.</t>
        </is>
      </c>
      <c r="H143" s="12" t="inlineStr">
        <is>
          <t>Different from 1.0: Send checks the quote before it goes</t>
        </is>
      </c>
      <c r="I143" s="11" t="inlineStr">
        <is>
          <t>Dane</t>
        </is>
      </c>
      <c r="J143" s="15" t="n"/>
      <c r="K143" s="15" t="n"/>
      <c r="L143" s="15" t="n"/>
      <c r="M143" s="16" t="n"/>
      <c r="N143" s="17" t="n"/>
      <c r="O143" s="17" t="n"/>
      <c r="P143" s="15" t="n"/>
    </row>
    <row r="144">
      <c r="A144" s="11" t="n">
        <v>6</v>
      </c>
      <c r="B144" s="11" t="inlineStr">
        <is>
          <t>6.05</t>
        </is>
      </c>
      <c r="C144" s="12" t="inlineStr">
        <is>
          <t>Add the work</t>
        </is>
      </c>
      <c r="D144" s="12" t="inlineStr">
        <is>
          <t>Quotes</t>
        </is>
      </c>
      <c r="E144" s="13" t="inlineStr">
        <is>
          <t>Add your fluted feature wall panel from My Items</t>
        </is>
      </c>
      <c r="F144" s="14" t="inlineStr">
        <is>
          <t>1. Make sure the button above the table reads "View by: None" (if not, click it and pick "None")
2. Click in the "Add Item" box under the table and type "Fluted"
3. Under "My Items", click "Fluted feature wall panel"</t>
        </is>
      </c>
      <c r="G144" s="14" t="inlineStr">
        <is>
          <t>A "Fluted feature wall panel" line appears with the unit and price you saved in chapter 3; the tab reads "Items (1)".</t>
        </is>
      </c>
      <c r="H144" s="12" t="inlineStr">
        <is>
          <t>Same as 1.0</t>
        </is>
      </c>
      <c r="I144" s="11" t="inlineStr">
        <is>
          <t>Dane</t>
        </is>
      </c>
      <c r="J144" s="15" t="n"/>
      <c r="K144" s="15" t="n"/>
      <c r="L144" s="15" t="n"/>
      <c r="M144" s="16" t="n"/>
      <c r="N144" s="17" t="n"/>
      <c r="O144" s="17" t="n"/>
      <c r="P144" s="15" t="n"/>
    </row>
    <row r="145">
      <c r="A145" s="11" t="n">
        <v>6</v>
      </c>
      <c r="B145" s="11" t="inlineStr">
        <is>
          <t>6.06</t>
        </is>
      </c>
      <c r="C145" s="12" t="inlineStr">
        <is>
          <t>Add the work</t>
        </is>
      </c>
      <c r="D145" s="12" t="inlineStr">
        <is>
          <t>Quotes</t>
        </is>
      </c>
      <c r="E145" s="13" t="inlineStr">
        <is>
          <t>Pick an item from the Price book window</t>
        </is>
      </c>
      <c r="F145" s="14" t="inlineStr">
        <is>
          <t>1. Click "Price book" (the link to the right of the "Add Item" box)
2. Under "My Items", tick "Design consultation and 3D drawings"
3. Click "Add 1 item"</t>
        </is>
      </c>
      <c r="G145" s="14" t="inlineStr">
        <is>
          <t>The "Price book" window closes and "Design consultation and 3D drawings" is added at the end of the table; the tab reads "Items (2)".</t>
        </is>
      </c>
      <c r="H145" s="12" t="inlineStr">
        <is>
          <t>Same as 1.0</t>
        </is>
      </c>
      <c r="I145" s="11" t="inlineStr">
        <is>
          <t>Dane</t>
        </is>
      </c>
      <c r="J145" s="15" t="n"/>
      <c r="K145" s="15" t="n"/>
      <c r="L145" s="15" t="n"/>
      <c r="M145" s="16" t="n"/>
      <c r="N145" s="17" t="n"/>
      <c r="O145" s="17" t="n"/>
      <c r="P145" s="15" t="n"/>
    </row>
    <row r="146">
      <c r="A146" s="11" t="n">
        <v>6</v>
      </c>
      <c r="B146" s="11" t="inlineStr">
        <is>
          <t>6.07</t>
        </is>
      </c>
      <c r="C146" s="12" t="inlineStr">
        <is>
          <t>Add the work</t>
        </is>
      </c>
      <c r="D146" s="12" t="inlineStr">
        <is>
          <t>Quotes</t>
        </is>
      </c>
      <c r="E146" s="13" t="inlineStr">
        <is>
          <t>Paste a block of lines copied from Excel</t>
        </is>
      </c>
      <c r="F146" s="14" t="inlineStr">
        <is>
          <t>1. Open uat-files/sophia-items-to-paste.xlsx in Excel, Numbers or Google Sheets
2. Select all 9 rows (header included) and copy them
3. Click in the "Add Item" box and paste (⌘V, or Ctrl+V on Windows)
4. In "Paste from a spreadsheet", check each column’s pick, then click "Add 8 items"</t>
        </is>
      </c>
      <c r="G146" s="14" t="inlineStr">
        <is>
          <t>The window reads "9 rows · 8 columns…" with "First row is a header" ticked; eight lines land with their qty, unit, cost and category.</t>
        </is>
      </c>
      <c r="H146" s="12" t="inlineStr">
        <is>
          <t>Different from 1.0: paste anywhere, choosing what each column becomes</t>
        </is>
      </c>
      <c r="I146" s="11" t="inlineStr">
        <is>
          <t>Dane</t>
        </is>
      </c>
      <c r="J146" s="15" t="n"/>
      <c r="K146" s="15" t="n"/>
      <c r="L146" s="15" t="n"/>
      <c r="M146" s="16" t="n"/>
      <c r="N146" s="17" t="n"/>
      <c r="O146" s="17" t="n"/>
      <c r="P146" s="15" t="n"/>
    </row>
    <row r="147">
      <c r="A147" s="11" t="n">
        <v>6</v>
      </c>
      <c r="B147" s="11" t="inlineStr">
        <is>
          <t>6.08</t>
        </is>
      </c>
      <c r="C147" s="12" t="inlineStr">
        <is>
          <t>Add the work</t>
        </is>
      </c>
      <c r="D147" s="12" t="inlineStr">
        <is>
          <t>Quotes</t>
        </is>
      </c>
      <c r="E147" s="13" t="inlineStr">
        <is>
          <t>Edit quantities with the keyboard, as in Excel</t>
        </is>
      </c>
      <c r="F147" s="14" t="inlineStr">
        <is>
          <t>1. Click the "Qty" of "Waterproofing to bathroom floors", press ⌘A (Ctrl+A), type 3 and press Enter
2. Press Tab once, then click an empty part of the page
3. Press ⌘Z (Ctrl+Z on Windows)</t>
        </is>
      </c>
      <c r="G147" s="14" t="inlineStr">
        <is>
          <t>Enter jumps down to the next line’s Qty and Tab moves one box right; ⌘Z puts Waterproofing back to 2 and its total follows.</t>
        </is>
      </c>
      <c r="H147" s="12" t="inlineStr">
        <is>
          <t>Different from 1.0: one grid with Excel keys everywhere</t>
        </is>
      </c>
      <c r="I147" s="11" t="inlineStr">
        <is>
          <t>Dane</t>
        </is>
      </c>
      <c r="J147" s="15" t="n"/>
      <c r="K147" s="15" t="n"/>
      <c r="L147" s="15" t="n"/>
      <c r="M147" s="16" t="n"/>
      <c r="N147" s="17" t="n"/>
      <c r="O147" s="17" t="n"/>
      <c r="P147" s="15" t="n"/>
    </row>
    <row r="148">
      <c r="A148" s="11" t="n">
        <v>6</v>
      </c>
      <c r="B148" s="11" t="inlineStr">
        <is>
          <t>6.09</t>
        </is>
      </c>
      <c r="C148" s="12" t="inlineStr">
        <is>
          <t>Add the work</t>
        </is>
      </c>
      <c r="D148" s="12" t="inlineStr">
        <is>
          <t>Quotes</t>
        </is>
      </c>
      <c r="E148" s="13" t="inlineStr">
        <is>
          <t>Drag a line to a new place</t>
        </is>
      </c>
      <c r="F148" s="14" t="inlineStr">
        <is>
          <t>1. Hover "Painting, whole unit"
2. Grab its handle at the left of the row ("Drag to reorder")
3. Drag it above "Lighting points" and let go</t>
        </is>
      </c>
      <c r="G148" s="14" t="inlineStr">
        <is>
          <t>Painting now sits above Lighting points and the line numbers follow the new order.</t>
        </is>
      </c>
      <c r="H148" s="12" t="inlineStr">
        <is>
          <t>Same as 1.0</t>
        </is>
      </c>
      <c r="I148" s="11" t="inlineStr">
        <is>
          <t>Dane</t>
        </is>
      </c>
      <c r="J148" s="15" t="n"/>
      <c r="K148" s="15" t="n"/>
      <c r="L148" s="15" t="n"/>
      <c r="M148" s="16" t="n"/>
      <c r="N148" s="17" t="n"/>
      <c r="O148" s="17" t="n"/>
      <c r="P148" s="15" t="n"/>
    </row>
    <row r="149">
      <c r="A149" s="11" t="n">
        <v>6</v>
      </c>
      <c r="B149" s="11" t="inlineStr">
        <is>
          <t>6.10</t>
        </is>
      </c>
      <c r="C149" s="12" t="inlineStr">
        <is>
          <t>Add the work</t>
        </is>
      </c>
      <c r="D149" s="12" t="inlineStr">
        <is>
          <t>Quotes</t>
        </is>
      </c>
      <c r="E149" s="13" t="inlineStr">
        <is>
          <t>Group the kitchen lines into a section</t>
        </is>
      </c>
      <c r="F149" s="14" t="inlineStr">
        <is>
          <t>1. Tick the boxes of "Hacking of kitchen floor and wall tiles", "Homogeneous floor tiles, supply and lay", "Kitchen top and bottom cabinets" and "Quartz countertop"
2. Click "New section" above the table
3. Type "Kitchen" over "New section" and press Enter</t>
        </is>
      </c>
      <c r="G149" s="14" t="inlineStr">
        <is>
          <t>A "Kitchen" section now holds the four lines and shows their total; the other lines stay outside it.</t>
        </is>
      </c>
      <c r="H149" s="12" t="inlineStr">
        <is>
          <t>Different from 1.0: sections belong to this quote, not the lead</t>
        </is>
      </c>
      <c r="I149" s="11" t="inlineStr">
        <is>
          <t>Dane</t>
        </is>
      </c>
      <c r="J149" s="15" t="n"/>
      <c r="K149" s="15" t="n"/>
      <c r="L149" s="15" t="n"/>
      <c r="M149" s="16" t="n"/>
      <c r="N149" s="17" t="n"/>
      <c r="O149" s="17" t="n"/>
      <c r="P149" s="15" t="n"/>
    </row>
    <row r="150">
      <c r="A150" s="11" t="n">
        <v>6</v>
      </c>
      <c r="B150" s="11" t="inlineStr">
        <is>
          <t>6.11</t>
        </is>
      </c>
      <c r="C150" s="12" t="inlineStr">
        <is>
          <t>Add the work</t>
        </is>
      </c>
      <c r="D150" s="12" t="inlineStr">
        <is>
          <t>Quotes</t>
        </is>
      </c>
      <c r="E150" s="13" t="inlineStr">
        <is>
          <t>Add a sub-section inside Kitchen</t>
        </is>
      </c>
      <c r="F150" s="14" t="inlineStr">
        <is>
          <t>1. Inside Kitchen, tick "Kitchen top and bottom cabinets" and "Quartz countertop"
2. In the bar at the bottom of the screen, click "Section"
3. Type "Cabinetry" and press Enter</t>
        </is>
      </c>
      <c r="G150" s="14" t="inlineStr">
        <is>
          <t>A "Cabinetry" sub-section sits inside Kitchen with the two lines, numbered one level down.</t>
        </is>
      </c>
      <c r="H150" s="12" t="inlineStr">
        <is>
          <t>Same as 1.0</t>
        </is>
      </c>
      <c r="I150" s="11" t="inlineStr">
        <is>
          <t>Dane</t>
        </is>
      </c>
      <c r="J150" s="15" t="n"/>
      <c r="K150" s="15" t="n"/>
      <c r="L150" s="15" t="n"/>
      <c r="M150" s="16" t="n"/>
      <c r="N150" s="17" t="n"/>
      <c r="O150" s="17" t="n"/>
      <c r="P150" s="15" t="n"/>
    </row>
    <row r="151">
      <c r="A151" s="11" t="n">
        <v>6</v>
      </c>
      <c r="B151" s="11" t="inlineStr">
        <is>
          <t>6.12</t>
        </is>
      </c>
      <c r="C151" s="12" t="inlineStr">
        <is>
          <t>Decide how each line prints</t>
        </is>
      </c>
      <c r="D151" s="12" t="inlineStr">
        <is>
          <t>Quotes</t>
        </is>
      </c>
      <c r="E151" s="13" t="inlineStr">
        <is>
          <t>Give the design work free of charge</t>
        </is>
      </c>
      <c r="F151" s="14" t="inlineStr">
        <is>
          <t>1. Hover "Design consultation and 3D drawings" and click its "More options" (⋮)
2. Choose "Print as"
3. Choose "FOC" (note "By client" is in the list too)</t>
        </is>
      </c>
      <c r="G151" s="14" t="inlineStr">
        <is>
          <t>An "FOC" tag appears beside the line, the message says it prints as FOC and is not counted, and the Subtotal drops.</t>
        </is>
      </c>
      <c r="H151" s="12" t="inlineStr">
        <is>
          <t>Same as 1.0</t>
        </is>
      </c>
      <c r="I151" s="11" t="inlineStr">
        <is>
          <t>Dane</t>
        </is>
      </c>
      <c r="J151" s="15" t="n"/>
      <c r="K151" s="15" t="n"/>
      <c r="L151" s="15" t="n"/>
      <c r="M151" s="16" t="n"/>
      <c r="N151" s="17" t="n"/>
      <c r="O151" s="17" t="n"/>
      <c r="P151" s="15" t="n"/>
    </row>
    <row r="152">
      <c r="A152" s="11" t="n">
        <v>6</v>
      </c>
      <c r="B152" s="11" t="inlineStr">
        <is>
          <t>6.13</t>
        </is>
      </c>
      <c r="C152" s="12" t="inlineStr">
        <is>
          <t>Decide how each line prints</t>
        </is>
      </c>
      <c r="D152" s="12" t="inlineStr">
        <is>
          <t>Quotes</t>
        </is>
      </c>
      <c r="E152" s="13" t="inlineStr">
        <is>
          <t>Highlight the countertop line</t>
        </is>
      </c>
      <c r="F152" s="14" t="inlineStr">
        <is>
          <t>1. Open "More options" (⋮) on "Quartz countertop"
2. Choose "Highlight"
3. Choose "Accent text"</t>
        </is>
      </c>
      <c r="G152" s="14" t="inlineStr">
        <is>
          <t>The line’s words turn your brand’s accent colour and the message says "Highlighted — Accent text".</t>
        </is>
      </c>
      <c r="H152" s="12" t="inlineStr">
        <is>
          <t>Same as 1.0</t>
        </is>
      </c>
      <c r="I152" s="11" t="inlineStr">
        <is>
          <t>Dane</t>
        </is>
      </c>
      <c r="J152" s="15" t="n"/>
      <c r="K152" s="15" t="n"/>
      <c r="L152" s="15" t="n"/>
      <c r="M152" s="16" t="n"/>
      <c r="N152" s="17" t="n"/>
      <c r="O152" s="17" t="n"/>
      <c r="P152" s="15" t="n"/>
    </row>
    <row r="153">
      <c r="A153" s="11" t="n">
        <v>6</v>
      </c>
      <c r="B153" s="11" t="inlineStr">
        <is>
          <t>6.14</t>
        </is>
      </c>
      <c r="C153" s="12" t="inlineStr">
        <is>
          <t>Decide how each line prints</t>
        </is>
      </c>
      <c r="D153" s="12" t="inlineStr">
        <is>
          <t>Quotes</t>
        </is>
      </c>
      <c r="E153" s="13" t="inlineStr">
        <is>
          <t>Offer the fluted wall as an optional extra</t>
        </is>
      </c>
      <c r="F153" s="14" t="inlineStr">
        <is>
          <t>1. Open "More options" (⋮) on "Fluted feature wall panel"
2. Choose "Mark as Optional"</t>
        </is>
      </c>
      <c r="G153" s="14" t="inlineStr">
        <is>
          <t>The message says it prints in its own section, out of the totals; the Subtotal no longer includes the panel.</t>
        </is>
      </c>
      <c r="H153" s="12" t="inlineStr">
        <is>
          <t>Different from 1.0: optional lines never count in the totals</t>
        </is>
      </c>
      <c r="I153" s="11" t="inlineStr">
        <is>
          <t>Dane</t>
        </is>
      </c>
      <c r="J153" s="15" t="n"/>
      <c r="K153" s="15" t="n"/>
      <c r="L153" s="15" t="n"/>
      <c r="M153" s="16" t="n"/>
      <c r="N153" s="17" t="n"/>
      <c r="O153" s="17" t="n"/>
      <c r="P153" s="15" t="n"/>
    </row>
    <row r="154">
      <c r="A154" s="11" t="n">
        <v>6</v>
      </c>
      <c r="B154" s="11" t="inlineStr">
        <is>
          <t>6.15</t>
        </is>
      </c>
      <c r="C154" s="12" t="inlineStr">
        <is>
          <t>Decide how each line prints</t>
        </is>
      </c>
      <c r="D154" s="12" t="inlineStr">
        <is>
          <t>Quotes</t>
        </is>
      </c>
      <c r="E154" s="13" t="inlineStr">
        <is>
          <t>See the warning when a line sells below cost</t>
        </is>
      </c>
      <c r="F154" s="14" t="inlineStr">
        <is>
          <t>1. Make sure the "Cost" column shows (turn it on in "Column settings" if not)
2. Click the "Unit Price" of "Lighting points", press ⌘A (Ctrl+A), type 40 and press Enter
3. Hover the red "Below cost" tag
4. Click "Undo" (the curved arrow above the table)</t>
        </is>
      </c>
      <c r="G154" s="14" t="inlineStr">
        <is>
          <t>A red "Below cost" tag appears; its tip says how far under cost it sells. Undo puts 65 back and the tag goes.</t>
        </is>
      </c>
      <c r="H154" s="12" t="inlineStr">
        <is>
          <t>Same as 1.0</t>
        </is>
      </c>
      <c r="I154" s="11" t="inlineStr">
        <is>
          <t>Dane</t>
        </is>
      </c>
      <c r="J154" s="15" t="n"/>
      <c r="K154" s="15" t="n"/>
      <c r="L154" s="15" t="n"/>
      <c r="M154" s="16" t="n"/>
      <c r="N154" s="17" t="n"/>
      <c r="O154" s="17" t="n"/>
      <c r="P154" s="15" t="n"/>
    </row>
    <row r="155">
      <c r="A155" s="11" t="n">
        <v>6</v>
      </c>
      <c r="B155" s="11" t="inlineStr">
        <is>
          <t>6.16</t>
        </is>
      </c>
      <c r="C155" s="12" t="inlineStr">
        <is>
          <t>Decide how each line prints</t>
        </is>
      </c>
      <c r="D155" s="12" t="inlineStr">
        <is>
          <t>Quotes</t>
        </is>
      </c>
      <c r="E155" s="13" t="inlineStr">
        <is>
          <t>Show who supplies a line and its product link</t>
        </is>
      </c>
      <c r="F155" s="14" t="inlineStr">
        <is>
          <t>1. Click "Column settings" (the sliders icon above the table), switch on "Vendor/Sub" and "Website Link", click "Done"
2. On "Kitchen top and bottom cabinets", click "Add vendor", choose "Add vendor", type "Wood Craft Carpentry", click "Save"
3. In the same line’s "Add link" box type "woodcraft.sg" and press Enter</t>
        </is>
      </c>
      <c r="G155" s="14" t="inlineStr">
        <is>
          <t>Both columns appear; the cabinets line shows vendor Wood Craft Carpentry and the link woodcraft.sg. Neither ever prints for the client.</t>
        </is>
      </c>
      <c r="H155" s="12" t="inlineStr">
        <is>
          <t>Same as 1.0</t>
        </is>
      </c>
      <c r="I155" s="11" t="inlineStr">
        <is>
          <t>Dane</t>
        </is>
      </c>
      <c r="J155" s="15" t="n"/>
      <c r="K155" s="15" t="n"/>
      <c r="L155" s="15" t="n"/>
      <c r="M155" s="16" t="n"/>
      <c r="N155" s="17" t="n"/>
      <c r="O155" s="17" t="n"/>
      <c r="P155" s="15" t="n"/>
    </row>
    <row r="156">
      <c r="A156" s="11" t="n">
        <v>6</v>
      </c>
      <c r="B156" s="11" t="inlineStr">
        <is>
          <t>6.17</t>
        </is>
      </c>
      <c r="C156" s="12" t="inlineStr">
        <is>
          <t>Get the money right</t>
        </is>
      </c>
      <c r="D156" s="12" t="inlineStr">
        <is>
          <t>Quotes</t>
        </is>
      </c>
      <c r="E156" s="13" t="inlineStr">
        <is>
          <t>Add a named discount</t>
        </is>
      </c>
      <c r="F156" s="14" t="inlineStr">
        <is>
          <t>1. In the totals card under the table, click "Add a discount"
2. Type "Opening promotion" in "Discount name"
3. Click the "%" button next to it, choose "S$", then type 500
4. Click anywhere outside the box</t>
        </is>
      </c>
      <c r="G156" s="14" t="inlineStr">
        <is>
          <t>A row "Opening promotion −S$500.00" appears above GST and the Total drops by the discount and its GST.</t>
        </is>
      </c>
      <c r="H156" s="12" t="inlineStr">
        <is>
          <t>Different from 1.0: several named discounts per quote, not one per lead</t>
        </is>
      </c>
      <c r="I156" s="11" t="inlineStr">
        <is>
          <t>Dane</t>
        </is>
      </c>
      <c r="J156" s="15" t="n"/>
      <c r="K156" s="15" t="n"/>
      <c r="L156" s="15" t="n"/>
      <c r="M156" s="16" t="n"/>
      <c r="N156" s="17" t="n"/>
      <c r="O156" s="17" t="n"/>
      <c r="P156" s="15" t="n"/>
    </row>
    <row r="157">
      <c r="A157" s="11" t="n">
        <v>6</v>
      </c>
      <c r="B157" s="11" t="inlineStr">
        <is>
          <t>6.18</t>
        </is>
      </c>
      <c r="C157" s="12" t="inlineStr">
        <is>
          <t>Get the money right</t>
        </is>
      </c>
      <c r="D157" s="12" t="inlineStr">
        <is>
          <t>Quotes</t>
        </is>
      </c>
      <c r="E157" s="13" t="inlineStr">
        <is>
          <t>Check your margin by category, then look at rounding</t>
        </is>
      </c>
      <c r="F157" s="14" t="inlineStr">
        <is>
          <t>1. In "By category" (left of the totals), click "Margin"
2. Read each category’s margin and "Margin · owners only" in the totals
3. Click "Round Prices" next to Total, look at the list, then click "Cancel"</t>
        </is>
      </c>
      <c r="G157" s="14" t="inlineStr">
        <is>
          <t>As owner you see a margin % per category; "Round selling prices" lists the lines it would change and Cancel leaves them as they are.</t>
        </is>
      </c>
      <c r="H157" s="12" t="inlineStr">
        <is>
          <t>Same as 1.0</t>
        </is>
      </c>
      <c r="I157" s="11" t="inlineStr">
        <is>
          <t>Dane</t>
        </is>
      </c>
      <c r="J157" s="15" t="n"/>
      <c r="K157" s="15" t="n"/>
      <c r="L157" s="15" t="n"/>
      <c r="M157" s="16" t="n"/>
      <c r="N157" s="17" t="n"/>
      <c r="O157" s="17" t="n"/>
      <c r="P157" s="15" t="n"/>
    </row>
    <row r="158">
      <c r="A158" s="11" t="n">
        <v>6</v>
      </c>
      <c r="B158" s="11" t="inlineStr">
        <is>
          <t>6.19</t>
        </is>
      </c>
      <c r="C158" s="12" t="inlineStr">
        <is>
          <t>Schedule, terms, files and signature</t>
        </is>
      </c>
      <c r="D158" s="12" t="inlineStr">
        <is>
          <t>Quotes</t>
        </is>
      </c>
      <c r="E158" s="13" t="inlineStr">
        <is>
          <t>Try another payment split, then undo it</t>
        </is>
      </c>
      <c r="F158" s="14" t="inlineStr">
        <is>
          <t>1. Click the "Payment Schedule" tab
2. Click the split button (it shows the current split, e.g. "Default: 10/30/30/30")
3. Choose "20/40/40"
4. Click "Undo" on the message</t>
        </is>
      </c>
      <c r="G158" s="14" t="inlineStr">
        <is>
          <t>The rows change to 20/40/40 with amounts worked out from the quote total; Undo brings the original split back.</t>
        </is>
      </c>
      <c r="H158" s="12" t="inlineStr">
        <is>
          <t>Same as 1.0</t>
        </is>
      </c>
      <c r="I158" s="11" t="inlineStr">
        <is>
          <t>Dane</t>
        </is>
      </c>
      <c r="J158" s="15" t="n"/>
      <c r="K158" s="15" t="n"/>
      <c r="L158" s="15" t="n"/>
      <c r="M158" s="16" t="n"/>
      <c r="N158" s="17" t="n"/>
      <c r="O158" s="17" t="n"/>
      <c r="P158" s="15" t="n"/>
    </row>
    <row r="159">
      <c r="A159" s="11" t="n">
        <v>6</v>
      </c>
      <c r="B159" s="11" t="inlineStr">
        <is>
          <t>6.20</t>
        </is>
      </c>
      <c r="C159" s="12" t="inlineStr">
        <is>
          <t>Schedule, terms, files and signature</t>
        </is>
      </c>
      <c r="D159" s="12" t="inlineStr">
        <is>
          <t>Quotes</t>
        </is>
      </c>
      <c r="E159" s="13" t="inlineStr">
        <is>
          <t>Add your standard Terms and Conditions</t>
        </is>
      </c>
      <c r="F159" s="14" t="inlineStr">
        <is>
          <t>1. Click the "Terms and Conditions" tab
2. Click "My Templates"
3. Click "Add" beside "Terms and Conditions for HDB Works"</t>
        </is>
      </c>
      <c r="G159" s="14" t="inlineStr">
        <is>
          <t>The terms fill the box, the message says "“Terms and Conditions for HDB Works” added", and "Show in client view" is on.</t>
        </is>
      </c>
      <c r="H159" s="12" t="inlineStr">
        <is>
          <t>Same as 1.0</t>
        </is>
      </c>
      <c r="I159" s="11" t="inlineStr">
        <is>
          <t>Dane</t>
        </is>
      </c>
      <c r="J159" s="15" t="n"/>
      <c r="K159" s="15" t="n"/>
      <c r="L159" s="15" t="n"/>
      <c r="M159" s="16" t="n"/>
      <c r="N159" s="17" t="n"/>
      <c r="O159" s="17" t="n"/>
      <c r="P159" s="15" t="n"/>
    </row>
    <row r="160">
      <c r="A160" s="11" t="n">
        <v>6</v>
      </c>
      <c r="B160" s="11" t="inlineStr">
        <is>
          <t>6.21</t>
        </is>
      </c>
      <c r="C160" s="12" t="inlineStr">
        <is>
          <t>Schedule, terms, files and signature</t>
        </is>
      </c>
      <c r="D160" s="12" t="inlineStr">
        <is>
          <t>Quotes</t>
        </is>
      </c>
      <c r="E160" s="13" t="inlineStr">
        <is>
          <t>Let Maison AI draft the Additional Notes</t>
        </is>
      </c>
      <c r="F160" s="14" t="inlineStr">
        <is>
          <t>1. Click the "Additional Notes" tab
2. Click "Write with AI"
3. Read the notes it wrote</t>
        </is>
      </c>
      <c r="G160" s="14" t="inlineStr">
        <is>
          <t>After a short "Writing…", notes about this quote appear and the message says "Maison AI wrote your additional notes", with Undo.</t>
        </is>
      </c>
      <c r="H160" s="12" t="inlineStr">
        <is>
          <t>New in 2.0</t>
        </is>
      </c>
      <c r="I160" s="11" t="inlineStr">
        <is>
          <t>Dane</t>
        </is>
      </c>
      <c r="J160" s="15" t="n"/>
      <c r="K160" s="15" t="n"/>
      <c r="L160" s="15" t="n"/>
      <c r="M160" s="16" t="n"/>
      <c r="N160" s="17" t="n"/>
      <c r="O160" s="17" t="n"/>
      <c r="P160" s="15" t="n"/>
    </row>
    <row r="161">
      <c r="A161" s="11" t="n">
        <v>6</v>
      </c>
      <c r="B161" s="11" t="inlineStr">
        <is>
          <t>6.22</t>
        </is>
      </c>
      <c r="C161" s="12" t="inlineStr">
        <is>
          <t>Schedule, terms, files and signature</t>
        </is>
      </c>
      <c r="D161" s="12" t="inlineStr">
        <is>
          <t>Quotes</t>
        </is>
      </c>
      <c r="E161" s="13" t="inlineStr">
        <is>
          <t>Share a mood-board file with the quote</t>
        </is>
      </c>
      <c r="F161" s="14" t="inlineStr">
        <is>
          <t>1. Click the "Files (0)" tab
2. Drag uat-files/kitchen-moodboard.jpg from your computer onto "Drop your file or browse"
3. Hover "Show in client view" and read its tip</t>
        </is>
      </c>
      <c r="G161" s="14" t="inlineStr">
        <is>
          <t>A tile for the file appears, the tab reads "Files (1)", and the tip says the files show on the client’s confirmation page.</t>
        </is>
      </c>
      <c r="H161" s="12" t="inlineStr">
        <is>
          <t>Same as 1.0</t>
        </is>
      </c>
      <c r="I161" s="11" t="inlineStr">
        <is>
          <t>Dane</t>
        </is>
      </c>
      <c r="J161" s="15" t="n"/>
      <c r="K161" s="15" t="n"/>
      <c r="L161" s="15" t="n"/>
      <c r="M161" s="16" t="n"/>
      <c r="N161" s="17" t="n"/>
      <c r="O161" s="17" t="n"/>
      <c r="P161" s="15" t="n"/>
    </row>
    <row r="162">
      <c r="A162" s="11" t="n">
        <v>6</v>
      </c>
      <c r="B162" s="11" t="inlineStr">
        <is>
          <t>6.23</t>
        </is>
      </c>
      <c r="C162" s="12" t="inlineStr">
        <is>
          <t>Schedule, terms, files and signature</t>
        </is>
      </c>
      <c r="D162" s="12" t="inlineStr">
        <is>
          <t>Quotes</t>
        </is>
      </c>
      <c r="E162" s="13" t="inlineStr">
        <is>
          <t>Sign the quote with a drawn signature</t>
        </is>
      </c>
      <c r="F162" s="14" t="inlineStr">
        <is>
          <t>1. Click the "Signature" tab
2. Click "Edit" beside your name
3. Under "Show signature as" pick "Draw" and draw in the box
4. Click "Save"</t>
        </is>
      </c>
      <c r="G162" s="14" t="inlineStr">
        <is>
          <t>The message says "Signature saved" and your drawing shows in the box, beside the client’s side.</t>
        </is>
      </c>
      <c r="H162" s="12" t="inlineStr">
        <is>
          <t>Same as 1.0</t>
        </is>
      </c>
      <c r="I162" s="11" t="inlineStr">
        <is>
          <t>Dane</t>
        </is>
      </c>
      <c r="J162" s="15" t="n"/>
      <c r="K162" s="15" t="n"/>
      <c r="L162" s="15" t="n"/>
      <c r="M162" s="16" t="n"/>
      <c r="N162" s="17" t="n"/>
      <c r="O162" s="17" t="n"/>
      <c r="P162" s="15" t="n"/>
    </row>
    <row r="163">
      <c r="A163" s="11" t="n">
        <v>6</v>
      </c>
      <c r="B163" s="11" t="inlineStr">
        <is>
          <t>6.24</t>
        </is>
      </c>
      <c r="C163" s="12" t="inlineStr">
        <is>
          <t>See it as Sophia will</t>
        </is>
      </c>
      <c r="D163" s="12" t="inlineStr">
        <is>
          <t>Quotes</t>
        </is>
      </c>
      <c r="E163" s="13" t="inlineStr">
        <is>
          <t>Watch the client’s view while you edit</t>
        </is>
      </c>
      <c r="F163" s="14" t="inlineStr">
        <is>
          <t>1. Click the eye icon ("Client view") in the header
2. Scroll through the pages in the pane
3. Read the note at the foot of the pane</t>
        </is>
      </c>
      <c r="G163" s="14" t="inlineStr">
        <is>
          <t>A "Client view" pane shows the quote as Sophia will get it; the note says "Redraws as you build. Cost and markup never print."</t>
        </is>
      </c>
      <c r="H163" s="12" t="inlineStr">
        <is>
          <t>New in 2.0</t>
        </is>
      </c>
      <c r="I163" s="11" t="inlineStr">
        <is>
          <t>Dane</t>
        </is>
      </c>
      <c r="J163" s="15" t="n"/>
      <c r="K163" s="15" t="n"/>
      <c r="L163" s="15" t="n"/>
      <c r="M163" s="16" t="n"/>
      <c r="N163" s="17" t="n"/>
      <c r="O163" s="17" t="n"/>
      <c r="P163" s="15" t="n"/>
    </row>
    <row r="164">
      <c r="A164" s="11" t="n">
        <v>6</v>
      </c>
      <c r="B164" s="11" t="inlineStr">
        <is>
          <t>6.25</t>
        </is>
      </c>
      <c r="C164" s="12" t="inlineStr">
        <is>
          <t>See it as Sophia will</t>
        </is>
      </c>
      <c r="D164" s="12" t="inlineStr">
        <is>
          <t>Quotes</t>
        </is>
      </c>
      <c r="E164" s="13" t="inlineStr">
        <is>
          <t>Preview the quote and choose what Sophia sees</t>
        </is>
      </c>
      <c r="F164" s="14" t="inlineStr">
        <is>
          <t>1. Click "Preview" in the header
2. Click "What your client sees" and make sure "Optional works" is on
3. Switch on "Internal copy", read the grey card, then switch it off
4. Click the back arrow ("Back to the editor")</t>
        </is>
      </c>
      <c r="G164" s="14" t="inlineStr">
        <is>
          <t>The pages match the client view; "Internal copy" adds a watermark plus "Internal — never printed for the client" with Cost, Selling and Margin.</t>
        </is>
      </c>
      <c r="H164" s="12" t="inlineStr">
        <is>
          <t>Different from 1.0: you choose, per quote, what the client sees</t>
        </is>
      </c>
      <c r="I164" s="11" t="inlineStr">
        <is>
          <t>Dane</t>
        </is>
      </c>
      <c r="J164" s="15" t="n"/>
      <c r="K164" s="15" t="n"/>
      <c r="L164" s="15" t="n"/>
      <c r="M164" s="16" t="n"/>
      <c r="N164" s="17" t="n"/>
      <c r="O164" s="17" t="n"/>
      <c r="P164" s="15" t="n"/>
    </row>
    <row r="165">
      <c r="A165" s="11" t="n">
        <v>6</v>
      </c>
      <c r="B165" s="11" t="inlineStr">
        <is>
          <t>6.26</t>
        </is>
      </c>
      <c r="C165" s="12" t="inlineStr">
        <is>
          <t>Before it goes out</t>
        </is>
      </c>
      <c r="D165" s="12" t="inlineStr">
        <is>
          <t>Quotes</t>
        </is>
      </c>
      <c r="E165" s="13" t="inlineStr">
        <is>
          <t>Save this quote’s setup as a new template</t>
        </is>
      </c>
      <c r="F165" s="14" t="inlineStr">
        <is>
          <t>1. Click "More options" (⋮) › "Save as Template"
2. Keep the name "Tampines 4-room renovation template"
3. Click "Save template"</t>
        </is>
      </c>
      <c r="G165" s="14" t="inlineStr">
        <is>
          <t>The message says it was saved as a draft template, with "Open"; it waits in Company › Templates › Quotes as a draft.</t>
        </is>
      </c>
      <c r="H165" s="12" t="inlineStr">
        <is>
          <t>Different from 1.0: keeps settings and sections, never the lines</t>
        </is>
      </c>
      <c r="I165" s="11" t="inlineStr">
        <is>
          <t>Dane</t>
        </is>
      </c>
      <c r="J165" s="15" t="n"/>
      <c r="K165" s="15" t="n"/>
      <c r="L165" s="15" t="n"/>
      <c r="M165" s="16" t="n"/>
      <c r="N165" s="17" t="n"/>
      <c r="O165" s="17" t="n"/>
      <c r="P165" s="15" t="n"/>
    </row>
    <row r="166">
      <c r="A166" s="11" t="n">
        <v>6</v>
      </c>
      <c r="B166" s="11" t="inlineStr">
        <is>
          <t>6.27</t>
        </is>
      </c>
      <c r="C166" s="12" t="inlineStr">
        <is>
          <t>Before it goes out</t>
        </is>
      </c>
      <c r="D166" s="12" t="inlineStr">
        <is>
          <t>Quotes</t>
        </is>
      </c>
      <c r="E166" s="13" t="inlineStr">
        <is>
          <t>Leave a note on a line for your team</t>
        </is>
      </c>
      <c r="F166" s="14" t="inlineStr">
        <is>
          <t>1. Open "More options" (⋮) on "Full-height wardrobe" › "Comment"
2. Type "Check hinge brand with supplier" in "Chat with your team here"
3. Click "Submit", then close the panel
4. Click the "Comments" icon in the header</t>
        </is>
      </c>
      <c r="G166" s="14" t="inlineStr">
        <is>
          <t>Your comment shows as "You" with "Clients can’t see these comments"; the line shows a comment count; the header’s Comments lists the thread.</t>
        </is>
      </c>
      <c r="H166" s="12" t="inlineStr">
        <is>
          <t>Same as 1.0</t>
        </is>
      </c>
      <c r="I166" s="11" t="inlineStr">
        <is>
          <t>Dane</t>
        </is>
      </c>
      <c r="J166" s="15" t="n"/>
      <c r="K166" s="15" t="n"/>
      <c r="L166" s="15" t="n"/>
      <c r="M166" s="16" t="n"/>
      <c r="N166" s="17" t="n"/>
      <c r="O166" s="17" t="n"/>
      <c r="P166" s="15" t="n"/>
    </row>
    <row r="167">
      <c r="A167" s="11" t="n">
        <v>6</v>
      </c>
      <c r="B167" s="11" t="inlineStr">
        <is>
          <t>6.28</t>
        </is>
      </c>
      <c r="C167" s="12" t="inlineStr">
        <is>
          <t>Send it to Sophia</t>
        </is>
      </c>
      <c r="D167" s="12" t="inlineStr">
        <is>
          <t>Quotes</t>
        </is>
      </c>
      <c r="E167" s="13" t="inlineStr">
        <is>
          <t>Send the quote to Sophia for confirmation</t>
        </is>
      </c>
      <c r="F167" s="14" t="inlineStr">
        <is>
          <t>1. Click "Send" › "Send for confirmation"
2. Check "Client name" and the phone 9765 4321
3. Click "Send via WhatsApp" — a WhatsApp tab opens: close it, do not send</t>
        </is>
      </c>
      <c r="G167" s="14" t="inlineStr">
        <is>
          <t>No approval step for you: the status turns "Sent to Client" and a banner says Sophia has version 1, with "Revise — new version".</t>
        </is>
      </c>
      <c r="H167" s="12" t="inlineStr">
        <is>
          <t>Same as 1.0</t>
        </is>
      </c>
      <c r="I167" s="11" t="inlineStr">
        <is>
          <t>Dane</t>
        </is>
      </c>
      <c r="J167" s="15" t="n"/>
      <c r="K167" s="15" t="n"/>
      <c r="L167" s="15" t="n"/>
      <c r="M167" s="16" t="n"/>
      <c r="N167" s="17" t="n"/>
      <c r="O167" s="17" t="n"/>
      <c r="P167" s="15" t="n"/>
    </row>
    <row r="168">
      <c r="A168" s="11" t="n">
        <v>6</v>
      </c>
      <c r="B168" s="11" t="inlineStr">
        <is>
          <t>6.29</t>
        </is>
      </c>
      <c r="C168" s="12" t="inlineStr">
        <is>
          <t>Send it to Sophia</t>
        </is>
      </c>
      <c r="D168" s="12" t="inlineStr">
        <is>
          <t>Quotes</t>
        </is>
      </c>
      <c r="E168" s="13" t="inlineStr">
        <is>
          <t>Open the confirmation link the way Sophia will</t>
        </is>
      </c>
      <c r="F168" s="14" t="inlineStr">
        <is>
          <t>1. In the editor click "More options" (⋮) › "Copy confirmation link"
2. Open a new browser tab, paste the link and press Enter
3. Look through the page — do not confirm yet
4. Keep this tab open for later</t>
        </is>
      </c>
      <c r="G168" s="14" t="inlineStr">
        <is>
          <t>Your studio and "Private link" on top, the quote, and "Confirm this quote" with the total, the fluted panel under "Optional works" and your file.</t>
        </is>
      </c>
      <c r="H168" s="12" t="inlineStr">
        <is>
          <t>Different from 1.0: the client confirms on a link, no code</t>
        </is>
      </c>
      <c r="I168" s="18" t="inlineStr">
        <is>
          <t>Sophia (client)</t>
        </is>
      </c>
      <c r="J168" s="15" t="n"/>
      <c r="K168" s="15" t="n"/>
      <c r="L168" s="15" t="n"/>
      <c r="M168" s="16" t="n"/>
      <c r="N168" s="17" t="n"/>
      <c r="O168" s="17" t="n"/>
      <c r="P168" s="15" t="n"/>
    </row>
    <row r="169">
      <c r="A169" s="11" t="n">
        <v>6</v>
      </c>
      <c r="B169" s="11" t="inlineStr">
        <is>
          <t>6.30</t>
        </is>
      </c>
      <c r="C169" s="12" t="inlineStr">
        <is>
          <t>Send it to Sophia</t>
        </is>
      </c>
      <c r="D169" s="12" t="inlineStr">
        <is>
          <t>Quotes</t>
        </is>
      </c>
      <c r="E169" s="13" t="inlineStr">
        <is>
          <t>Set a due date and get a follow-up task</t>
        </is>
      </c>
      <c r="F169" s="14" t="inlineStr">
        <is>
          <t>1. Back in the editor, click "Close" (✕) to return to Sophia’s "Quotes" tab
2. In the "Due" column click the calendar icon ("Set due date")
3. Pick the date three days from today
4. Click "View" on the message</t>
        </is>
      </c>
      <c r="G169" s="14" t="inlineStr">
        <is>
          <t>The message says "Due date set — follow-up task added"; the Tasks tab lists "Follow up on quote …" due that day, assigned to Dane.</t>
        </is>
      </c>
      <c r="H169" s="12" t="inlineStr">
        <is>
          <t>New in 2.0</t>
        </is>
      </c>
      <c r="I169" s="11" t="inlineStr">
        <is>
          <t>Dane</t>
        </is>
      </c>
      <c r="J169" s="15" t="n"/>
      <c r="K169" s="15" t="n"/>
      <c r="L169" s="15" t="n"/>
      <c r="M169" s="16" t="n"/>
      <c r="N169" s="17" t="n"/>
      <c r="O169" s="17" t="n"/>
      <c r="P169" s="15" t="n"/>
    </row>
    <row r="170">
      <c r="A170" s="11" t="n">
        <v>6</v>
      </c>
      <c r="B170" s="11" t="inlineStr">
        <is>
          <t>6.31</t>
        </is>
      </c>
      <c r="C170" s="12" t="inlineStr">
        <is>
          <t>Send it to Sophia</t>
        </is>
      </c>
      <c r="D170" s="12" t="inlineStr">
        <is>
          <t>Quotes</t>
        </is>
      </c>
      <c r="E170" s="13" t="inlineStr">
        <is>
          <t>See how a quote past its valid-until date is flagged</t>
        </is>
      </c>
      <c r="F170" s="14" t="inlineStr">
        <is>
          <t>1. Go back to the "Quotes" tab and click "View" on the quote
2. In General Info set "Quote Valid Until" to yesterday; read the banner
3. Close the editor and look at the quote’s row in the "Quotes" tab
4. Open the quote again and set "Quote Valid Until" to a date next month</t>
        </is>
      </c>
      <c r="G170" s="14" t="inlineStr">
        <is>
          <t>The banner adds "Its validity ended on …" and the row reads "Expired …" — nothing is blocked; the new date clears both.</t>
        </is>
      </c>
      <c r="H170" s="12" t="inlineStr">
        <is>
          <t>Different from 1.0: a passed validity date is now flagged</t>
        </is>
      </c>
      <c r="I170" s="11" t="inlineStr">
        <is>
          <t>Dane</t>
        </is>
      </c>
      <c r="J170" s="15" t="n"/>
      <c r="K170" s="15" t="n"/>
      <c r="L170" s="15" t="n"/>
      <c r="M170" s="16" t="n"/>
      <c r="N170" s="17" t="n"/>
      <c r="O170" s="17" t="n"/>
      <c r="P170" s="15" t="n"/>
    </row>
    <row r="171">
      <c r="A171" s="11" t="n">
        <v>6</v>
      </c>
      <c r="B171" s="11" t="inlineStr">
        <is>
          <t>6.32</t>
        </is>
      </c>
      <c r="C171" s="12" t="inlineStr">
        <is>
          <t>Sophia asks for two more lights</t>
        </is>
      </c>
      <c r="D171" s="12" t="inlineStr">
        <is>
          <t>Quotes</t>
        </is>
      </c>
      <c r="E171" s="13" t="inlineStr">
        <is>
          <t>Start version 2 of the quote</t>
        </is>
      </c>
      <c r="F171" s="14" t="inlineStr">
        <is>
          <t>1. In the banner, click "Revise — new version"
2. Click "Start version 2"
3. Reload Sophia’s link in the other tab</t>
        </is>
      </c>
      <c r="G171" s="14" t="inlineStr">
        <is>
          <t>The chips read "Version 2" and "Draft" ("version 1 is kept in Version History"); Sophia’s link now says "Not ready yet".</t>
        </is>
      </c>
      <c r="H171" s="12" t="inlineStr">
        <is>
          <t>Different from 1.0: versions belong to the quote, made by Revise</t>
        </is>
      </c>
      <c r="I171" s="11" t="inlineStr">
        <is>
          <t>Dane</t>
        </is>
      </c>
      <c r="J171" s="15" t="n"/>
      <c r="K171" s="15" t="n"/>
      <c r="L171" s="15" t="n"/>
      <c r="M171" s="16" t="n"/>
      <c r="N171" s="17" t="n"/>
      <c r="O171" s="17" t="n"/>
      <c r="P171" s="15" t="n"/>
    </row>
    <row r="172">
      <c r="A172" s="11" t="n">
        <v>6</v>
      </c>
      <c r="B172" s="11" t="inlineStr">
        <is>
          <t>6.33</t>
        </is>
      </c>
      <c r="C172" s="12" t="inlineStr">
        <is>
          <t>Sophia asks for two more lights</t>
        </is>
      </c>
      <c r="D172" s="12" t="inlineStr">
        <is>
          <t>Quotes</t>
        </is>
      </c>
      <c r="E172" s="13" t="inlineStr">
        <is>
          <t>Add two lighting points, then look back at version 1</t>
        </is>
      </c>
      <c r="F172" s="14" t="inlineStr">
        <is>
          <t>1. Click the "Qty" of "Lighting points", press ⌘A (Ctrl+A), type 18 and press Enter
2. Click "More options" (⋮) › "Version History"
3. Click "Open" on "Version 1"
4. Click the back arrow to return to the editor</t>
        </is>
      </c>
      <c r="G172" s="14" t="inlineStr">
        <is>
          <t>The drawer lists "Version 2 current" and "Version 1" kept by Dane; Open shows it as "Version 1 of 2 — read-only".</t>
        </is>
      </c>
      <c r="H172" s="12" t="inlineStr">
        <is>
          <t>Same as 1.0</t>
        </is>
      </c>
      <c r="I172" s="11" t="inlineStr">
        <is>
          <t>Dane</t>
        </is>
      </c>
      <c r="J172" s="15" t="n"/>
      <c r="K172" s="15" t="n"/>
      <c r="L172" s="15" t="n"/>
      <c r="M172" s="16" t="n"/>
      <c r="N172" s="17" t="n"/>
      <c r="O172" s="17" t="n"/>
      <c r="P172" s="15" t="n"/>
    </row>
    <row r="173">
      <c r="A173" s="11" t="n">
        <v>6</v>
      </c>
      <c r="B173" s="11" t="inlineStr">
        <is>
          <t>6.34</t>
        </is>
      </c>
      <c r="C173" s="12" t="inlineStr">
        <is>
          <t>Sophia asks for two more lights</t>
        </is>
      </c>
      <c r="D173" s="12" t="inlineStr">
        <is>
          <t>Quotes</t>
        </is>
      </c>
      <c r="E173" s="13" t="inlineStr">
        <is>
          <t>Bring version 1 back, then make the change again</t>
        </is>
      </c>
      <c r="F173" s="14" t="inlineStr">
        <is>
          <t>1. Open "Version History" and click "Bring back" on "Version 1"
2. Click "Bring back version 1"
3. Check "Lighting points" shows 16 again
4. Set its "Qty" to 18 again (⌘A, type 18, Enter)</t>
        </is>
      </c>
      <c r="G173" s="14" t="inlineStr">
        <is>
          <t>The page reloads with "Version 1 is back — the draft holds its lines again"; the quote is still Version 2, Draft.</t>
        </is>
      </c>
      <c r="H173" s="12" t="inlineStr">
        <is>
          <t>Different from 1.0: bringing a version back now works</t>
        </is>
      </c>
      <c r="I173" s="11" t="inlineStr">
        <is>
          <t>Dane</t>
        </is>
      </c>
      <c r="J173" s="15" t="n"/>
      <c r="K173" s="15" t="n"/>
      <c r="L173" s="15" t="n"/>
      <c r="M173" s="16" t="n"/>
      <c r="N173" s="17" t="n"/>
      <c r="O173" s="17" t="n"/>
      <c r="P173" s="15" t="n"/>
    </row>
    <row r="174">
      <c r="A174" s="11" t="n">
        <v>6</v>
      </c>
      <c r="B174" s="11" t="inlineStr">
        <is>
          <t>6.35</t>
        </is>
      </c>
      <c r="C174" s="12" t="inlineStr">
        <is>
          <t>Sophia asks for two more lights</t>
        </is>
      </c>
      <c r="D174" s="12" t="inlineStr">
        <is>
          <t>Quotes</t>
        </is>
      </c>
      <c r="E174" s="13" t="inlineStr">
        <is>
          <t>Show Sophia what changed since version 1</t>
        </is>
      </c>
      <c r="F174" s="14" t="inlineStr">
        <is>
          <t>1. Click "Preview"
2. Click "What your client sees"
3. Make sure "Show changes from version 1" is on</t>
        </is>
      </c>
      <c r="G174" s="14" t="inlineStr">
        <is>
          <t>The switch reads "0 added · 0 removed · 1 changed" and the Lighting points line is marked as changed on the page.</t>
        </is>
      </c>
      <c r="H174" s="12" t="inlineStr">
        <is>
          <t>Different from 1.0: the revision prints its own changes</t>
        </is>
      </c>
      <c r="I174" s="11" t="inlineStr">
        <is>
          <t>Dane</t>
        </is>
      </c>
      <c r="J174" s="15" t="n"/>
      <c r="K174" s="15" t="n"/>
      <c r="L174" s="15" t="n"/>
      <c r="M174" s="16" t="n"/>
      <c r="N174" s="17" t="n"/>
      <c r="O174" s="17" t="n"/>
      <c r="P174" s="15" t="n"/>
    </row>
    <row r="175">
      <c r="A175" s="11" t="n">
        <v>6</v>
      </c>
      <c r="B175" s="11" t="inlineStr">
        <is>
          <t>6.36</t>
        </is>
      </c>
      <c r="C175" s="12" t="inlineStr">
        <is>
          <t>Sophia confirms</t>
        </is>
      </c>
      <c r="D175" s="12" t="inlineStr">
        <is>
          <t>Quotes</t>
        </is>
      </c>
      <c r="E175" s="13" t="inlineStr">
        <is>
          <t>Send version 2 to Sophia</t>
        </is>
      </c>
      <c r="F175" s="14" t="inlineStr">
        <is>
          <t>1. Back in the editor, click "Send" › "Send for confirmation"
2. Click "Send via WhatsApp" — close the WhatsApp tab, do not send</t>
        </is>
      </c>
      <c r="G175" s="14" t="inlineStr">
        <is>
          <t>The status is "Sent to Client" again, now for version 2.</t>
        </is>
      </c>
      <c r="H175" s="12" t="inlineStr">
        <is>
          <t>Same as 1.0</t>
        </is>
      </c>
      <c r="I175" s="11" t="inlineStr">
        <is>
          <t>Dane</t>
        </is>
      </c>
      <c r="J175" s="15" t="n"/>
      <c r="K175" s="15" t="n"/>
      <c r="L175" s="15" t="n"/>
      <c r="M175" s="16" t="n"/>
      <c r="N175" s="17" t="n"/>
      <c r="O175" s="17" t="n"/>
      <c r="P175" s="15" t="n"/>
    </row>
    <row r="176">
      <c r="A176" s="11" t="n">
        <v>6</v>
      </c>
      <c r="B176" s="11" t="inlineStr">
        <is>
          <t>6.37</t>
        </is>
      </c>
      <c r="C176" s="12" t="inlineStr">
        <is>
          <t>Sophia confirms</t>
        </is>
      </c>
      <c r="D176" s="12" t="inlineStr">
        <is>
          <t>Quotes</t>
        </is>
      </c>
      <c r="E176" s="13" t="inlineStr">
        <is>
          <t>Confirm the quote as Sophia, adding the fluted wall</t>
        </is>
      </c>
      <c r="F176" s="14" t="inlineStr">
        <is>
          <t>1. Reload Sophia’s link in the other tab
2. Under "Optional works", tick "Fluted feature wall panel"
3. Keep "Sophia Wong" in "Your full name"
4. Click "Confirm quote"</t>
        </is>
      </c>
      <c r="G176" s="14" t="inlineStr">
        <is>
          <t>A "With your picks" total appears; after confirming, the card reads "Confirmed" by Sophia Wong and notes she asked for the fluted panel too.</t>
        </is>
      </c>
      <c r="H176" s="12" t="inlineStr">
        <is>
          <t>Different from 1.0: the client’s optional picks are kept</t>
        </is>
      </c>
      <c r="I176" s="18" t="inlineStr">
        <is>
          <t>Sophia (client)</t>
        </is>
      </c>
      <c r="J176" s="15" t="n"/>
      <c r="K176" s="15" t="n"/>
      <c r="L176" s="15" t="n"/>
      <c r="M176" s="16" t="n"/>
      <c r="N176" s="17" t="n"/>
      <c r="O176" s="17" t="n"/>
      <c r="P176" s="15" t="n"/>
    </row>
    <row r="177">
      <c r="A177" s="11" t="n">
        <v>6</v>
      </c>
      <c r="B177" s="11" t="inlineStr">
        <is>
          <t>6.38</t>
        </is>
      </c>
      <c r="C177" s="12" t="inlineStr">
        <is>
          <t>Sophia confirms</t>
        </is>
      </c>
      <c r="D177" s="12" t="inlineStr">
        <is>
          <t>Quotes</t>
        </is>
      </c>
      <c r="E177" s="13" t="inlineStr">
        <is>
          <t>See Sophia’s confirmation in the studio</t>
        </is>
      </c>
      <c r="F177" s="14" t="inlineStr">
        <is>
          <t>1. Go back to the editor tab and reload it
2. Read the status, the banner and the fluted panel’s line
3. Open the "Activity" tab</t>
        </is>
      </c>
      <c r="G177" s="14" t="inlineStr">
        <is>
          <t>Status "Confirmed"; the panel shows "Client wants it"; Activity lists "Quote approved by Dane" and Sophia’s confirmation; Send now reads "Send for signature".</t>
        </is>
      </c>
      <c r="H177" s="12" t="inlineStr">
        <is>
          <t>Different from 1.0: Confirmed comes before the signature</t>
        </is>
      </c>
      <c r="I177" s="11" t="inlineStr">
        <is>
          <t>Dane</t>
        </is>
      </c>
      <c r="J177" s="15" t="n"/>
      <c r="K177" s="15" t="n"/>
      <c r="L177" s="15" t="n"/>
      <c r="M177" s="16" t="n"/>
      <c r="N177" s="17" t="n"/>
      <c r="O177" s="17" t="n"/>
      <c r="P177" s="15" t="n"/>
    </row>
    <row r="178">
      <c r="A178" s="11" t="n">
        <v>6</v>
      </c>
      <c r="B178" s="11" t="inlineStr">
        <is>
          <t>6.39</t>
        </is>
      </c>
      <c r="C178" s="12" t="inlineStr">
        <is>
          <t>Move the lead along</t>
        </is>
      </c>
      <c r="D178" s="12" t="inlineStr">
        <is>
          <t>Lead details</t>
        </is>
      </c>
      <c r="E178" s="13" t="inlineStr">
        <is>
          <t>Move Sophia to Quote Sent yourself</t>
        </is>
      </c>
      <c r="F178" s="14" t="inlineStr">
        <is>
          <t>1. Open Sophia Wong’s "Overview"
2. Click "Stage: Met" › "Quote Sent"
3. Under "Attach approved quote" › "From System", pick "Tampines 4-room renovation"
4. Click "Save"</t>
        </is>
      </c>
      <c r="G178" s="14" t="inlineStr">
        <is>
          <t>The quote’s row shows its number, amount and "Approved on …"; after Save you see "Moved to Quote Sent".</t>
        </is>
      </c>
      <c r="H178" s="12" t="inlineStr">
        <is>
          <t>Same as 1.0</t>
        </is>
      </c>
      <c r="I178" s="11" t="inlineStr">
        <is>
          <t>Dane</t>
        </is>
      </c>
      <c r="J178" s="15" t="n"/>
      <c r="K178" s="15" t="n"/>
      <c r="L178" s="15" t="n"/>
      <c r="M178" s="16" t="n"/>
      <c r="N178" s="17" t="n"/>
      <c r="O178" s="17" t="n"/>
      <c r="P178" s="15" t="n"/>
    </row>
    <row r="179">
      <c r="A179" s="11" t="n">
        <v>6</v>
      </c>
      <c r="B179" s="11" t="inlineStr">
        <is>
          <t>6.40</t>
        </is>
      </c>
      <c r="C179" s="12" t="inlineStr">
        <is>
          <t>Move the lead along</t>
        </is>
      </c>
      <c r="D179" s="12" t="inlineStr">
        <is>
          <t>Quotes</t>
        </is>
      </c>
      <c r="E179" s="13" t="inlineStr">
        <is>
          <t>Find the quote among all the studio’s quotes</t>
        </is>
      </c>
      <c r="F179" s="14" t="inlineStr">
        <is>
          <t>1. Click "Tools" in the side navigation › "Quotes"
2. Type "Tampines" in the search box
3. Read the row</t>
        </is>
      </c>
      <c r="G179" s="14" t="inlineStr">
        <is>
          <t>The row shows Tampines 4-room renovation with its number · Shared, Client "Sophia Wong", status "Confirmed" and your due date.</t>
        </is>
      </c>
      <c r="H179" s="12" t="inlineStr">
        <is>
          <t>Same as 1.0</t>
        </is>
      </c>
      <c r="I179" s="11" t="inlineStr">
        <is>
          <t>Dane</t>
        </is>
      </c>
      <c r="J179" s="15" t="n"/>
      <c r="K179" s="15" t="n"/>
      <c r="L179" s="15" t="n"/>
      <c r="M179" s="16" t="n"/>
      <c r="N179" s="17" t="n"/>
      <c r="O179" s="17" t="n"/>
      <c r="P179" s="15" t="n"/>
    </row>
    <row r="180">
      <c r="A180" s="11" t="n">
        <v>6</v>
      </c>
      <c r="B180" s="11" t="inlineStr">
        <is>
          <t>6.41</t>
        </is>
      </c>
      <c r="C180" s="12" t="inlineStr">
        <is>
          <t>An old quote from 1.0</t>
        </is>
      </c>
      <c r="D180" s="12" t="inlineStr">
        <is>
          <t>Quotes</t>
        </is>
      </c>
      <c r="E180" s="13" t="inlineStr">
        <is>
          <t>Upload Gerald Tan’s old spreadsheet quote</t>
        </is>
      </c>
      <c r="F180" s="14" t="inlineStr">
        <is>
          <t>1. On Tools › Quotes click "Create Quote" and pick "Gerald Tan" in "Client"
2. Click "Upload a quote" and choose uat-files/kitchen-moodboard.jpg
3. Click "Choose another file" and choose uat-files/gerald-tan-old-quote.xlsx
4. Click "Create the quote"</t>
        </is>
      </c>
      <c r="G180" s="14" t="inlineStr">
        <is>
          <t>The photo is refused ("We couldn’t read…"); the sheet shows "6 lines read … · S$14,880.00"; the new quote opens with a section per trade.</t>
        </is>
      </c>
      <c r="H180" s="12" t="inlineStr">
        <is>
          <t>Different from 1.0: spreadsheets are read for real, no AI scan</t>
        </is>
      </c>
      <c r="I180" s="11" t="inlineStr">
        <is>
          <t>Dane</t>
        </is>
      </c>
      <c r="J180" s="15" t="n"/>
      <c r="K180" s="15" t="n"/>
      <c r="L180" s="15" t="n"/>
      <c r="M180" s="16" t="n"/>
      <c r="N180" s="17" t="n"/>
      <c r="O180" s="17" t="n"/>
      <c r="P180" s="15" t="n"/>
    </row>
    <row r="181">
      <c r="A181" s="11" t="n">
        <v>6</v>
      </c>
      <c r="B181" s="11" t="inlineStr">
        <is>
          <t>6.42</t>
        </is>
      </c>
      <c r="C181" s="12" t="inlineStr">
        <is>
          <t>An old quote from 1.0</t>
        </is>
      </c>
      <c r="D181" s="12" t="inlineStr">
        <is>
          <t>Quotes</t>
        </is>
      </c>
      <c r="E181" s="13" t="inlineStr">
        <is>
          <t>Delete the uploaded quote, then restore it</t>
        </is>
      </c>
      <c r="F181" s="14" t="inlineStr">
        <is>
          <t>1. In Gerald’s quote click "More options" (⋮) › "Delete", then "Yes"
2. On Tools › Quotes click "More options" (⋮, top right) › "Deleted Quotes"
3. Click "Restore" on Gerald Tan’s quote</t>
        </is>
      </c>
      <c r="G181" s="14" t="inlineStr">
        <is>
          <t>Delete says "Quote deleted — find it under Deleted Quotes"; Restore says "Quote restored" and it is back in the list.</t>
        </is>
      </c>
      <c r="H181" s="12" t="inlineStr">
        <is>
          <t>Different from 1.0: deleted quotes wait in Deleted Quotes</t>
        </is>
      </c>
      <c r="I181" s="11" t="inlineStr">
        <is>
          <t>Dane</t>
        </is>
      </c>
      <c r="J181" s="15" t="n"/>
      <c r="K181" s="15" t="n"/>
      <c r="L181" s="15" t="n"/>
      <c r="M181" s="16" t="n"/>
      <c r="N181" s="17" t="n"/>
      <c r="O181" s="17" t="n"/>
      <c r="P181" s="15" t="n"/>
    </row>
    <row r="182">
      <c r="A182" s="11" t="n">
        <v>6</v>
      </c>
      <c r="B182" s="11" t="inlineStr">
        <is>
          <t>6.43</t>
        </is>
      </c>
      <c r="C182" s="12" t="inlineStr">
        <is>
          <t>An old quote from 1.0</t>
        </is>
      </c>
      <c r="D182" s="12" t="inlineStr">
        <is>
          <t>Quotes</t>
        </is>
      </c>
      <c r="E182" s="13" t="inlineStr">
        <is>
          <t>Delete Gerald’s uploaded quote for good</t>
        </is>
      </c>
      <c r="F182" s="14" t="inlineStr">
        <is>
          <t>1. On Gerald Tan’s row click "More actions" (⋮) › "Delete", then "Yes"
2. Open "Deleted Quotes" again
3. Click "Delete Forever", then "Delete Forever" in "Delete forever?"</t>
        </is>
      </c>
      <c r="G182" s="14" t="inlineStr">
        <is>
          <t>The confirm warns it cannot be undone; then "Quote deleted forever" and the row leaves Deleted Quotes.</t>
        </is>
      </c>
      <c r="H182" s="12" t="inlineStr">
        <is>
          <t>Different from 1.0: deleted quotes wait in Deleted Quotes</t>
        </is>
      </c>
      <c r="I182" s="11" t="inlineStr">
        <is>
          <t>Dane</t>
        </is>
      </c>
      <c r="J182" s="15" t="n"/>
      <c r="K182" s="15" t="n"/>
      <c r="L182" s="15" t="n"/>
      <c r="M182" s="16" t="n"/>
      <c r="N182" s="17" t="n"/>
      <c r="O182" s="17" t="n"/>
      <c r="P182" s="15" t="n"/>
    </row>
    <row r="183" ht="22" customHeight="1">
      <c r="A183" s="9" t="inlineStr">
        <is>
          <t>Chapter 7 · A rival quote — Quote X-Ray against another studio’s quote.</t>
        </is>
      </c>
      <c r="M183" s="10" t="n"/>
    </row>
    <row r="184">
      <c r="A184" s="11" t="n">
        <v>7</v>
      </c>
      <c r="B184" s="11" t="inlineStr">
        <is>
          <t>7.01</t>
        </is>
      </c>
      <c r="C184" s="12" t="inlineStr">
        <is>
          <t>Sophia shows you another studio’s quote</t>
        </is>
      </c>
      <c r="D184" s="12" t="inlineStr">
        <is>
          <t>Quote X-Ray</t>
        </is>
      </c>
      <c r="E184" s="13" t="inlineStr">
        <is>
          <t>Open Quote X-Ray on Sophia’s quote</t>
        </is>
      </c>
      <c r="F184" s="14" t="inlineStr">
        <is>
          <t>1. Open Sophia Wong › "Quotes" tab
2. Hover the quote’s row and click "More actions" (⋮)
3. Choose "Compare with another quote"</t>
        </is>
      </c>
      <c r="G184" s="14" t="inlineStr">
        <is>
          <t>Quote X-Ray opens for Sophia Wong: the lead is fixed and "… · Tampines 4-room renovation" is already chosen, "Confirmed · 9 lines".</t>
        </is>
      </c>
      <c r="H184" s="12" t="inlineStr">
        <is>
          <t>New in 2.0</t>
        </is>
      </c>
      <c r="I184" s="11" t="inlineStr">
        <is>
          <t>Dane</t>
        </is>
      </c>
      <c r="J184" s="15" t="n"/>
      <c r="K184" s="15" t="n"/>
      <c r="L184" s="15" t="n"/>
      <c r="M184" s="16" t="n"/>
      <c r="N184" s="17" t="n"/>
      <c r="O184" s="17" t="n"/>
      <c r="P184" s="15" t="n"/>
    </row>
    <row r="185">
      <c r="A185" s="11" t="n">
        <v>7</v>
      </c>
      <c r="B185" s="11" t="inlineStr">
        <is>
          <t>7.02</t>
        </is>
      </c>
      <c r="C185" s="12" t="inlineStr">
        <is>
          <t>Sophia shows you another studio’s quote</t>
        </is>
      </c>
      <c r="D185" s="12" t="inlineStr">
        <is>
          <t>Quote X-Ray</t>
        </is>
      </c>
      <c r="E185" s="13" t="inlineStr">
        <is>
          <t>Add the rival studio’s quote</t>
        </is>
      </c>
      <c r="F185" s="14" t="inlineStr">
        <is>
          <t>1. Drop uat-files/rival-quote-urban-nest.xlsx on "The other studio’s quote" (or click it to browse)
2. Type "Urban Nest Interiors" in "Their studio’s name (optional)"</t>
        </is>
      </c>
      <c r="G185" s="14" t="inlineStr">
        <is>
          <t>Under the file it says "10 lines read · S$13,470.00" at once; the hint clears and "Compare" can be clicked.</t>
        </is>
      </c>
      <c r="H185" s="12" t="inlineStr">
        <is>
          <t>Different from 1.0: spreadsheets are read as you pick them</t>
        </is>
      </c>
      <c r="I185" s="11" t="inlineStr">
        <is>
          <t>Dane</t>
        </is>
      </c>
      <c r="J185" s="15" t="n"/>
      <c r="K185" s="15" t="n"/>
      <c r="L185" s="15" t="n"/>
      <c r="M185" s="16" t="n"/>
      <c r="N185" s="17" t="n"/>
      <c r="O185" s="17" t="n"/>
      <c r="P185" s="15" t="n"/>
    </row>
    <row r="186">
      <c r="A186" s="11" t="n">
        <v>7</v>
      </c>
      <c r="B186" s="11" t="inlineStr">
        <is>
          <t>7.03</t>
        </is>
      </c>
      <c r="C186" s="12" t="inlineStr">
        <is>
          <t>Sophia shows you another studio’s quote</t>
        </is>
      </c>
      <c r="D186" s="12" t="inlineStr">
        <is>
          <t>Quote X-Ray</t>
        </is>
      </c>
      <c r="E186" s="13" t="inlineStr">
        <is>
          <t>Run the comparison</t>
        </is>
      </c>
      <c r="F186" s="14" t="inlineStr">
        <is>
          <t>1. Click "Compare"
2. Watch the progress card until the result opens</t>
        </is>
      </c>
      <c r="G186" s="14" t="inlineStr">
        <is>
          <t>"Comparing the two quotes…" ticks through four steps, then "Sophia Wong · vs Urban Nest Interiors" opens with the date and items compared.</t>
        </is>
      </c>
      <c r="H186" s="12" t="inlineStr">
        <is>
          <t>Same as 1.0</t>
        </is>
      </c>
      <c r="I186" s="11" t="inlineStr">
        <is>
          <t>Dane</t>
        </is>
      </c>
      <c r="J186" s="15" t="n"/>
      <c r="K186" s="15" t="n"/>
      <c r="L186" s="15" t="n"/>
      <c r="M186" s="16" t="n"/>
      <c r="N186" s="17" t="n"/>
      <c r="O186" s="17" t="n"/>
      <c r="P186" s="15" t="n"/>
    </row>
    <row r="187">
      <c r="A187" s="11" t="n">
        <v>7</v>
      </c>
      <c r="B187" s="11" t="inlineStr">
        <is>
          <t>7.04</t>
        </is>
      </c>
      <c r="C187" s="12" t="inlineStr">
        <is>
          <t>Read the result</t>
        </is>
      </c>
      <c r="D187" s="12" t="inlineStr">
        <is>
          <t>Quote X-Ray</t>
        </is>
      </c>
      <c r="E187" s="13" t="inlineStr">
        <is>
          <t>Read the real price difference</t>
        </is>
      </c>
      <c r="F187" s="14" t="inlineStr">
        <is>
          <t>1. Read the sentence under the caption
2. Read the three figures
3. Read the note under them
4. Hover the quote’s name in the caption — it links to your quote</t>
        </is>
      </c>
      <c r="G187" s="14" t="inlineStr">
        <is>
          <t>About S$ 17.7K yours, S$ 13.5K theirs, "Real difference" S$ 3.8K "ours more, like-for-like"; the note says both sides are before discounts and GST.</t>
        </is>
      </c>
      <c r="H187" s="12" t="inlineStr">
        <is>
          <t>Different from 1.0: both sides compared on line totals, before GST</t>
        </is>
      </c>
      <c r="I187" s="11" t="inlineStr">
        <is>
          <t>Dane</t>
        </is>
      </c>
      <c r="J187" s="15" t="n"/>
      <c r="K187" s="15" t="n"/>
      <c r="L187" s="15" t="n"/>
      <c r="M187" s="16" t="n"/>
      <c r="N187" s="17" t="n"/>
      <c r="O187" s="17" t="n"/>
      <c r="P187" s="15" t="n"/>
    </row>
    <row r="188">
      <c r="A188" s="11" t="n">
        <v>7</v>
      </c>
      <c r="B188" s="11" t="inlineStr">
        <is>
          <t>7.05</t>
        </is>
      </c>
      <c r="C188" s="12" t="inlineStr">
        <is>
          <t>Read the result</t>
        </is>
      </c>
      <c r="D188" s="12" t="inlineStr">
        <is>
          <t>Quote X-Ray</t>
        </is>
      </c>
      <c r="E188" s="13" t="inlineStr">
        <is>
          <t>Check the item-by-item table</t>
        </is>
      </c>
      <c r="F188" s="14" t="inlineStr">
        <is>
          <t>1. Scroll to "Item by item"
2. Find "Lighting points", "Hacking of kitchen floor and wall tiles" and "Haulage and disposal of debris"</t>
        </is>
      </c>
      <c r="G188" s="14" t="inlineStr">
        <is>
          <t>Lighting shows both quantities (18 vs 16 points); hacking is "Matched" despite different words; haulage reads "No price given".</t>
        </is>
      </c>
      <c r="H188" s="12" t="inlineStr">
        <is>
          <t>Different from 1.0: rates are compared and both quantities shown</t>
        </is>
      </c>
      <c r="I188" s="11" t="inlineStr">
        <is>
          <t>Dane</t>
        </is>
      </c>
      <c r="J188" s="15" t="n"/>
      <c r="K188" s="15" t="n"/>
      <c r="L188" s="15" t="n"/>
      <c r="M188" s="16" t="n"/>
      <c r="N188" s="17" t="n"/>
      <c r="O188" s="17" t="n"/>
      <c r="P188" s="15" t="n"/>
    </row>
    <row r="189">
      <c r="A189" s="11" t="n">
        <v>7</v>
      </c>
      <c r="B189" s="11" t="inlineStr">
        <is>
          <t>7.06</t>
        </is>
      </c>
      <c r="C189" s="12" t="inlineStr">
        <is>
          <t>Put the matching right</t>
        </is>
      </c>
      <c r="D189" s="12" t="inlineStr">
        <is>
          <t>Quote X-Ray</t>
        </is>
      </c>
      <c r="E189" s="13" t="inlineStr">
        <is>
          <t>Tell X-Ray two lines are not the same item</t>
        </is>
      </c>
      <c r="F189" s="14" t="inlineStr">
        <is>
          <t>1. Hover the "Quartz countertop" row and click "More actions" (⋮)
2. Choose "Not the same item"</t>
        </is>
      </c>
      <c r="G189" s="14" t="inlineStr">
        <is>
          <t>"Marked as not the same item" (with Undo); the row splits into "Only in yours" and "Only in theirs" and the figures change.</t>
        </is>
      </c>
      <c r="H189" s="12" t="inlineStr">
        <is>
          <t>Different from 1.0: you can correct a match on the result</t>
        </is>
      </c>
      <c r="I189" s="11" t="inlineStr">
        <is>
          <t>Dane</t>
        </is>
      </c>
      <c r="J189" s="15" t="n"/>
      <c r="K189" s="15" t="n"/>
      <c r="L189" s="15" t="n"/>
      <c r="M189" s="16" t="n"/>
      <c r="N189" s="17" t="n"/>
      <c r="O189" s="17" t="n"/>
      <c r="P189" s="15" t="n"/>
    </row>
    <row r="190">
      <c r="A190" s="11" t="n">
        <v>7</v>
      </c>
      <c r="B190" s="11" t="inlineStr">
        <is>
          <t>7.07</t>
        </is>
      </c>
      <c r="C190" s="12" t="inlineStr">
        <is>
          <t>Put the matching right</t>
        </is>
      </c>
      <c r="D190" s="12" t="inlineStr">
        <is>
          <t>Quote X-Ray</t>
        </is>
      </c>
      <c r="E190" s="13" t="inlineStr">
        <is>
          <t>Pair the two countertops again by hand</t>
        </is>
      </c>
      <c r="F190" s="14" t="inlineStr">
        <is>
          <t>1. On the "Quartz countertop" row open "More actions" (⋮) › "Same item as…"
2. Pick "Laminate countertop" in the list
3. Click "Pair"</t>
        </is>
      </c>
      <c r="G190" s="14" t="inlineStr">
        <is>
          <t>The row is matched again with the status "Paired by you"; the foot of the page reads "Corrected by Dane on …".</t>
        </is>
      </c>
      <c r="H190" s="12" t="inlineStr">
        <is>
          <t>Different from 1.0: you can correct a match on the result</t>
        </is>
      </c>
      <c r="I190" s="11" t="inlineStr">
        <is>
          <t>Dane</t>
        </is>
      </c>
      <c r="J190" s="15" t="n"/>
      <c r="K190" s="15" t="n"/>
      <c r="L190" s="15" t="n"/>
      <c r="M190" s="16" t="n"/>
      <c r="N190" s="17" t="n"/>
      <c r="O190" s="17" t="n"/>
      <c r="P190" s="15" t="n"/>
    </row>
    <row r="191">
      <c r="A191" s="11" t="n">
        <v>7</v>
      </c>
      <c r="B191" s="11" t="inlineStr">
        <is>
          <t>7.08</t>
        </is>
      </c>
      <c r="C191" s="12" t="inlineStr">
        <is>
          <t>Tell Sophia</t>
        </is>
      </c>
      <c r="D191" s="12" t="inlineStr">
        <is>
          <t>Quote X-Ray</t>
        </is>
      </c>
      <c r="E191" s="13" t="inlineStr">
        <is>
          <t>See what to tell Sophia</t>
        </is>
      </c>
      <c r="F191" s="14" t="inlineStr">
        <is>
          <t>1. Read the three points under "Say this"
2. On the wardrobe point, click "Say it as a question"
3. Read "Key points you can use"</t>
        </is>
      </c>
      <c r="G191" s="14" t="inlineStr">
        <is>
          <t>Points: wardrobe priced well below ours, a laminate worktop question, missing waterproofing. Key points: Nippon Paint "Your advantage", KDK "Impact: high", Dulux checked.</t>
        </is>
      </c>
      <c r="H191" s="12" t="inlineStr">
        <is>
          <t>Different from 1.0: brand notes are curated, not searched online</t>
        </is>
      </c>
      <c r="I191" s="11" t="inlineStr">
        <is>
          <t>Dane</t>
        </is>
      </c>
      <c r="J191" s="15" t="n"/>
      <c r="K191" s="15" t="n"/>
      <c r="L191" s="15" t="n"/>
      <c r="M191" s="16" t="n"/>
      <c r="N191" s="17" t="n"/>
      <c r="O191" s="17" t="n"/>
      <c r="P191" s="15" t="n"/>
    </row>
    <row r="192">
      <c r="A192" s="11" t="n">
        <v>7</v>
      </c>
      <c r="B192" s="11" t="inlineStr">
        <is>
          <t>7.09</t>
        </is>
      </c>
      <c r="C192" s="12" t="inlineStr">
        <is>
          <t>Tell Sophia</t>
        </is>
      </c>
      <c r="D192" s="12" t="inlineStr">
        <is>
          <t>Quote X-Ray</t>
        </is>
      </c>
      <c r="E192" s="13" t="inlineStr">
        <is>
          <t>Send Sophia the summary on WhatsApp (without really sending)</t>
        </is>
      </c>
      <c r="F192" s="14" t="inlineStr">
        <is>
          <t>1. Click "Send to client"
2. Check the message never names Urban Nest Interiors, and change a word
3. Click "Open WhatsApp" — a WhatsApp tab opens: close it, do not send
4. Click "Send to client" again</t>
        </is>
      </c>
      <c r="G192" s="14" t="inlineStr">
        <is>
          <t>The wardrobe point goes as your question; the header shows "Sent …"; the dialog reopens on your edited text, with "Reset to draft".</t>
        </is>
      </c>
      <c r="H192" s="12" t="inlineStr">
        <is>
          <t>Different from 1.0: what you sent is kept and shown</t>
        </is>
      </c>
      <c r="I192" s="11" t="inlineStr">
        <is>
          <t>Dane</t>
        </is>
      </c>
      <c r="J192" s="15" t="n"/>
      <c r="K192" s="15" t="n"/>
      <c r="L192" s="15" t="n"/>
      <c r="M192" s="16" t="n"/>
      <c r="N192" s="17" t="n"/>
      <c r="O192" s="17" t="n"/>
      <c r="P192" s="15" t="n"/>
    </row>
    <row r="193">
      <c r="A193" s="11" t="n">
        <v>7</v>
      </c>
      <c r="B193" s="11" t="inlineStr">
        <is>
          <t>7.10</t>
        </is>
      </c>
      <c r="C193" s="12" t="inlineStr">
        <is>
          <t>Compare two files without a lead</t>
        </is>
      </c>
      <c r="D193" s="12" t="inlineStr">
        <is>
          <t>Quote X-Ray</t>
        </is>
      </c>
      <c r="E193" s="13" t="inlineStr">
        <is>
          <t>Compare two files with no lead attached</t>
        </is>
      </c>
      <c r="F193" s="14" t="inlineStr">
        <is>
          <t>1. Click "Tools" › "Quote X-Ray", then "Upload two quotes"
2. Drop uat-files/kitchen-moodboard.jpg on "The other studio’s quote" and read the message
3. Drop uat-files/sophia-items-to-paste.xlsx on "Your quote" and uat-files/cove-interior-quotation.pdf on "The other studio’s quote"
4. Click "Compare"</t>
        </is>
      </c>
      <c r="G193" s="14" t="inlineStr">
        <is>
          <t>The photo is refused ("We couldn’t read this one…"); the PDF reads "20 lines read from Cove Interior’s quote"; the result opens.</t>
        </is>
      </c>
      <c r="H193" s="12" t="inlineStr">
        <is>
          <t>Same as 1.0</t>
        </is>
      </c>
      <c r="I193" s="11" t="inlineStr">
        <is>
          <t>Dane</t>
        </is>
      </c>
      <c r="J193" s="15" t="n"/>
      <c r="K193" s="15" t="n"/>
      <c r="L193" s="15" t="n"/>
      <c r="M193" s="16" t="n"/>
      <c r="N193" s="17" t="n"/>
      <c r="O193" s="17" t="n"/>
      <c r="P193" s="15" t="n"/>
    </row>
    <row r="194">
      <c r="A194" s="11" t="n">
        <v>7</v>
      </c>
      <c r="B194" s="11" t="inlineStr">
        <is>
          <t>7.11</t>
        </is>
      </c>
      <c r="C194" s="12" t="inlineStr">
        <is>
          <t>Compare two files without a lead</t>
        </is>
      </c>
      <c r="D194" s="12" t="inlineStr">
        <is>
          <t>Quote X-Ray</t>
        </is>
      </c>
      <c r="E194" s="13" t="inlineStr">
        <is>
          <t>Delete that practice comparison</t>
        </is>
      </c>
      <c r="F194" s="14" t="inlineStr">
        <is>
          <t>1. On its result click "More options" (⋮) › "Delete"
2. Click "Delete" in "Delete this comparison?"</t>
        </is>
      </c>
      <c r="G194" s="14" t="inlineStr">
        <is>
          <t>It warns this can’t be undone; you land back on Quote X-Ray and it is gone from "Recent comparisons".</t>
        </is>
      </c>
      <c r="H194" s="12" t="inlineStr">
        <is>
          <t>Different from 1.0: only its maker, an Owner or an Admin deletes</t>
        </is>
      </c>
      <c r="I194" s="11" t="inlineStr">
        <is>
          <t>Dane</t>
        </is>
      </c>
      <c r="J194" s="15" t="n"/>
      <c r="K194" s="15" t="n"/>
      <c r="L194" s="15" t="n"/>
      <c r="M194" s="16" t="n"/>
      <c r="N194" s="17" t="n"/>
      <c r="O194" s="17" t="n"/>
      <c r="P194" s="15" t="n"/>
    </row>
    <row r="195">
      <c r="A195" s="11" t="n">
        <v>7</v>
      </c>
      <c r="B195" s="11" t="inlineStr">
        <is>
          <t>7.12</t>
        </is>
      </c>
      <c r="C195" s="12" t="inlineStr">
        <is>
          <t>Other leads’ readings</t>
        </is>
      </c>
      <c r="D195" s="12" t="inlineStr">
        <is>
          <t>Quote X-Ray</t>
        </is>
      </c>
      <c r="E195" s="13" t="inlineStr">
        <is>
          <t>Rerun a reading whose quote has changed since</t>
        </is>
      </c>
      <c r="F195" s="14" t="inlineStr">
        <is>
          <t>1. On Quote X-Ray, find Sophia’s reading under "Recent comparisons" (it says "Sent …")
2. Open "Olivia Martinez · vs Flo Design"
3. Click "Run again" in the banner</t>
        </is>
      </c>
      <c r="G195" s="14" t="inlineStr">
        <is>
          <t>A banner says the quote has changed since this comparison; "Run again" opens a fresh reading: "Run again — the earlier comparison is kept".</t>
        </is>
      </c>
      <c r="H195" s="12" t="inlineStr">
        <is>
          <t>Different from 1.0: it tells you when your quote changed</t>
        </is>
      </c>
      <c r="I195" s="11" t="inlineStr">
        <is>
          <t>Dane</t>
        </is>
      </c>
      <c r="J195" s="15" t="n"/>
      <c r="K195" s="15" t="n"/>
      <c r="L195" s="15" t="n"/>
      <c r="M195" s="16" t="n"/>
      <c r="N195" s="17" t="n"/>
      <c r="O195" s="17" t="n"/>
      <c r="P195" s="15" t="n"/>
    </row>
    <row r="196">
      <c r="A196" s="11" t="n">
        <v>7</v>
      </c>
      <c r="B196" s="11" t="inlineStr">
        <is>
          <t>7.13</t>
        </is>
      </c>
      <c r="C196" s="12" t="inlineStr">
        <is>
          <t>Other leads’ readings</t>
        </is>
      </c>
      <c r="D196" s="12" t="inlineStr">
        <is>
          <t>Lead details</t>
        </is>
      </c>
      <c r="E196" s="13" t="inlineStr">
        <is>
          <t>Mark a lost lead with the competitor from X-Ray</t>
        </is>
      </c>
      <c r="F196" s="14" t="inlineStr">
        <is>
          <t>1. Open Vivien Lee from the Leads list
2. Click "Stage: Quote Sent" › "Lost"
3. Keep the reason "Went with another firm" and read "Competitor (optional)"
4. Click "Save &amp; Move"</t>
        </is>
      </c>
      <c r="G196" s="14" t="inlineStr">
        <is>
          <t>Competitor already reads "Flo Design", noted "From the Quote X-Ray of …"; after saving, "Moved to Lost" and Vivien Lee shows Lost.</t>
        </is>
      </c>
      <c r="H196" s="12" t="inlineStr">
        <is>
          <t>Different from 1.0: the competitor comes from the lead’s X-Ray</t>
        </is>
      </c>
      <c r="I196" s="11" t="inlineStr">
        <is>
          <t>Dane</t>
        </is>
      </c>
      <c r="J196" s="15" t="n"/>
      <c r="K196" s="15" t="n"/>
      <c r="L196" s="15" t="n"/>
      <c r="M196" s="16" t="n"/>
      <c r="N196" s="17" t="n"/>
      <c r="O196" s="17" t="n"/>
      <c r="P196" s="15" t="n"/>
    </row>
    <row r="197" ht="22" customHeight="1">
      <c r="A197" s="9" t="inlineStr">
        <is>
          <t>Chapter 8 · Sign the deal — Sophia’s contract, sent and signed.</t>
        </is>
      </c>
      <c r="M197" s="10" t="n"/>
    </row>
    <row r="198">
      <c r="A198" s="11" t="n">
        <v>8</v>
      </c>
      <c r="B198" s="11" t="inlineStr">
        <is>
          <t>8.01</t>
        </is>
      </c>
      <c r="C198" s="12" t="inlineStr">
        <is>
          <t>Raise Sophia’s contract</t>
        </is>
      </c>
      <c r="D198" s="12" t="inlineStr">
        <is>
          <t>Contracts</t>
        </is>
      </c>
      <c r="E198" s="13" t="inlineStr">
        <is>
          <t>Start Sophia’s contract from her confirmed quote</t>
        </is>
      </c>
      <c r="F198" s="14" t="inlineStr">
        <is>
          <t>1. Open Sophia Wong › "Quotes" and open her quote
2. Click "Send for signature" (or the ⋮ "More options" menu › "Create contract from this quote")</t>
        </is>
      </c>
      <c r="G198" s="14" t="inlineStr">
        <is>
          <t>"Choose a contract template" opens with "Interior Design Service Agreement" marked "Default" and already picked, beside the "Agreements" and "Variations" folders</t>
        </is>
      </c>
      <c r="H198" s="12" t="inlineStr">
        <is>
          <t>Different from 1.0: started only from the lead drawer</t>
        </is>
      </c>
      <c r="I198" s="11" t="inlineStr">
        <is>
          <t>Dane</t>
        </is>
      </c>
      <c r="J198" s="15" t="n"/>
      <c r="K198" s="15" t="n"/>
      <c r="L198" s="15" t="n"/>
      <c r="M198" s="16" t="n"/>
      <c r="N198" s="17" t="n"/>
      <c r="O198" s="17" t="n"/>
      <c r="P198" s="15" t="n"/>
    </row>
    <row r="199">
      <c r="A199" s="11" t="n">
        <v>8</v>
      </c>
      <c r="B199" s="11" t="inlineStr">
        <is>
          <t>8.02</t>
        </is>
      </c>
      <c r="C199" s="12" t="inlineStr">
        <is>
          <t>Raise Sophia’s contract</t>
        </is>
      </c>
      <c r="D199" s="12" t="inlineStr">
        <is>
          <t>Contracts</t>
        </is>
      </c>
      <c r="E199" s="13" t="inlineStr">
        <is>
          <t>Use the studio’s service agreement template</t>
        </is>
      </c>
      <c r="F199" s="14" t="inlineStr">
        <is>
          <t>1. Keep "Interior Design Service Agreement" (marked "Default") picked
2. Click "Use template"</t>
        </is>
      </c>
      <c r="G199" s="14" t="inlineStr">
        <is>
          <t>The contract opens as a Draft with a "From template" chip; the top row shows Sophia Wong · 9765 4321 and her quote’s number and total</t>
        </is>
      </c>
      <c r="H199" s="12" t="inlineStr">
        <is>
          <t>Different from 1.0: 1.0 kept no contract record</t>
        </is>
      </c>
      <c r="I199" s="11" t="inlineStr">
        <is>
          <t>Dane</t>
        </is>
      </c>
      <c r="J199" s="15" t="n"/>
      <c r="K199" s="15" t="n"/>
      <c r="L199" s="15" t="n"/>
      <c r="M199" s="16" t="n"/>
      <c r="N199" s="17" t="n"/>
      <c r="O199" s="17" t="n"/>
      <c r="P199" s="15" t="n"/>
    </row>
    <row r="200">
      <c r="A200" s="11" t="n">
        <v>8</v>
      </c>
      <c r="B200" s="11" t="inlineStr">
        <is>
          <t>8.03</t>
        </is>
      </c>
      <c r="C200" s="12" t="inlineStr">
        <is>
          <t>Raise Sophia’s contract</t>
        </is>
      </c>
      <c r="D200" s="12" t="inlineStr">
        <is>
          <t>Contracts</t>
        </is>
      </c>
      <c r="E200" s="13" t="inlineStr">
        <is>
          <t>Add the quote’s validity date with Smart Text</t>
        </is>
      </c>
      <c r="F200" s="14" t="inlineStr">
        <is>
          <t>1. Click at the end of clause 2’s paragraph ("2. Contract sum")
2. Click "Smart Text" › "Studio" and find "GST reg. no.", then click "‹ Studio" to go back
3. Click "Quote" and then "Quote valid until"</t>
        </is>
      </c>
      <c r="G200" s="14" t="inlineStr">
        <is>
          <t>Each record shows what it prints for Sophia (or "Empty"); Studio lists "GST reg. no."; a "Quote valid until" chip appears where you clicked</t>
        </is>
      </c>
      <c r="H200" s="12" t="inlineStr">
        <is>
          <t>Different from 1.0: more records, each showing its value</t>
        </is>
      </c>
      <c r="I200" s="11" t="inlineStr">
        <is>
          <t>Dane</t>
        </is>
      </c>
      <c r="J200" s="15" t="n"/>
      <c r="K200" s="15" t="n"/>
      <c r="L200" s="15" t="n"/>
      <c r="M200" s="16" t="n"/>
      <c r="N200" s="17" t="n"/>
      <c r="O200" s="17" t="n"/>
      <c r="P200" s="15" t="n"/>
    </row>
    <row r="201">
      <c r="A201" s="11" t="n">
        <v>8</v>
      </c>
      <c r="B201" s="11" t="inlineStr">
        <is>
          <t>8.04</t>
        </is>
      </c>
      <c r="C201" s="12" t="inlineStr">
        <is>
          <t>Raise Sophia’s contract</t>
        </is>
      </c>
      <c r="D201" s="12" t="inlineStr">
        <is>
          <t>Contracts</t>
        </is>
      </c>
      <c r="E201" s="13" t="inlineStr">
        <is>
          <t>Jump to a clause from the Outline</t>
        </is>
      </c>
      <c r="F201" s="14" t="inlineStr">
        <is>
          <t>1. Look at the "Outline" list left of the page (if hidden, click the list icon "Show outline")
2. Click "8. Defects liability"</t>
        </is>
      </c>
      <c r="G201" s="14" t="inlineStr">
        <is>
          <t>The Outline lists every heading of the agreement; clicking one scrolls the page straight to that clause</t>
        </is>
      </c>
      <c r="H201" s="12" t="inlineStr">
        <is>
          <t>New in 2.0</t>
        </is>
      </c>
      <c r="I201" s="11" t="inlineStr">
        <is>
          <t>Dane</t>
        </is>
      </c>
      <c r="J201" s="15" t="n"/>
      <c r="K201" s="15" t="n"/>
      <c r="L201" s="15" t="n"/>
      <c r="M201" s="16" t="n"/>
      <c r="N201" s="17" t="n"/>
      <c r="O201" s="17" t="n"/>
      <c r="P201" s="15" t="n"/>
    </row>
    <row r="202">
      <c r="A202" s="11" t="n">
        <v>8</v>
      </c>
      <c r="B202" s="11" t="inlineStr">
        <is>
          <t>8.05</t>
        </is>
      </c>
      <c r="C202" s="12" t="inlineStr">
        <is>
          <t>Get it ready to send</t>
        </is>
      </c>
      <c r="D202" s="12" t="inlineStr">
        <is>
          <t>Contracts</t>
        </is>
      </c>
      <c r="E202" s="13" t="inlineStr">
        <is>
          <t>Make Sophia read to the end and tick before signing</t>
        </is>
      </c>
      <c r="F202" s="14" t="inlineStr">
        <is>
          <t>1. Click "eSignatures" in the toolbar
2. Under "Before the client signs", switch on "Read to the end" and "Tick to accept"
3. In "The words they tick", type: I have read and agree to the service agreement.
4. Close the panel</t>
        </is>
      </c>
      <c r="G202" s="14" t="inlineStr">
        <is>
          <t>The panel lists four fillable fields (Studio / Client signature and initial); both switches stay on and your words are kept</t>
        </is>
      </c>
      <c r="H202" s="12" t="inlineStr">
        <is>
          <t>Different from 1.0: only library documents had these checks</t>
        </is>
      </c>
      <c r="I202" s="11" t="inlineStr">
        <is>
          <t>Dane</t>
        </is>
      </c>
      <c r="J202" s="15" t="n"/>
      <c r="K202" s="15" t="n"/>
      <c r="L202" s="15" t="n"/>
      <c r="M202" s="16" t="n"/>
      <c r="N202" s="17" t="n"/>
      <c r="O202" s="17" t="n"/>
      <c r="P202" s="15" t="n"/>
    </row>
    <row r="203">
      <c r="A203" s="11" t="n">
        <v>8</v>
      </c>
      <c r="B203" s="11" t="inlineStr">
        <is>
          <t>8.06</t>
        </is>
      </c>
      <c r="C203" s="12" t="inlineStr">
        <is>
          <t>Get it ready to send</t>
        </is>
      </c>
      <c r="D203" s="12" t="inlineStr">
        <is>
          <t>Contracts</t>
        </is>
      </c>
      <c r="E203" s="13" t="inlineStr">
        <is>
          <t>Ask for a follow-up and a thank-you reminder</t>
        </is>
      </c>
      <c r="F203" s="14" t="inlineStr">
        <is>
          <t>1. Click the bell icon in the contract’s header (tooltip "Automation")
2. Switch on "Remind me to follow up"
3. Switch on "Remind me to thank the client"</t>
        </is>
      </c>
      <c r="G203" s="14" t="inlineStr">
        <is>
          <t>Both switches stay on, each explaining the task it adds, and the bell icon stays highlighted</t>
        </is>
      </c>
      <c r="H203" s="12" t="inlineStr">
        <is>
          <t>New in 2.0</t>
        </is>
      </c>
      <c r="I203" s="11" t="inlineStr">
        <is>
          <t>Dane</t>
        </is>
      </c>
      <c r="J203" s="15" t="n"/>
      <c r="K203" s="15" t="n"/>
      <c r="L203" s="15" t="n"/>
      <c r="M203" s="16" t="n"/>
      <c r="N203" s="17" t="n"/>
      <c r="O203" s="17" t="n"/>
      <c r="P203" s="15" t="n"/>
    </row>
    <row r="204">
      <c r="A204" s="11" t="n">
        <v>8</v>
      </c>
      <c r="B204" s="11" t="inlineStr">
        <is>
          <t>8.07</t>
        </is>
      </c>
      <c r="C204" s="12" t="inlineStr">
        <is>
          <t>Get it ready to send</t>
        </is>
      </c>
      <c r="D204" s="12" t="inlineStr">
        <is>
          <t>Contracts</t>
        </is>
      </c>
      <c r="E204" s="13" t="inlineStr">
        <is>
          <t>Send the contract and copy Sophia’s signing link</t>
        </is>
      </c>
      <c r="F204" s="14" t="inlineStr">
        <is>
          <t>1. Click "Send"
2. Check "Client name" and "Client phone (for the code)"
3. Click "Copy link" (not WhatsApp), then close the window with ✕</t>
        </is>
      </c>
      <c r="G204" s="14" t="inlineStr">
        <is>
          <t>Sophia Wong and 9765 4321 are filled in; after "Copy link" the status reads "Sent to Client" and a banner says "not opened yet"</t>
        </is>
      </c>
      <c r="H204" s="12" t="inlineStr">
        <is>
          <t>Different from 1.0: sent on WhatsApp or a copied link, not SMS</t>
        </is>
      </c>
      <c r="I204" s="11" t="inlineStr">
        <is>
          <t>Dane</t>
        </is>
      </c>
      <c r="J204" s="15" t="n"/>
      <c r="K204" s="15" t="n"/>
      <c r="L204" s="15" t="n"/>
      <c r="M204" s="16" t="n"/>
      <c r="N204" s="17" t="n"/>
      <c r="O204" s="17" t="n"/>
      <c r="P204" s="15" t="n"/>
    </row>
    <row r="205">
      <c r="A205" s="11" t="n">
        <v>8</v>
      </c>
      <c r="B205" s="11" t="inlineStr">
        <is>
          <t>8.08</t>
        </is>
      </c>
      <c r="C205" s="12" t="inlineStr">
        <is>
          <t>Sophia signs online</t>
        </is>
      </c>
      <c r="D205" s="12" t="inlineStr">
        <is>
          <t>Contracts</t>
        </is>
      </c>
      <c r="E205" s="13" t="inlineStr">
        <is>
          <t>Open the signing link as Sophia would</t>
        </is>
      </c>
      <c r="F205" s="14" t="inlineStr">
        <is>
          <t>1. Open a new browser tab
2. Paste the copied link into the address bar and press Enter</t>
        </is>
      </c>
      <c r="G205" s="14" t="inlineStr">
        <is>
          <t>Studio name and "Secure signing" on top; the agreement carries Sophia’s name and quote total; the card says "Hi Sophia", phone masked except 4321</t>
        </is>
      </c>
      <c r="H205" s="12" t="inlineStr">
        <is>
          <t>Different from 1.0: she reads first, then gets the code</t>
        </is>
      </c>
      <c r="I205" s="18" t="inlineStr">
        <is>
          <t>Sophia Wong (client)</t>
        </is>
      </c>
      <c r="J205" s="15" t="n"/>
      <c r="K205" s="15" t="n"/>
      <c r="L205" s="15" t="n"/>
      <c r="M205" s="16" t="n"/>
      <c r="N205" s="17" t="n"/>
      <c r="O205" s="17" t="n"/>
      <c r="P205" s="15" t="n"/>
    </row>
    <row r="206">
      <c r="A206" s="11" t="n">
        <v>8</v>
      </c>
      <c r="B206" s="11" t="inlineStr">
        <is>
          <t>8.09</t>
        </is>
      </c>
      <c r="C206" s="12" t="inlineStr">
        <is>
          <t>Sophia signs online</t>
        </is>
      </c>
      <c r="D206" s="12" t="inlineStr">
        <is>
          <t>Contracts</t>
        </is>
      </c>
      <c r="E206" s="13" t="inlineStr">
        <is>
          <t>Check the quote this agreement signs</t>
        </is>
      </c>
      <c r="F206" s="14" t="inlineStr">
        <is>
          <t>1. In the card, click "It signs quotation … — view the quote"
2. Look it over, then close that tab</t>
        </is>
      </c>
      <c r="G206" s="14" t="inlineStr">
        <is>
          <t>Sophia’s quote opens in its own tab as the client sees it, with "Back to the agreement"; nothing on it can be changed</t>
        </is>
      </c>
      <c r="H206" s="12" t="inlineStr">
        <is>
          <t>Different from 1.0: the quote opens beside, not as a step</t>
        </is>
      </c>
      <c r="I206" s="18" t="inlineStr">
        <is>
          <t>Sophia Wong (client)</t>
        </is>
      </c>
      <c r="J206" s="15" t="n"/>
      <c r="K206" s="15" t="n"/>
      <c r="L206" s="15" t="n"/>
      <c r="M206" s="16" t="n"/>
      <c r="N206" s="17" t="n"/>
      <c r="O206" s="17" t="n"/>
      <c r="P206" s="15" t="n"/>
    </row>
    <row r="207">
      <c r="A207" s="11" t="n">
        <v>8</v>
      </c>
      <c r="B207" s="11" t="inlineStr">
        <is>
          <t>8.10</t>
        </is>
      </c>
      <c r="C207" s="12" t="inlineStr">
        <is>
          <t>Sophia signs online</t>
        </is>
      </c>
      <c r="D207" s="12" t="inlineStr">
        <is>
          <t>Contracts</t>
        </is>
      </c>
      <c r="E207" s="13" t="inlineStr">
        <is>
          <t>Read to the end and accept the terms</t>
        </is>
      </c>
      <c r="F207" s="14" t="inlineStr">
        <is>
          <t>1. Note that "Send code" is greyed out
2. Scroll to the very end of the agreement
3. Tick "I have read and agree to the service agreement."</t>
        </is>
      </c>
      <c r="G207" s="14" t="inlineStr">
        <is>
          <t>The card changes to "You’ve read to the end"; after the tick "Send code" can be pressed</t>
        </is>
      </c>
      <c r="H207" s="12" t="inlineStr">
        <is>
          <t>Same as 1.0</t>
        </is>
      </c>
      <c r="I207" s="18" t="inlineStr">
        <is>
          <t>Sophia Wong (client)</t>
        </is>
      </c>
      <c r="J207" s="15" t="n"/>
      <c r="K207" s="15" t="n"/>
      <c r="L207" s="15" t="n"/>
      <c r="M207" s="16" t="n"/>
      <c r="N207" s="17" t="n"/>
      <c r="O207" s="17" t="n"/>
      <c r="P207" s="15" t="n"/>
    </row>
    <row r="208">
      <c r="A208" s="11" t="n">
        <v>8</v>
      </c>
      <c r="B208" s="11" t="inlineStr">
        <is>
          <t>8.11</t>
        </is>
      </c>
      <c r="C208" s="12" t="inlineStr">
        <is>
          <t>Sophia signs online</t>
        </is>
      </c>
      <c r="D208" s="12" t="inlineStr">
        <is>
          <t>Contracts</t>
        </is>
      </c>
      <c r="E208" s="13" t="inlineStr">
        <is>
          <t>Change the contract while Sophia is signing</t>
        </is>
      </c>
      <c r="F208" s="14" t="inlineStr">
        <is>
          <t>1. Click "Send code", type any six digits (e.g. 123456 — stands in for the SMS code), click "Verify"
2. Switch to the studio tab, type a word into clause 1 and wait for "Saved just now"
3. Back in Sophia’s tab, click "Sign agreement"</t>
        </is>
      </c>
      <c r="G208" s="14" t="inlineStr">
        <is>
          <t>A message says the agreement was updated while she was reading; the page goes back to the start with the new text</t>
        </is>
      </c>
      <c r="H208" s="12" t="inlineStr">
        <is>
          <t>Same as 1.0</t>
        </is>
      </c>
      <c r="I208" s="18" t="inlineStr">
        <is>
          <t>Sophia Wong (client)</t>
        </is>
      </c>
      <c r="J208" s="15" t="n"/>
      <c r="K208" s="15" t="n"/>
      <c r="L208" s="15" t="n"/>
      <c r="M208" s="16" t="n"/>
      <c r="N208" s="17" t="n"/>
      <c r="O208" s="17" t="n"/>
      <c r="P208" s="15" t="n"/>
    </row>
    <row r="209">
      <c r="A209" s="11" t="n">
        <v>8</v>
      </c>
      <c r="B209" s="11" t="inlineStr">
        <is>
          <t>8.12</t>
        </is>
      </c>
      <c r="C209" s="12" t="inlineStr">
        <is>
          <t>Sophia signs online</t>
        </is>
      </c>
      <c r="D209" s="12" t="inlineStr">
        <is>
          <t>Contracts</t>
        </is>
      </c>
      <c r="E209" s="13" t="inlineStr">
        <is>
          <t>Sign by drawing, with an NRIC</t>
        </is>
      </c>
      <c r="F209" s="14" t="inlineStr">
        <is>
          <t>1. Scroll to the end, tick, click "Send code", type 123456, click "Verify"
2. Choose "Draw" and sign on the pad with the mouse
3. Type S1234567A in "NRIC / FIN (optional)"
4. Click "Sign agreement"</t>
        </is>
      </c>
      <c r="G209" s="14" t="inlineStr">
        <is>
          <t>Under the NRIC it reads "Kept as •••••567A"; the sentence above names the agreement and her quote; the card then shows "Signed"</t>
        </is>
      </c>
      <c r="H209" s="12" t="inlineStr">
        <is>
          <t>Different from 1.0: type or draw; NRIC optional, kept masked</t>
        </is>
      </c>
      <c r="I209" s="18" t="inlineStr">
        <is>
          <t>Sophia Wong (client)</t>
        </is>
      </c>
      <c r="J209" s="15" t="n"/>
      <c r="K209" s="15" t="n"/>
      <c r="L209" s="15" t="n"/>
      <c r="M209" s="16" t="n"/>
      <c r="N209" s="17" t="n"/>
      <c r="O209" s="17" t="n"/>
      <c r="P209" s="15" t="n"/>
    </row>
    <row r="210">
      <c r="A210" s="11" t="n">
        <v>8</v>
      </c>
      <c r="B210" s="11" t="inlineStr">
        <is>
          <t>8.13</t>
        </is>
      </c>
      <c r="C210" s="12" t="inlineStr">
        <is>
          <t>Sophia signs online</t>
        </is>
      </c>
      <c r="D210" s="12" t="inlineStr">
        <is>
          <t>Contracts</t>
        </is>
      </c>
      <c r="E210" s="13" t="inlineStr">
        <is>
          <t>Look at the proof of signing</t>
        </is>
      </c>
      <c r="F210" s="14" t="inlineStr">
        <is>
          <t>1. Scroll below the agreement to "Signing record"
2. Click "Download a copy" in the card, then cancel the print</t>
        </is>
      </c>
      <c r="G210" s="14" t="inlineStr">
        <is>
          <t>The record lists Sophia Wong, "Drawn by hand", •••••567A, the masked phone, device, times and a fingerprint; the print shows letterhead and signatures</t>
        </is>
      </c>
      <c r="H210" s="12" t="inlineStr">
        <is>
          <t>Different from 1.0: on the page, not a PDF certificate</t>
        </is>
      </c>
      <c r="I210" s="18" t="inlineStr">
        <is>
          <t>Sophia Wong (client)</t>
        </is>
      </c>
      <c r="J210" s="15" t="n"/>
      <c r="K210" s="15" t="n"/>
      <c r="L210" s="15" t="n"/>
      <c r="M210" s="16" t="n"/>
      <c r="N210" s="17" t="n"/>
      <c r="O210" s="17" t="n"/>
      <c r="P210" s="15" t="n"/>
    </row>
    <row r="211">
      <c r="A211" s="11" t="n">
        <v>8</v>
      </c>
      <c r="B211" s="11" t="inlineStr">
        <is>
          <t>8.14</t>
        </is>
      </c>
      <c r="C211" s="12" t="inlineStr">
        <is>
          <t>Back at the studio</t>
        </is>
      </c>
      <c r="D211" s="12" t="inlineStr">
        <is>
          <t>Contracts</t>
        </is>
      </c>
      <c r="E211" s="13" t="inlineStr">
        <is>
          <t>See the signed contract locked in the studio</t>
        </is>
      </c>
      <c r="F211" s="14" t="inlineStr">
        <is>
          <t>1. Go back to the studio tab and refresh the page
2. Try to type in the agreement or change the title
3. Click "Signing record" in the banner</t>
        </is>
      </c>
      <c r="G211" s="14" t="inlineStr">
        <is>
          <t>Status "Signed" with a signed-date chip; the banner says Sophia signed online and it stays signed; nothing edits; the record matches hers</t>
        </is>
      </c>
      <c r="H211" s="12" t="inlineStr">
        <is>
          <t>Same as 1.0</t>
        </is>
      </c>
      <c r="I211" s="11" t="inlineStr">
        <is>
          <t>Dane</t>
        </is>
      </c>
      <c r="J211" s="15" t="n"/>
      <c r="K211" s="15" t="n"/>
      <c r="L211" s="15" t="n"/>
      <c r="M211" s="16" t="n"/>
      <c r="N211" s="17" t="n"/>
      <c r="O211" s="17" t="n"/>
      <c r="P211" s="15" t="n"/>
    </row>
    <row r="212">
      <c r="A212" s="11" t="n">
        <v>8</v>
      </c>
      <c r="B212" s="11" t="inlineStr">
        <is>
          <t>8.15</t>
        </is>
      </c>
      <c r="C212" s="12" t="inlineStr">
        <is>
          <t>Back at the studio</t>
        </is>
      </c>
      <c r="D212" s="12" t="inlineStr">
        <is>
          <t>Quotes</t>
        </is>
      </c>
      <c r="E212" s="13" t="inlineStr">
        <is>
          <t>Check her quote is now signed</t>
        </is>
      </c>
      <c r="F212" s="14" t="inlineStr">
        <is>
          <t>1. Close the contract with ✕ — you land back on her quote
2. Look at the status and the chips beside the title
3. Click the "Contract · Signed" chip</t>
        </is>
      </c>
      <c r="G212" s="14" t="inlineStr">
        <is>
          <t>The quote reads "Signed"; a "Contract · Signed" chip sits by the title and opens the contract</t>
        </is>
      </c>
      <c r="H212" s="12" t="inlineStr">
        <is>
          <t>Same as 1.0</t>
        </is>
      </c>
      <c r="I212" s="11" t="inlineStr">
        <is>
          <t>Dane</t>
        </is>
      </c>
      <c r="J212" s="15" t="n"/>
      <c r="K212" s="15" t="n"/>
      <c r="L212" s="15" t="n"/>
      <c r="M212" s="16" t="n"/>
      <c r="N212" s="17" t="n"/>
      <c r="O212" s="17" t="n"/>
      <c r="P212" s="15" t="n"/>
    </row>
    <row r="213">
      <c r="A213" s="11" t="n">
        <v>8</v>
      </c>
      <c r="B213" s="11" t="inlineStr">
        <is>
          <t>8.16</t>
        </is>
      </c>
      <c r="C213" s="12" t="inlineStr">
        <is>
          <t>Back at the studio</t>
        </is>
      </c>
      <c r="D213" s="12" t="inlineStr">
        <is>
          <t>Lead details</t>
        </is>
      </c>
      <c r="E213" s="13" t="inlineStr">
        <is>
          <t>Check the two reminders became tasks</t>
        </is>
      </c>
      <c r="F213" s="14" t="inlineStr">
        <is>
          <t>1. Open Sophia Wong › "Tasks"</t>
        </is>
      </c>
      <c r="G213" s="14" t="inlineStr">
        <is>
          <t>"Follow up on “Interior Design Service Agreement” — not signed yet" is completed; "Thank Sophia Wong for signing “Interior Design Service Agreement”" is due today</t>
        </is>
      </c>
      <c r="H213" s="12" t="inlineStr">
        <is>
          <t>New in 2.0</t>
        </is>
      </c>
      <c r="I213" s="11" t="inlineStr">
        <is>
          <t>Dane</t>
        </is>
      </c>
      <c r="J213" s="15" t="n"/>
      <c r="K213" s="15" t="n"/>
      <c r="L213" s="15" t="n"/>
      <c r="M213" s="16" t="n"/>
      <c r="N213" s="17" t="n"/>
      <c r="O213" s="17" t="n"/>
      <c r="P213" s="15" t="n"/>
    </row>
    <row r="214">
      <c r="A214" s="11" t="n">
        <v>8</v>
      </c>
      <c r="B214" s="11" t="inlineStr">
        <is>
          <t>8.17</t>
        </is>
      </c>
      <c r="C214" s="12" t="inlineStr">
        <is>
          <t>Back at the studio</t>
        </is>
      </c>
      <c r="D214" s="12" t="inlineStr">
        <is>
          <t>Notifications</t>
        </is>
      </c>
      <c r="E214" s="13" t="inlineStr">
        <is>
          <t>See the studio was told she signed</t>
        </is>
      </c>
      <c r="F214" s="14" t="inlineStr">
        <is>
          <t>1. Click "Notifications" (the bell) in the side navigation</t>
        </is>
      </c>
      <c r="G214" s="14" t="inlineStr">
        <is>
          <t>The newest notice reads "Sophia Wong signed Interior Design Service Agreement" and opens her Contracts tab</t>
        </is>
      </c>
      <c r="H214" s="12" t="inlineStr">
        <is>
          <t>Same as 1.0</t>
        </is>
      </c>
      <c r="I214" s="11" t="inlineStr">
        <is>
          <t>Dane</t>
        </is>
      </c>
      <c r="J214" s="15" t="n"/>
      <c r="K214" s="15" t="n"/>
      <c r="L214" s="15" t="n"/>
      <c r="M214" s="16" t="n"/>
      <c r="N214" s="17" t="n"/>
      <c r="O214" s="17" t="n"/>
      <c r="P214" s="15" t="n"/>
    </row>
    <row r="215">
      <c r="A215" s="11" t="n">
        <v>8</v>
      </c>
      <c r="B215" s="11" t="inlineStr">
        <is>
          <t>8.18</t>
        </is>
      </c>
      <c r="C215" s="12" t="inlineStr">
        <is>
          <t>Back at the studio</t>
        </is>
      </c>
      <c r="D215" s="12" t="inlineStr">
        <is>
          <t>Contracts</t>
        </is>
      </c>
      <c r="E215" s="13" t="inlineStr">
        <is>
          <t>Read the contract’s row and try to un-sign it</t>
        </is>
      </c>
      <c r="F215" s="14" t="inlineStr">
        <is>
          <t>1. Open Sophia Wong › "Contracts"
2. Look at the "Signed Copy" and "Sent" columns
3. Click the status "Signed" and try "Draft"</t>
        </is>
      </c>
      <c r="G215" s="14" t="inlineStr">
        <is>
          <t>Signed Copy names the signed-online file; Sent shows "Viewed" with a date; "Draft" and "Sent to Client" say "signed by the client" and do nothing</t>
        </is>
      </c>
      <c r="H215" s="12" t="inlineStr">
        <is>
          <t>Different from 1.0: Viewed is a date, not a status</t>
        </is>
      </c>
      <c r="I215" s="11" t="inlineStr">
        <is>
          <t>Dane</t>
        </is>
      </c>
      <c r="J215" s="15" t="n"/>
      <c r="K215" s="15" t="n"/>
      <c r="L215" s="15" t="n"/>
      <c r="M215" s="16" t="n"/>
      <c r="N215" s="17" t="n"/>
      <c r="O215" s="17" t="n"/>
      <c r="P215" s="15" t="n"/>
    </row>
    <row r="216">
      <c r="A216" s="11" t="n">
        <v>8</v>
      </c>
      <c r="B216" s="11" t="inlineStr">
        <is>
          <t>8.19</t>
        </is>
      </c>
      <c r="C216" s="12" t="inlineStr">
        <is>
          <t>Gerald Tan: paper and a pair of documents</t>
        </is>
      </c>
      <c r="D216" s="12" t="inlineStr">
        <is>
          <t>Contracts</t>
        </is>
      </c>
      <c r="E216" s="13" t="inlineStr">
        <is>
          <t>Record Gerald Tan’s contract signed on paper</t>
        </is>
      </c>
      <c r="F216" s="14" t="inlineStr">
        <is>
          <t>1. Open Gerald Tan › "Contracts" › "New Contract" › "Import from File"
2. Type "Signed paper contract" in "Contract title" and upload the PDF
3. Switch on "This copy is already signed"
4. Click "Import"</t>
        </is>
      </c>
      <c r="G216" s="14" t="inlineStr">
        <is>
          <t>"Signed contract imported"; it opens with "Signed …" and "Uploaded PDF" chips and a banner "Marked signed on …"</t>
        </is>
      </c>
      <c r="H216" s="12" t="inlineStr">
        <is>
          <t>Different from 1.0: the upload becomes a contract, not a lead flag</t>
        </is>
      </c>
      <c r="I216" s="11" t="inlineStr">
        <is>
          <t>Dane</t>
        </is>
      </c>
      <c r="J216" s="15" t="n"/>
      <c r="K216" s="15" t="n"/>
      <c r="L216" s="15" t="n"/>
      <c r="M216" s="16" t="n"/>
      <c r="N216" s="17" t="n"/>
      <c r="O216" s="17" t="n"/>
      <c r="P216" s="15" t="n"/>
    </row>
    <row r="217">
      <c r="A217" s="11" t="n">
        <v>8</v>
      </c>
      <c r="B217" s="11" t="inlineStr">
        <is>
          <t>8.20</t>
        </is>
      </c>
      <c r="C217" s="12" t="inlineStr">
        <is>
          <t>Gerald Tan: paper and a pair of documents</t>
        </is>
      </c>
      <c r="D217" s="12" t="inlineStr">
        <is>
          <t>Contracts</t>
        </is>
      </c>
      <c r="E217" s="13" t="inlineStr">
        <is>
          <t>Take back a signing recorded by mistake</t>
        </is>
      </c>
      <c r="F217" s="14" t="inlineStr">
        <is>
          <t>1. Click the status "Signed" › "Draft"
2. Read the question, then click "Move back"</t>
        </is>
      </c>
      <c r="G217" s="14" t="inlineStr">
        <is>
          <t>"Move back to Draft?" says the signed date and copies are cleared; then the status reads "Draft" and the Signed chip is gone</t>
        </is>
      </c>
      <c r="H217" s="12" t="inlineStr">
        <is>
          <t>Different from 1.0: 1.0 never reopened a signed contract</t>
        </is>
      </c>
      <c r="I217" s="11" t="inlineStr">
        <is>
          <t>Dane</t>
        </is>
      </c>
      <c r="J217" s="15" t="n"/>
      <c r="K217" s="15" t="n"/>
      <c r="L217" s="15" t="n"/>
      <c r="M217" s="16" t="n"/>
      <c r="N217" s="17" t="n"/>
      <c r="O217" s="17" t="n"/>
      <c r="P217" s="15" t="n"/>
    </row>
    <row r="218">
      <c r="A218" s="11" t="n">
        <v>8</v>
      </c>
      <c r="B218" s="11" t="inlineStr">
        <is>
          <t>8.21</t>
        </is>
      </c>
      <c r="C218" s="12" t="inlineStr">
        <is>
          <t>Gerald Tan: paper and a pair of documents</t>
        </is>
      </c>
      <c r="D218" s="12" t="inlineStr">
        <is>
          <t>Contracts</t>
        </is>
      </c>
      <c r="E218" s="13" t="inlineStr">
        <is>
          <t>Mark it signed again with today’s date</t>
        </is>
      </c>
      <c r="F218" s="14" t="inlineStr">
        <is>
          <t>1. Click the status "Draft" › "Signed"
2. Keep today in "Signed on" (attaching a copy is optional)
3. Click "Mark as signed"</t>
        </is>
      </c>
      <c r="G218" s="14" t="inlineStr">
        <is>
          <t>"Contract marked Signed"; the banner says it was marked signed today and an Owner or an Admin can move it back</t>
        </is>
      </c>
      <c r="H218" s="12" t="inlineStr">
        <is>
          <t>Same as 1.0</t>
        </is>
      </c>
      <c r="I218" s="11" t="inlineStr">
        <is>
          <t>Dane</t>
        </is>
      </c>
      <c r="J218" s="15" t="n"/>
      <c r="K218" s="15" t="n"/>
      <c r="L218" s="15" t="n"/>
      <c r="M218" s="16" t="n"/>
      <c r="N218" s="17" t="n"/>
      <c r="O218" s="17" t="n"/>
      <c r="P218" s="15" t="n"/>
    </row>
    <row r="219">
      <c r="A219" s="11" t="n">
        <v>8</v>
      </c>
      <c r="B219" s="11" t="inlineStr">
        <is>
          <t>8.22</t>
        </is>
      </c>
      <c r="C219" s="12" t="inlineStr">
        <is>
          <t>Gerald Tan: paper and a pair of documents</t>
        </is>
      </c>
      <c r="D219" s="12" t="inlineStr">
        <is>
          <t>Contracts</t>
        </is>
      </c>
      <c r="E219" s="13" t="inlineStr">
        <is>
          <t>Try sending a variation order with nowhere to sign</t>
        </is>
      </c>
      <c r="F219" s="14" t="inlineStr">
        <is>
          <t>1. Close with ✕, then "New Contract" › "From Template" › "Variations" › "Variation Order" › "Use template"
2. Click "Send"
3. Click "Show me" on the message (or "eSignatures"), then "Insert" beside "Client signature"
4. Close the contract with ✕</t>
        </is>
      </c>
      <c r="G219" s="14" t="inlineStr">
        <is>
          <t>Send refuses: "Before you send: There’s no Client signature field — insert one from eSignatures"; after Insert a Client signature box ends the document</t>
        </is>
      </c>
      <c r="H219" s="12" t="inlineStr">
        <is>
          <t>Different from 1.0: 1.0 only checked for an empty page</t>
        </is>
      </c>
      <c r="I219" s="11" t="inlineStr">
        <is>
          <t>Dane</t>
        </is>
      </c>
      <c r="J219" s="15" t="n"/>
      <c r="K219" s="15" t="n"/>
      <c r="L219" s="15" t="n"/>
      <c r="M219" s="16" t="n"/>
      <c r="N219" s="17" t="n"/>
      <c r="O219" s="17" t="n"/>
      <c r="P219" s="15" t="n"/>
    </row>
    <row r="220">
      <c r="A220" s="11" t="n">
        <v>8</v>
      </c>
      <c r="B220" s="11" t="inlineStr">
        <is>
          <t>8.23</t>
        </is>
      </c>
      <c r="C220" s="12" t="inlineStr">
        <is>
          <t>Gerald Tan: paper and a pair of documents</t>
        </is>
      </c>
      <c r="D220" s="12" t="inlineStr">
        <is>
          <t>Contracts</t>
        </is>
      </c>
      <c r="E220" s="13" t="inlineStr">
        <is>
          <t>Send Gerald two documents under one link</t>
        </is>
      </c>
      <c r="F220" s="14" t="inlineStr">
        <is>
          <t>1. "New Contract" › "From the studio agreement", then close it with ✕
2. Click ⋮ "More options" › "Send together for signature"
3. Click "Copy link"
4. Click "Send via WhatsApp" — a WhatsApp tab opens; close it, do not send</t>
        </is>
      </c>
      <c r="G220" s="14" t="inlineStr">
        <is>
          <t>Both documents are ticked and numbered in reading order; afterwards both rows read "Sent to Client" and "2 documents sent under one link" shows</t>
        </is>
      </c>
      <c r="H220" s="12" t="inlineStr">
        <is>
          <t>Different from 1.0: contracts go together; the quote signs through them</t>
        </is>
      </c>
      <c r="I220" s="11" t="inlineStr">
        <is>
          <t>Dane</t>
        </is>
      </c>
      <c r="J220" s="15" t="n"/>
      <c r="K220" s="15" t="n"/>
      <c r="L220" s="15" t="n"/>
      <c r="M220" s="16" t="n"/>
      <c r="N220" s="17" t="n"/>
      <c r="O220" s="17" t="n"/>
      <c r="P220" s="15" t="n"/>
    </row>
    <row r="221">
      <c r="A221" s="11" t="n">
        <v>8</v>
      </c>
      <c r="B221" s="11" t="inlineStr">
        <is>
          <t>8.24</t>
        </is>
      </c>
      <c r="C221" s="12" t="inlineStr">
        <is>
          <t>Gerald Tan: paper and a pair of documents</t>
        </is>
      </c>
      <c r="D221" s="12" t="inlineStr">
        <is>
          <t>Contracts</t>
        </is>
      </c>
      <c r="E221" s="13" t="inlineStr">
        <is>
          <t>Sign both documents once, as Gerald</t>
        </is>
      </c>
      <c r="F221" s="14" t="inlineStr">
        <is>
          <t>1. Paste the copied link into a new tab
2. Read each document; where asked, scroll to the end and tick, then "Continue" / "Continue to sign"
3. Type 123456, click "Verify"
4. Click "Sign 2 documents"</t>
        </is>
      </c>
      <c r="G221" s="14" t="inlineStr">
        <is>
          <t>One document per screen ("Document 1 of 2", progress bar); the final sentence names both; the card ends "All 2 documents signed by Gerald Tan"</t>
        </is>
      </c>
      <c r="H221" s="12" t="inlineStr">
        <is>
          <t>Same as 1.0</t>
        </is>
      </c>
      <c r="I221" s="18" t="inlineStr">
        <is>
          <t>Gerald Tan (client)</t>
        </is>
      </c>
      <c r="J221" s="15" t="n"/>
      <c r="K221" s="15" t="n"/>
      <c r="L221" s="15" t="n"/>
      <c r="M221" s="16" t="n"/>
      <c r="N221" s="17" t="n"/>
      <c r="O221" s="17" t="n"/>
      <c r="P221" s="15" t="n"/>
    </row>
    <row r="222">
      <c r="A222" s="11" t="n">
        <v>8</v>
      </c>
      <c r="B222" s="11" t="inlineStr">
        <is>
          <t>8.25</t>
        </is>
      </c>
      <c r="C222" s="12" t="inlineStr">
        <is>
          <t>Keeping track</t>
        </is>
      </c>
      <c r="D222" s="12" t="inlineStr">
        <is>
          <t>Contracts</t>
        </is>
      </c>
      <c r="E222" s="13" t="inlineStr">
        <is>
          <t>Find Gerald’s contracts studio-wide and delete one</t>
        </is>
      </c>
      <c r="F222" s="14" t="inlineStr">
        <is>
          <t>1. Side navigation "Tools" › "Contracts"
2. Type Gerald in the search box
3. On "Signed paper contract": ⋮ "More actions" › "Copy Link", then ⋮ › "Delete" › "Yes"</t>
        </is>
      </c>
      <c r="G222" s="14" t="inlineStr">
        <is>
          <t>Only Gerald Tan’s contracts show, with a "Lead" column; "Contract deleted" appears and the row disappears</t>
        </is>
      </c>
      <c r="H222" s="12" t="inlineStr">
        <is>
          <t>New in 2.0</t>
        </is>
      </c>
      <c r="I222" s="11" t="inlineStr">
        <is>
          <t>Dane</t>
        </is>
      </c>
      <c r="J222" s="15" t="n"/>
      <c r="K222" s="15" t="n"/>
      <c r="L222" s="15" t="n"/>
      <c r="M222" s="16" t="n"/>
      <c r="N222" s="17" t="n"/>
      <c r="O222" s="17" t="n"/>
      <c r="P222" s="15" t="n"/>
    </row>
    <row r="223">
      <c r="A223" s="11" t="n">
        <v>8</v>
      </c>
      <c r="B223" s="11" t="inlineStr">
        <is>
          <t>8.26</t>
        </is>
      </c>
      <c r="C223" s="12" t="inlineStr">
        <is>
          <t>Keeping track</t>
        </is>
      </c>
      <c r="D223" s="12" t="inlineStr">
        <is>
          <t>Contracts</t>
        </is>
      </c>
      <c r="E223" s="13" t="inlineStr">
        <is>
          <t>Check the deleted contract’s link is dead, then restore it</t>
        </is>
      </c>
      <c r="F223" s="14" t="inlineStr">
        <is>
          <t>1. Paste the copied link into a new tab
2. Back in Tools › Contracts, click ⋮ "More options" › "Deleted Contracts"
3. Click "Restore" on "Signed paper contract"</t>
        </is>
      </c>
      <c r="G223" s="14" t="inlineStr">
        <is>
          <t>The link reads "This link is no longer active"; the list shows Lead Gerald Tan, Deleted by Dane; Restore puts it back</t>
        </is>
      </c>
      <c r="H223" s="12" t="inlineStr">
        <is>
          <t>Different from 1.0: deleted contracts can be restored</t>
        </is>
      </c>
      <c r="I223" s="11" t="inlineStr">
        <is>
          <t>Dane</t>
        </is>
      </c>
      <c r="J223" s="15" t="n"/>
      <c r="K223" s="15" t="n"/>
      <c r="L223" s="15" t="n"/>
      <c r="M223" s="16" t="n"/>
      <c r="N223" s="17" t="n"/>
      <c r="O223" s="17" t="n"/>
      <c r="P223" s="15" t="n"/>
    </row>
    <row r="224" ht="22" customHeight="1">
      <c r="A224" s="9" t="inlineStr">
        <is>
          <t>Chapter 9 · Win, park or lose — Won, On Hold, Lost, Resume, Return, Delete.</t>
        </is>
      </c>
      <c r="M224" s="10" t="n"/>
    </row>
    <row r="225">
      <c r="A225" s="11" t="n">
        <v>9</v>
      </c>
      <c r="B225" s="11" t="inlineStr">
        <is>
          <t>9.01</t>
        </is>
      </c>
      <c r="C225" s="12" t="inlineStr">
        <is>
          <t>Win Sophia</t>
        </is>
      </c>
      <c r="D225" s="12" t="inlineStr">
        <is>
          <t>Lead details</t>
        </is>
      </c>
      <c r="E225" s="13" t="inlineStr">
        <is>
          <t>Check Sophia is ready to be won</t>
        </is>
      </c>
      <c r="F225" s="14" t="inlineStr">
        <is>
          <t>1. Open Sophia Wong
2. Read the stage button and the "LEAD STAGES" card
3. Open the "Quotes" tab, then the "Contracts" tab</t>
        </is>
      </c>
      <c r="G225" s="14" t="inlineStr">
        <is>
          <t>"Stage: Quote Sent" with New, Contacted and Met ticked; her quote and her contract both read Signed (chapters 6 and 8).</t>
        </is>
      </c>
      <c r="H225" s="12" t="inlineStr">
        <is>
          <t>Different from 1.0: signing doesn't move the lead by itself</t>
        </is>
      </c>
      <c r="I225" s="11" t="inlineStr">
        <is>
          <t>Dane</t>
        </is>
      </c>
      <c r="J225" s="15" t="n"/>
      <c r="K225" s="15" t="n"/>
      <c r="L225" s="15" t="n"/>
      <c r="M225" s="16" t="n"/>
      <c r="N225" s="17" t="n"/>
      <c r="O225" s="17" t="n"/>
      <c r="P225" s="15" t="n"/>
    </row>
    <row r="226">
      <c r="A226" s="11" t="n">
        <v>9</v>
      </c>
      <c r="B226" s="11" t="inlineStr">
        <is>
          <t>9.02</t>
        </is>
      </c>
      <c r="C226" s="12" t="inlineStr">
        <is>
          <t>Win Sophia</t>
        </is>
      </c>
      <c r="D226" s="12" t="inlineStr">
        <is>
          <t>Lead details</t>
        </is>
      </c>
      <c r="E226" s="13" t="inlineStr">
        <is>
          <t>Open the Won step from Convert to Project</t>
        </is>
      </c>
      <c r="F226" s="14" t="inlineStr">
        <is>
          <t>1. Point at, then press, "Convert to Project"
2. Read "Attach client signed quote" and "Attach client signed contract"</t>
        </is>
      </c>
      <c r="G226" s="14" t="inlineStr">
        <is>
          <t>"Moving to Won" opens with her signed quote (OM-… · Signed on …) and her signed contract already picked under "From System".</t>
        </is>
      </c>
      <c r="H226" s="12" t="inlineStr">
        <is>
          <t>Different from 1.0: the Won step checks quote, contract and split</t>
        </is>
      </c>
      <c r="I226" s="11" t="inlineStr">
        <is>
          <t>Dane</t>
        </is>
      </c>
      <c r="J226" s="15" t="n"/>
      <c r="K226" s="15" t="n"/>
      <c r="L226" s="15" t="n"/>
      <c r="M226" s="16" t="n"/>
      <c r="N226" s="17" t="n"/>
      <c r="O226" s="17" t="n"/>
      <c r="P226" s="15" t="n"/>
    </row>
    <row r="227">
      <c r="A227" s="11" t="n">
        <v>9</v>
      </c>
      <c r="B227" s="11" t="inlineStr">
        <is>
          <t>9.03</t>
        </is>
      </c>
      <c r="C227" s="12" t="inlineStr">
        <is>
          <t>Win Sophia</t>
        </is>
      </c>
      <c r="D227" s="12" t="inlineStr">
        <is>
          <t>Lead details</t>
        </is>
      </c>
      <c r="E227" s="13" t="inlineStr">
        <is>
          <t>Check the payment split must add up to 100%</t>
        </is>
      </c>
      <c r="F227" s="14" t="inlineStr">
        <is>
          <t>1. Under "Payment milestone" read the four rows
2. Change Deposit from 10 to 20
3. Press "Save &amp; Convert to Project"
4. Press "Reset to default"</t>
        </is>
      </c>
      <c r="G227" s="14" t="inlineStr">
        <is>
          <t>The split is 10/30/30/30% of her quote total; at 20 the tag reads 110% and "Milestones must add up to 100%"; Reset restores 100%.</t>
        </is>
      </c>
      <c r="H227" s="12" t="inlineStr">
        <is>
          <t>New in 2.0</t>
        </is>
      </c>
      <c r="I227" s="11" t="inlineStr">
        <is>
          <t>Dane</t>
        </is>
      </c>
      <c r="J227" s="15" t="n"/>
      <c r="K227" s="15" t="n"/>
      <c r="L227" s="15" t="n"/>
      <c r="M227" s="16" t="n"/>
      <c r="N227" s="17" t="n"/>
      <c r="O227" s="17" t="n"/>
      <c r="P227" s="15" t="n"/>
    </row>
    <row r="228">
      <c r="A228" s="11" t="n">
        <v>9</v>
      </c>
      <c r="B228" s="11" t="inlineStr">
        <is>
          <t>9.04</t>
        </is>
      </c>
      <c r="C228" s="12" t="inlineStr">
        <is>
          <t>Win Sophia</t>
        </is>
      </c>
      <c r="D228" s="12" t="inlineStr">
        <is>
          <t>Lead details</t>
        </is>
      </c>
      <c r="E228" s="13" t="inlineStr">
        <is>
          <t>Win Sophia and convert her to a project</t>
        </is>
      </c>
      <c r="F228" s="14" t="inlineStr">
        <is>
          <t>1. Leave "Project type" on Whole-home renovation
2. Press "Save &amp; Convert to Project"
3. Press "Convert to Project" again</t>
        </is>
      </c>
      <c r="G228" s="14" t="inlineStr">
        <is>
          <t>"Project created for Sophia Wong · OM-…"; "Stage: Won" with every stage ticked; the second press says "Coming soon in OpenMaison 2.0".</t>
        </is>
      </c>
      <c r="H228" s="12" t="inlineStr">
        <is>
          <t>Different from 1.0: no draft project is created yet</t>
        </is>
      </c>
      <c r="I228" s="11" t="inlineStr">
        <is>
          <t>Dane</t>
        </is>
      </c>
      <c r="J228" s="15" t="n"/>
      <c r="K228" s="15" t="n"/>
      <c r="L228" s="15" t="n"/>
      <c r="M228" s="16" t="n"/>
      <c r="N228" s="17" t="n"/>
      <c r="O228" s="17" t="n"/>
      <c r="P228" s="15" t="n"/>
    </row>
    <row r="229">
      <c r="A229" s="11" t="n">
        <v>9</v>
      </c>
      <c r="B229" s="11" t="inlineStr">
        <is>
          <t>9.05</t>
        </is>
      </c>
      <c r="C229" s="12" t="inlineStr">
        <is>
          <t>Park and resume</t>
        </is>
      </c>
      <c r="D229" s="12" t="inlineStr">
        <is>
          <t>Leads</t>
        </is>
      </c>
      <c r="E229" s="13" t="inlineStr">
        <is>
          <t>Put a lead on hold until a date you choose</t>
        </is>
      </c>
      <c r="F229" s="14" t="inlineStr">
        <is>
          <t>1. On Leads, click Priya Nair's Stage cell, then "On Hold"
2. "Reason": Client not ready; under "Duration" choose "Custom"
3. "Follow up on": a date about two months away
4. Press "Save &amp; Move"</t>
        </is>
      </c>
      <c r="G229" s="14" t="inlineStr">
        <is>
          <t>The helper reads "Next follow up date will be" your date; "Moved to On Hold" (with Undo); her row adds "On hold till:" that date.</t>
        </is>
      </c>
      <c r="H229" s="12" t="inlineStr">
        <is>
          <t>Different from 1.0: reason plus date; a reminder comes that day</t>
        </is>
      </c>
      <c r="I229" s="11" t="inlineStr">
        <is>
          <t>Dane</t>
        </is>
      </c>
      <c r="J229" s="15" t="n"/>
      <c r="K229" s="15" t="n"/>
      <c r="L229" s="15" t="n"/>
      <c r="M229" s="16" t="n"/>
      <c r="N229" s="17" t="n"/>
      <c r="O229" s="17" t="n"/>
      <c r="P229" s="15" t="n"/>
    </row>
    <row r="230">
      <c r="A230" s="11" t="n">
        <v>9</v>
      </c>
      <c r="B230" s="11" t="inlineStr">
        <is>
          <t>9.06</t>
        </is>
      </c>
      <c r="C230" s="12" t="inlineStr">
        <is>
          <t>Park and resume</t>
        </is>
      </c>
      <c r="D230" s="12" t="inlineStr">
        <is>
          <t>Lead details</t>
        </is>
      </c>
      <c r="E230" s="13" t="inlineStr">
        <is>
          <t>Resume a lead that was on hold</t>
        </is>
      </c>
      <c r="F230" s="14" t="inlineStr">
        <is>
          <t>1. Open Mei Ling Tan
2. Read her "On Hold" row in "LEAD STAGES"
3. Click "Stage: On Hold", then "Contacted"
4. Press "Resume"</t>
        </is>
      </c>
      <c r="G230" s="14" t="inlineStr">
        <is>
          <t>Her row shows the till-date and "Property delay"; "Resume at Contacted?" asks first; then "Moved to Contacted".</t>
        </is>
      </c>
      <c r="H230" s="12" t="inlineStr">
        <is>
          <t>Different from 1.0: resume at any stage, after a confirm</t>
        </is>
      </c>
      <c r="I230" s="11" t="inlineStr">
        <is>
          <t>Dane</t>
        </is>
      </c>
      <c r="J230" s="15" t="n"/>
      <c r="K230" s="15" t="n"/>
      <c r="L230" s="15" t="n"/>
      <c r="M230" s="16" t="n"/>
      <c r="N230" s="17" t="n"/>
      <c r="O230" s="17" t="n"/>
      <c r="P230" s="15" t="n"/>
    </row>
    <row r="231">
      <c r="A231" s="11" t="n">
        <v>9</v>
      </c>
      <c r="B231" s="11" t="inlineStr">
        <is>
          <t>9.07</t>
        </is>
      </c>
      <c r="C231" s="12" t="inlineStr">
        <is>
          <t>When a lead goes cold</t>
        </is>
      </c>
      <c r="D231" s="12" t="inlineStr">
        <is>
          <t>Lead details</t>
        </is>
      </c>
      <c r="E231" s="13" t="inlineStr">
        <is>
          <t>See the hint before marking a lead lost</t>
        </is>
      </c>
      <c r="F231" s="14" t="inlineStr">
        <is>
          <t>1. Open Jonathan Teo
2. Click "Stage: Contacted", then "Lost"
3. Set "Reason" to Unresponsive</t>
        </is>
      </c>
      <c r="G231" s="14" t="inlineStr">
        <is>
          <t>A hint under Reason counts his logged contacts, like "1 of 3 contacts logged — this reason usually follows 3"; it never blocks saving.</t>
        </is>
      </c>
      <c r="H231" s="12" t="inlineStr">
        <is>
          <t>Different from 1.0: a hint only, never a block</t>
        </is>
      </c>
      <c r="I231" s="11" t="inlineStr">
        <is>
          <t>Dane</t>
        </is>
      </c>
      <c r="J231" s="15" t="n"/>
      <c r="K231" s="15" t="n"/>
      <c r="L231" s="15" t="n"/>
      <c r="M231" s="16" t="n"/>
      <c r="N231" s="17" t="n"/>
      <c r="O231" s="17" t="n"/>
      <c r="P231" s="15" t="n"/>
    </row>
    <row r="232">
      <c r="A232" s="11" t="n">
        <v>9</v>
      </c>
      <c r="B232" s="11" t="inlineStr">
        <is>
          <t>9.08</t>
        </is>
      </c>
      <c r="C232" s="12" t="inlineStr">
        <is>
          <t>When a lead goes cold</t>
        </is>
      </c>
      <c r="D232" s="12" t="inlineStr">
        <is>
          <t>Lead details</t>
        </is>
      </c>
      <c r="E232" s="13" t="inlineStr">
        <is>
          <t>Mark him lost as postponed, with a restart date</t>
        </is>
      </c>
      <c r="F232" s="14" t="inlineStr">
        <is>
          <t>1. Change "Reason" to Project postponed
2. "Expected restart (optional)": a date about three months away
3. Press "Save &amp; Move"</t>
        </is>
      </c>
      <c r="G232" s="14" t="inlineStr">
        <is>
          <t>"Under 6 months away — consider On Hold instead." appears; then "Moved to Lost" with an "Undo" button.</t>
        </is>
      </c>
      <c r="H232" s="12" t="inlineStr">
        <is>
          <t>Same as 1.0</t>
        </is>
      </c>
      <c r="I232" s="11" t="inlineStr">
        <is>
          <t>Dane</t>
        </is>
      </c>
      <c r="J232" s="15" t="n"/>
      <c r="K232" s="15" t="n"/>
      <c r="L232" s="15" t="n"/>
      <c r="M232" s="16" t="n"/>
      <c r="N232" s="17" t="n"/>
      <c r="O232" s="17" t="n"/>
      <c r="P232" s="15" t="n"/>
    </row>
    <row r="233">
      <c r="A233" s="11" t="n">
        <v>9</v>
      </c>
      <c r="B233" s="11" t="inlineStr">
        <is>
          <t>9.09</t>
        </is>
      </c>
      <c r="C233" s="12" t="inlineStr">
        <is>
          <t>When a lead goes cold</t>
        </is>
      </c>
      <c r="D233" s="12" t="inlineStr">
        <is>
          <t>Lead details</t>
        </is>
      </c>
      <c r="E233" s="13" t="inlineStr">
        <is>
          <t>Take the Lost move back</t>
        </is>
      </c>
      <c r="F233" s="14" t="inlineStr">
        <is>
          <t>1. Press "Undo" in the message straight away
2. Read the stage button and the "LEAD STAGES" card</t>
        </is>
      </c>
      <c r="G233" s="14" t="inlineStr">
        <is>
          <t>Jonathan is back at "Stage: Contacted" and the card has no Lost row.</t>
        </is>
      </c>
      <c r="H233" s="12" t="inlineStr">
        <is>
          <t>Same as 1.0</t>
        </is>
      </c>
      <c r="I233" s="11" t="inlineStr">
        <is>
          <t>Dane</t>
        </is>
      </c>
      <c r="J233" s="15" t="n"/>
      <c r="K233" s="15" t="n"/>
      <c r="L233" s="15" t="n"/>
      <c r="M233" s="16" t="n"/>
      <c r="N233" s="17" t="n"/>
      <c r="O233" s="17" t="n"/>
      <c r="P233" s="15" t="n"/>
    </row>
    <row r="234">
      <c r="A234" s="11" t="n">
        <v>9</v>
      </c>
      <c r="B234" s="11" t="inlineStr">
        <is>
          <t>9.10</t>
        </is>
      </c>
      <c r="C234" s="12" t="inlineStr">
        <is>
          <t>Send Qanvast leads back</t>
        </is>
      </c>
      <c r="D234" s="12" t="inlineStr">
        <is>
          <t>Leads</t>
        </is>
      </c>
      <c r="E234" s="13" t="inlineStr">
        <is>
          <t>Return a Qanvast lead, then undo it</t>
        </is>
      </c>
      <c r="F234" s="14" t="inlineStr">
        <is>
          <t>1. On Leads, open ⋮ on Gavin See's row, then "Return Lead"
2. Read the info line and point at "Rules"; "Select a reason": Lead not contactable, a first-outreach date, attempts 3
3. Press "Next", then "Confirm"
4. Press "Undo" in the message</t>
        </is>
      </c>
      <c r="G234" s="14" t="inlineStr">
        <is>
          <t>The line shows his return window and "0 of 2 returns used"; "Lead returned successfully"; after Undo he is back in Contacted.</t>
        </is>
      </c>
      <c r="H234" s="12" t="inlineStr">
        <is>
          <t>Different from 1.0: any stage; the wizard parks it Lost</t>
        </is>
      </c>
      <c r="I234" s="11" t="inlineStr">
        <is>
          <t>Dane</t>
        </is>
      </c>
      <c r="J234" s="15" t="n"/>
      <c r="K234" s="15" t="n"/>
      <c r="L234" s="15" t="n"/>
      <c r="M234" s="16" t="n"/>
      <c r="N234" s="17" t="n"/>
      <c r="O234" s="17" t="n"/>
      <c r="P234" s="15" t="n"/>
    </row>
    <row r="235">
      <c r="A235" s="11" t="n">
        <v>9</v>
      </c>
      <c r="B235" s="11" t="inlineStr">
        <is>
          <t>9.11</t>
        </is>
      </c>
      <c r="C235" s="12" t="inlineStr">
        <is>
          <t>Send Qanvast leads back</t>
        </is>
      </c>
      <c r="D235" s="12" t="inlineStr">
        <is>
          <t>Lead details</t>
        </is>
      </c>
      <c r="E235" s="13" t="inlineStr">
        <is>
          <t>Return another Qanvast lead for good</t>
        </is>
      </c>
      <c r="F235" s="14" t="inlineStr">
        <is>
          <t>1. Open Jasmine Lee, then ⋮ ("More options") › "Return Lead"
2. "Lead refused to meet up"; tick "Changed mind about renovation"; add the date and attempts
3. Press "Next", read "Term of service", press "Confirm"</t>
        </is>
      </c>
      <c r="G235" s="14" t="inlineStr">
        <is>
          <t>"Lead returned successfully"; her header shows RETURN PROCESSING, the stage is Lost, a "LEAD RETURNED" card appears and a "Respond to Qanvast team" task.</t>
        </is>
      </c>
      <c r="H235" s="12" t="inlineStr">
        <is>
          <t>Same as 1.0</t>
        </is>
      </c>
      <c r="I235" s="11" t="inlineStr">
        <is>
          <t>Dane</t>
        </is>
      </c>
      <c r="J235" s="15" t="n"/>
      <c r="K235" s="15" t="n"/>
      <c r="L235" s="15" t="n"/>
      <c r="M235" s="16" t="n"/>
      <c r="N235" s="17" t="n"/>
      <c r="O235" s="17" t="n"/>
      <c r="P235" s="15" t="n"/>
    </row>
    <row r="236">
      <c r="A236" s="11" t="n">
        <v>9</v>
      </c>
      <c r="B236" s="11" t="inlineStr">
        <is>
          <t>9.12</t>
        </is>
      </c>
      <c r="C236" s="12" t="inlineStr">
        <is>
          <t>Send Qanvast leads back</t>
        </is>
      </c>
      <c r="D236" s="12" t="inlineStr">
        <is>
          <t>Leads</t>
        </is>
      </c>
      <c r="E236" s="13" t="inlineStr">
        <is>
          <t>Track returns in Qanvast Ops and export them</t>
        </is>
      </c>
      <c r="F236" s="14" t="inlineStr">
        <is>
          <t>1. Click "Qanvast Ops" in the side navigation
2. Click "All Leads (…)", then "Return Processing"
3. Open ⋮ ("More options") › "Export all as…", press "Export"</t>
        </is>
      </c>
      <c r="G236" s="14" t="inlineStr">
        <is>
          <t>Jasmine Lee is listed RETURN PROCESSING with her Return window; a file downloads.</t>
        </is>
      </c>
      <c r="H236" s="12" t="inlineStr">
        <is>
          <t>Different from 1.0: the return window is shown, not enforced</t>
        </is>
      </c>
      <c r="I236" s="11" t="inlineStr">
        <is>
          <t>Dane</t>
        </is>
      </c>
      <c r="J236" s="15" t="n"/>
      <c r="K236" s="15" t="n"/>
      <c r="L236" s="15" t="n"/>
      <c r="M236" s="16" t="n"/>
      <c r="N236" s="17" t="n"/>
      <c r="O236" s="17" t="n"/>
      <c r="P236" s="15" t="n"/>
    </row>
    <row r="237">
      <c r="A237" s="11" t="n">
        <v>9</v>
      </c>
      <c r="B237" s="11" t="inlineStr">
        <is>
          <t>9.13</t>
        </is>
      </c>
      <c r="C237" s="12" t="inlineStr">
        <is>
          <t>Portal and tidy-up</t>
        </is>
      </c>
      <c r="D237" s="12" t="inlineStr">
        <is>
          <t>Lead details</t>
        </is>
      </c>
      <c r="E237" s="13" t="inlineStr">
        <is>
          <t>Invite a client to the homeowner portal</t>
        </is>
      </c>
      <c r="F237" s="14" t="inlineStr">
        <is>
          <t>1. Open Gerald Tan, then ⋮ ("More options") › "Invite to Portal"
2. Check the name and phone, press "Send via WhatsApp"
3. A WhatsApp tab opens — close it, do not send</t>
        </is>
      </c>
      <c r="G237" s="14" t="inlineStr">
        <is>
          <t>"WhatsApp opened with the invite"; the left column's "Portal" row reads "Invited" with today's date.</t>
        </is>
      </c>
      <c r="H237" s="12" t="inlineStr">
        <is>
          <t>Different from 1.0: sent by WhatsApp; the invite is recorded</t>
        </is>
      </c>
      <c r="I237" s="11" t="inlineStr">
        <is>
          <t>Dane</t>
        </is>
      </c>
      <c r="J237" s="15" t="n"/>
      <c r="K237" s="15" t="n"/>
      <c r="L237" s="15" t="n"/>
      <c r="M237" s="16" t="n"/>
      <c r="N237" s="17" t="n"/>
      <c r="O237" s="17" t="n"/>
      <c r="P237" s="15" t="n"/>
    </row>
    <row r="238">
      <c r="A238" s="11" t="n">
        <v>9</v>
      </c>
      <c r="B238" s="11" t="inlineStr">
        <is>
          <t>9.14</t>
        </is>
      </c>
      <c r="C238" s="12" t="inlineStr">
        <is>
          <t>Portal and tidy-up</t>
        </is>
      </c>
      <c r="D238" s="12" t="inlineStr">
        <is>
          <t>Leads</t>
        </is>
      </c>
      <c r="E238" s="13" t="inlineStr">
        <is>
          <t>Delete a lead you don't need</t>
        </is>
      </c>
      <c r="F238" s="14" t="inlineStr">
        <is>
          <t>1. On Leads, open ⋮ on Cheryl Lim's row, then "Delete"
2. "Reason": Duplicate
3. Press "Delete"</t>
        </is>
      </c>
      <c r="G238" s="14" t="inlineStr">
        <is>
          <t>"Delete this lead?" says she is deleted for good in 30 days; "Lead deleted" (with Undo) and she leaves the list.</t>
        </is>
      </c>
      <c r="H238" s="12" t="inlineStr">
        <is>
          <t>Different from 1.0: Delete with a reason replaces Archive</t>
        </is>
      </c>
      <c r="I238" s="11" t="inlineStr">
        <is>
          <t>Dane</t>
        </is>
      </c>
      <c r="J238" s="15" t="n"/>
      <c r="K238" s="15" t="n"/>
      <c r="L238" s="15" t="n"/>
      <c r="M238" s="16" t="n"/>
      <c r="N238" s="17" t="n"/>
      <c r="O238" s="17" t="n"/>
      <c r="P238" s="15" t="n"/>
    </row>
    <row r="239">
      <c r="A239" s="11" t="n">
        <v>9</v>
      </c>
      <c r="B239" s="11" t="inlineStr">
        <is>
          <t>9.15</t>
        </is>
      </c>
      <c r="C239" s="12" t="inlineStr">
        <is>
          <t>Portal and tidy-up</t>
        </is>
      </c>
      <c r="D239" s="12" t="inlineStr">
        <is>
          <t>Leads</t>
        </is>
      </c>
      <c r="E239" s="13" t="inlineStr">
        <is>
          <t>Bring the deleted lead back</t>
        </is>
      </c>
      <c r="F239" s="14" t="inlineStr">
        <is>
          <t>1. Click ⋮ ("More options"), then "Deleted Leads"
2. On Cheryl Lim's row press "Restore"
3. Close the sheet</t>
        </is>
      </c>
      <c r="G239" s="14" t="inlineStr">
        <is>
          <t>"Lead restored"; Cheryl Lim is back in the list at Contacted.</t>
        </is>
      </c>
      <c r="H239" s="12" t="inlineStr">
        <is>
          <t>Different from 1.0: Deleted Leads replaces Archived Leads</t>
        </is>
      </c>
      <c r="I239" s="11" t="inlineStr">
        <is>
          <t>Dane</t>
        </is>
      </c>
      <c r="J239" s="15" t="n"/>
      <c r="K239" s="15" t="n"/>
      <c r="L239" s="15" t="n"/>
      <c r="M239" s="16" t="n"/>
      <c r="N239" s="17" t="n"/>
      <c r="O239" s="17" t="n"/>
      <c r="P239" s="15" t="n"/>
    </row>
    <row r="240" ht="22" customHeight="1">
      <c r="A240" s="9" t="inlineStr">
        <is>
          <t>Chapter 10 · A designer’s day — View as Sarah, James and Hui Min — what each role sees and may do.</t>
        </is>
      </c>
      <c r="M240" s="10" t="n"/>
    </row>
    <row r="241">
      <c r="A241" s="11" t="n">
        <v>10</v>
      </c>
      <c r="B241" s="11" t="inlineStr">
        <is>
          <t>10.01</t>
        </is>
      </c>
      <c r="C241" s="12" t="inlineStr">
        <is>
          <t>Set the team rule</t>
        </is>
      </c>
      <c r="D241" s="12" t="inlineStr">
        <is>
          <t>Settings</t>
        </is>
      </c>
      <c r="E241" s="13" t="inlineStr">
        <is>
          <t>Let each person see only the leads they work on</t>
        </is>
      </c>
      <c r="F241" s="14" t="inlineStr">
        <is>
          <t>1. Side navigation "Settings" › "Lead management"
2. Under "Who sees leads", pick "Only the leads assigned to them"
3. Open the "Studio" tab and find "Who may do what"</t>
        </is>
      </c>
      <c r="G241" s="14" t="inlineStr">
        <is>
          <t>The choice stays picked; in "Who may do what", "See leads" reads "Their team’s" for Manager and "Their own" for Designer</t>
        </is>
      </c>
      <c r="H241" s="12" t="inlineStr">
        <is>
          <t>Different from 1.0: a studio rule, checked everywhere</t>
        </is>
      </c>
      <c r="I241" s="11" t="inlineStr">
        <is>
          <t>Dane</t>
        </is>
      </c>
      <c r="J241" s="15" t="n"/>
      <c r="K241" s="15" t="n"/>
      <c r="L241" s="15" t="n"/>
      <c r="M241" s="16" t="n"/>
      <c r="N241" s="17" t="n"/>
      <c r="O241" s="17" t="n"/>
      <c r="P241" s="15" t="n"/>
    </row>
    <row r="242">
      <c r="A242" s="11" t="n">
        <v>10</v>
      </c>
      <c r="B242" s="11" t="inlineStr">
        <is>
          <t>10.02</t>
        </is>
      </c>
      <c r="C242" s="12" t="inlineStr">
        <is>
          <t>A day as Sarah, designer</t>
        </is>
      </c>
      <c r="D242" s="12" t="inlineStr">
        <is>
          <t>Shell</t>
        </is>
      </c>
      <c r="E242" s="13" t="inlineStr">
        <is>
          <t>Switch to Sarah, a designer on James’s team</t>
        </is>
      </c>
      <c r="F242" s="14" t="inlineStr">
        <is>
          <t>1. Click the "Demo Studio" block at the bottom of the side navigation
2. In the "View as" menu, click "Sarah"</t>
        </is>
      </c>
      <c r="G242" s="14" t="inlineStr">
        <is>
          <t>The menu is tagged "Demo only" and lists the team with roles ("Designer · reports to James"); the block then reads "Viewing as Sarah"</t>
        </is>
      </c>
      <c r="H242" s="12" t="inlineStr">
        <is>
          <t>New in 2.0</t>
        </is>
      </c>
      <c r="I242" s="18" t="inlineStr">
        <is>
          <t>Sarah</t>
        </is>
      </c>
      <c r="J242" s="15" t="n"/>
      <c r="K242" s="15" t="n"/>
      <c r="L242" s="15" t="n"/>
      <c r="M242" s="16" t="n"/>
      <c r="N242" s="17" t="n"/>
      <c r="O242" s="17" t="n"/>
      <c r="P242" s="15" t="n"/>
    </row>
    <row r="243">
      <c r="A243" s="11" t="n">
        <v>10</v>
      </c>
      <c r="B243" s="11" t="inlineStr">
        <is>
          <t>10.03</t>
        </is>
      </c>
      <c r="C243" s="12" t="inlineStr">
        <is>
          <t>A day as Sarah, designer</t>
        </is>
      </c>
      <c r="D243" s="12" t="inlineStr">
        <is>
          <t>Leads</t>
        </is>
      </c>
      <c r="E243" s="13" t="inlineStr">
        <is>
          <t>Check Sarah sees only her own leads</t>
        </is>
      </c>
      <c r="F243" s="14" t="inlineStr">
        <is>
          <t>1. Open "Leads"
2. Read the list and the count on the "All Leads" pill</t>
        </is>
      </c>
      <c r="G243" s="14" t="inlineStr">
        <is>
          <t>Only her leads, e.g. Farah Ahmad, Grace Lim, Harpreet Kaur, Kenji Sato (and Sophia Wong if hers); no Gerald Tan or Serena Koh</t>
        </is>
      </c>
      <c r="H243" s="12" t="inlineStr">
        <is>
          <t>Different from 1.0: 1.0 hid other leads only on screen</t>
        </is>
      </c>
      <c r="I243" s="18" t="inlineStr">
        <is>
          <t>Sarah</t>
        </is>
      </c>
      <c r="J243" s="15" t="n"/>
      <c r="K243" s="15" t="n"/>
      <c r="L243" s="15" t="n"/>
      <c r="M243" s="16" t="n"/>
      <c r="N243" s="17" t="n"/>
      <c r="O243" s="17" t="n"/>
      <c r="P243" s="15" t="n"/>
    </row>
    <row r="244">
      <c r="A244" s="11" t="n">
        <v>10</v>
      </c>
      <c r="B244" s="11" t="inlineStr">
        <is>
          <t>10.04</t>
        </is>
      </c>
      <c r="C244" s="12" t="inlineStr">
        <is>
          <t>A day as Sarah, designer</t>
        </is>
      </c>
      <c r="D244" s="12" t="inlineStr">
        <is>
          <t>Leads</t>
        </is>
      </c>
      <c r="E244" s="13" t="inlineStr">
        <is>
          <t>Try to hand one of her leads to someone else</t>
        </is>
      </c>
      <c r="F244" s="14" t="inlineStr">
        <is>
          <t>1. On Harpreet Kaur’s row, click the person-plus icon ("Assign members") in "Members"
2. Try to tick another member</t>
        </is>
      </c>
      <c r="G244" s="14" t="inlineStr">
        <is>
          <t>"Assign Member" opens but nothing can be ticked; it says "Designers keep the leads assigned to them. Ask your manager to reassign."</t>
        </is>
      </c>
      <c r="H244" s="12" t="inlineStr">
        <is>
          <t>Different from 1.0: designers could reassign in 1.0</t>
        </is>
      </c>
      <c r="I244" s="18" t="inlineStr">
        <is>
          <t>Sarah</t>
        </is>
      </c>
      <c r="J244" s="15" t="n"/>
      <c r="K244" s="15" t="n"/>
      <c r="L244" s="15" t="n"/>
      <c r="M244" s="16" t="n"/>
      <c r="N244" s="17" t="n"/>
      <c r="O244" s="17" t="n"/>
      <c r="P244" s="15" t="n"/>
    </row>
    <row r="245">
      <c r="A245" s="11" t="n">
        <v>10</v>
      </c>
      <c r="B245" s="11" t="inlineStr">
        <is>
          <t>10.05</t>
        </is>
      </c>
      <c r="C245" s="12" t="inlineStr">
        <is>
          <t>A day as Sarah, designer</t>
        </is>
      </c>
      <c r="D245" s="12" t="inlineStr">
        <is>
          <t>Price book</t>
        </is>
      </c>
      <c r="E245" s="13" t="inlineStr">
        <is>
          <t>Propose a new item for the price book</t>
        </is>
      </c>
      <c r="F245" s="14" t="inlineStr">
        <is>
          <t>1. Side navigation "Company" › "Price book" › "New" › "Propose an item"
2. "Item name": Rattan wardrobe door · "Unit": Pieces · "Cost (S$)": 180 · "Markup (S$)": 70 · "Category": Carpentry
3. Click "Propose"</t>
        </is>
      </c>
      <c r="G245" s="14" t="inlineStr">
        <is>
          <t>"Rattan wardrobe door proposed — it’s on your quotes now; an Owner or an Admin approves it for the studio"; the item wears a "Proposed" chip</t>
        </is>
      </c>
      <c r="H245" s="12" t="inlineStr">
        <is>
          <t>Different from 1.0: 1.0’s pending items were live for everyone</t>
        </is>
      </c>
      <c r="I245" s="18" t="inlineStr">
        <is>
          <t>Sarah</t>
        </is>
      </c>
      <c r="J245" s="15" t="n"/>
      <c r="K245" s="15" t="n"/>
      <c r="L245" s="15" t="n"/>
      <c r="M245" s="16" t="n"/>
      <c r="N245" s="17" t="n"/>
      <c r="O245" s="17" t="n"/>
      <c r="P245" s="15" t="n"/>
    </row>
    <row r="246">
      <c r="A246" s="11" t="n">
        <v>10</v>
      </c>
      <c r="B246" s="11" t="inlineStr">
        <is>
          <t>10.06</t>
        </is>
      </c>
      <c r="C246" s="12" t="inlineStr">
        <is>
          <t>A day as Sarah, designer</t>
        </is>
      </c>
      <c r="D246" s="12" t="inlineStr">
        <is>
          <t>Templates</t>
        </is>
      </c>
      <c r="E246" s="13" t="inlineStr">
        <is>
          <t>Design a quote template and submit it for approval</t>
        </is>
      </c>
      <c r="F246" s="14" t="inlineStr">
        <is>
          <t>1. "Company" › "Templates" › "Quotes" › "New" › "Use a ready-made design"
2. Pick "Scope", type Sarah Scope in "Template name", click "Create template"
3. Click "Submit for approval", write a note in "What changed", click "Submit"</t>
        </is>
      </c>
      <c r="G246" s="14" t="inlineStr">
        <is>
          <t>"Submitted for approval"; a bar says Sarah submitted it and "Awaiting an Owner or Admin", and the design is locked</t>
        </is>
      </c>
      <c r="H246" s="12" t="inlineStr">
        <is>
          <t>Different from 1.0: any role could change templates</t>
        </is>
      </c>
      <c r="I246" s="18" t="inlineStr">
        <is>
          <t>Sarah</t>
        </is>
      </c>
      <c r="J246" s="15" t="n"/>
      <c r="K246" s="15" t="n"/>
      <c r="L246" s="15" t="n"/>
      <c r="M246" s="16" t="n"/>
      <c r="N246" s="17" t="n"/>
      <c r="O246" s="17" t="n"/>
      <c r="P246" s="15" t="n"/>
    </row>
    <row r="247">
      <c r="A247" s="11" t="n">
        <v>10</v>
      </c>
      <c r="B247" s="11" t="inlineStr">
        <is>
          <t>10.07</t>
        </is>
      </c>
      <c r="C247" s="12" t="inlineStr">
        <is>
          <t>A day as Sarah, designer</t>
        </is>
      </c>
      <c r="D247" s="12" t="inlineStr">
        <is>
          <t>Quotes</t>
        </is>
      </c>
      <c r="E247" s="13" t="inlineStr">
        <is>
          <t>Revise Harpreet Kaur’s quote and send it for approval</t>
        </is>
      </c>
      <c r="F247" s="14" t="inlineStr">
        <is>
          <t>1. Open Harpreet Kaur › "Quotes" and open her quote
2. Click ⋮ "More options" › "Revise — new version", then "Start version …"
3. Click "Send"</t>
        </is>
      </c>
      <c r="G247" s="14" t="inlineStr">
        <is>
          <t>The status becomes "Sent for Approval"; a bar says Sarah sent it for approval, "Waiting for an Owner, an Admin or the backup approver"</t>
        </is>
      </c>
      <c r="H247" s="12" t="inlineStr">
        <is>
          <t>Same as 1.0</t>
        </is>
      </c>
      <c r="I247" s="18" t="inlineStr">
        <is>
          <t>Sarah</t>
        </is>
      </c>
      <c r="J247" s="15" t="n"/>
      <c r="K247" s="15" t="n"/>
      <c r="L247" s="15" t="n"/>
      <c r="M247" s="16" t="n"/>
      <c r="N247" s="17" t="n"/>
      <c r="O247" s="17" t="n"/>
      <c r="P247" s="15" t="n"/>
    </row>
    <row r="248">
      <c r="A248" s="11" t="n">
        <v>10</v>
      </c>
      <c r="B248" s="11" t="inlineStr">
        <is>
          <t>10.08</t>
        </is>
      </c>
      <c r="C248" s="12" t="inlineStr">
        <is>
          <t>A day as Sarah, designer</t>
        </is>
      </c>
      <c r="D248" s="12" t="inlineStr">
        <is>
          <t>Settings</t>
        </is>
      </c>
      <c r="E248" s="13" t="inlineStr">
        <is>
          <t>Open Settings as a designer</t>
        </is>
      </c>
      <c r="F248" s="14" t="inlineStr">
        <is>
          <t>1. Side navigation "Settings" › "Lead management"
2. Try to change a choice or a switch</t>
        </is>
      </c>
      <c r="G248" s="14" t="inlineStr">
        <is>
          <t>Every value shows but nothing changes; a lock line under the title reads "Only Owners and Admins change these."</t>
        </is>
      </c>
      <c r="H248" s="12" t="inlineStr">
        <is>
          <t>Different from 1.0: 1.0 let almost anyone change settings</t>
        </is>
      </c>
      <c r="I248" s="18" t="inlineStr">
        <is>
          <t>Sarah</t>
        </is>
      </c>
      <c r="J248" s="15" t="n"/>
      <c r="K248" s="15" t="n"/>
      <c r="L248" s="15" t="n"/>
      <c r="M248" s="16" t="n"/>
      <c r="N248" s="17" t="n"/>
      <c r="O248" s="17" t="n"/>
      <c r="P248" s="15" t="n"/>
    </row>
    <row r="249">
      <c r="A249" s="11" t="n">
        <v>10</v>
      </c>
      <c r="B249" s="11" t="inlineStr">
        <is>
          <t>10.09</t>
        </is>
      </c>
      <c r="C249" s="12" t="inlineStr">
        <is>
          <t>James, the manager</t>
        </is>
      </c>
      <c r="D249" s="12" t="inlineStr">
        <is>
          <t>Leads</t>
        </is>
      </c>
      <c r="E249" s="13" t="inlineStr">
        <is>
          <t>Switch to James and see his team’s leads</t>
        </is>
      </c>
      <c r="F249" s="14" t="inlineStr">
        <is>
          <t>1. "Demo Studio" block › "View as" › "James"
2. Open "Leads"</t>
        </is>
      </c>
      <c r="G249" s="14" t="inlineStr">
        <is>
          <t>His own and his designers’ leads — e.g. Arjun Mehta, Harpreet Kaur (Sarah’s), Aisha Rahman (Michelle’s) — but not Serena Koh or Jonathan Teo</t>
        </is>
      </c>
      <c r="H249" s="12" t="inlineStr">
        <is>
          <t>Different from 1.0: managers were a one-studio add-on</t>
        </is>
      </c>
      <c r="I249" s="18" t="inlineStr">
        <is>
          <t>James</t>
        </is>
      </c>
      <c r="J249" s="15" t="n"/>
      <c r="K249" s="15" t="n"/>
      <c r="L249" s="15" t="n"/>
      <c r="M249" s="16" t="n"/>
      <c r="N249" s="17" t="n"/>
      <c r="O249" s="17" t="n"/>
      <c r="P249" s="15" t="n"/>
    </row>
    <row r="250">
      <c r="A250" s="11" t="n">
        <v>10</v>
      </c>
      <c r="B250" s="11" t="inlineStr">
        <is>
          <t>10.10</t>
        </is>
      </c>
      <c r="C250" s="12" t="inlineStr">
        <is>
          <t>James, the manager</t>
        </is>
      </c>
      <c r="D250" s="12" t="inlineStr">
        <is>
          <t>Leads</t>
        </is>
      </c>
      <c r="E250" s="13" t="inlineStr">
        <is>
          <t>Reassign a lead within James’s team only</t>
        </is>
      </c>
      <c r="F250" s="14" t="inlineStr">
        <is>
          <t>1. On Grace Lim’s row, click the person-plus icon ("Assign members")
2. See who can be ticked, then close without saving</t>
        </is>
      </c>
      <c r="G250" s="14" t="inlineStr">
        <is>
          <t>Only James, Sarah and Michelle can be ticked; every other member is greyed out</t>
        </is>
      </c>
      <c r="H250" s="12" t="inlineStr">
        <is>
          <t>Same as 1.0</t>
        </is>
      </c>
      <c r="I250" s="18" t="inlineStr">
        <is>
          <t>James</t>
        </is>
      </c>
      <c r="J250" s="15" t="n"/>
      <c r="K250" s="15" t="n"/>
      <c r="L250" s="15" t="n"/>
      <c r="M250" s="16" t="n"/>
      <c r="N250" s="17" t="n"/>
      <c r="O250" s="17" t="n"/>
      <c r="P250" s="15" t="n"/>
    </row>
    <row r="251">
      <c r="A251" s="11" t="n">
        <v>10</v>
      </c>
      <c r="B251" s="11" t="inlineStr">
        <is>
          <t>10.11</t>
        </is>
      </c>
      <c r="C251" s="12" t="inlineStr">
        <is>
          <t>Back to Dane: answer the team</t>
        </is>
      </c>
      <c r="D251" s="12" t="inlineStr">
        <is>
          <t>Notifications</t>
        </is>
      </c>
      <c r="E251" s="13" t="inlineStr">
        <is>
          <t>Return to Dane and see what is waiting</t>
        </is>
      </c>
      <c r="F251" s="14" t="inlineStr">
        <is>
          <t>1. "Demo Studio" block › "View as" › "Dane"
2. Click "Notifications" (the bell)
3. Close it and click "Company" in the side navigation</t>
        </is>
      </c>
      <c r="G251" s="14" t="inlineStr">
        <is>
          <t>The bell has "Quote OM-10006 needs your approval" and "Sarah proposed “Rattan wardrobe door” for My Items"; Company shows awaiting and proposed counts</t>
        </is>
      </c>
      <c r="H251" s="12" t="inlineStr">
        <is>
          <t>Different from 1.0: bell notices instead of approval tasks</t>
        </is>
      </c>
      <c r="I251" s="11" t="inlineStr">
        <is>
          <t>Dane</t>
        </is>
      </c>
      <c r="J251" s="15" t="n"/>
      <c r="K251" s="15" t="n"/>
      <c r="L251" s="15" t="n"/>
      <c r="M251" s="16" t="n"/>
      <c r="N251" s="17" t="n"/>
      <c r="O251" s="17" t="n"/>
      <c r="P251" s="15" t="n"/>
    </row>
    <row r="252">
      <c r="A252" s="11" t="n">
        <v>10</v>
      </c>
      <c r="B252" s="11" t="inlineStr">
        <is>
          <t>10.12</t>
        </is>
      </c>
      <c r="C252" s="12" t="inlineStr">
        <is>
          <t>Back to Dane: answer the team</t>
        </is>
      </c>
      <c r="D252" s="12" t="inlineStr">
        <is>
          <t>Quotes</t>
        </is>
      </c>
      <c r="E252" s="13" t="inlineStr">
        <is>
          <t>Approve Sarah’s quote</t>
        </is>
      </c>
      <c r="F252" s="14" t="inlineStr">
        <is>
          <t>1. In the bell, click "Quote OM-10006 needs your approval"
2. Click "Approve" in the bar under the tabs</t>
        </is>
      </c>
      <c r="G252" s="14" t="inlineStr">
        <is>
          <t>The bar named Sarah as the sender; after Approve, "Quote approved — Sarah can send it to the client" and the status reads "Approved"</t>
        </is>
      </c>
      <c r="H252" s="12" t="inlineStr">
        <is>
          <t>Same as 1.0</t>
        </is>
      </c>
      <c r="I252" s="11" t="inlineStr">
        <is>
          <t>Dane</t>
        </is>
      </c>
      <c r="J252" s="15" t="n"/>
      <c r="K252" s="15" t="n"/>
      <c r="L252" s="15" t="n"/>
      <c r="M252" s="16" t="n"/>
      <c r="N252" s="17" t="n"/>
      <c r="O252" s="17" t="n"/>
      <c r="P252" s="15" t="n"/>
    </row>
    <row r="253">
      <c r="A253" s="11" t="n">
        <v>10</v>
      </c>
      <c r="B253" s="11" t="inlineStr">
        <is>
          <t>10.13</t>
        </is>
      </c>
      <c r="C253" s="12" t="inlineStr">
        <is>
          <t>Back to Dane: answer the team</t>
        </is>
      </c>
      <c r="D253" s="12" t="inlineStr">
        <is>
          <t>Price book</t>
        </is>
      </c>
      <c r="E253" s="13" t="inlineStr">
        <is>
          <t>Send Sarah’s price-book item back with a note</t>
        </is>
      </c>
      <c r="F253" s="14" t="inlineStr">
        <is>
          <t>1. "Company" › "Price book", click the "Proposed" filter
2. Open "Rattan wardrobe door"
3. Click "Send back…", write what should change, click "Send back"</t>
        </is>
      </c>
      <c r="G253" s="14" t="inlineStr">
        <is>
          <t>The item showed "Sarah proposed this item …" with "Send back…" and "Approve"; once sent back it leaves My Items</t>
        </is>
      </c>
      <c r="H253" s="12" t="inlineStr">
        <is>
          <t>Different from 1.0: the note reaches the bell, not e-mail</t>
        </is>
      </c>
      <c r="I253" s="11" t="inlineStr">
        <is>
          <t>Dane</t>
        </is>
      </c>
      <c r="J253" s="15" t="n"/>
      <c r="K253" s="15" t="n"/>
      <c r="L253" s="15" t="n"/>
      <c r="M253" s="16" t="n"/>
      <c r="N253" s="17" t="n"/>
      <c r="O253" s="17" t="n"/>
      <c r="P253" s="15" t="n"/>
    </row>
    <row r="254">
      <c r="A254" s="11" t="n">
        <v>10</v>
      </c>
      <c r="B254" s="11" t="inlineStr">
        <is>
          <t>10.14</t>
        </is>
      </c>
      <c r="C254" s="12" t="inlineStr">
        <is>
          <t>Back to Dane: answer the team</t>
        </is>
      </c>
      <c r="D254" s="12" t="inlineStr">
        <is>
          <t>Templates</t>
        </is>
      </c>
      <c r="E254" s="13" t="inlineStr">
        <is>
          <t>Approve and publish Sarah’s template</t>
        </is>
      </c>
      <c r="F254" s="14" t="inlineStr">
        <is>
          <t>1. "Company" › "Templates" › "Quotes", open "Sarah Scope" (marked "Awaiting approval")
2. Click "Approve and publish" in the bar
3. Click "Approve and publish" in the window</t>
        </is>
      </c>
      <c r="G254" s="14" t="inlineStr">
        <is>
          <t>"Sarah Scope approved and published"; its card no longer says "Awaiting approval"</t>
        </is>
      </c>
      <c r="H254" s="12" t="inlineStr">
        <is>
          <t>New in 2.0</t>
        </is>
      </c>
      <c r="I254" s="11" t="inlineStr">
        <is>
          <t>Dane</t>
        </is>
      </c>
      <c r="J254" s="15" t="n"/>
      <c r="K254" s="15" t="n"/>
      <c r="L254" s="15" t="n"/>
      <c r="M254" s="16" t="n"/>
      <c r="N254" s="17" t="n"/>
      <c r="O254" s="17" t="n"/>
      <c r="P254" s="15" t="n"/>
    </row>
    <row r="255">
      <c r="A255" s="11" t="n">
        <v>10</v>
      </c>
      <c r="B255" s="11" t="inlineStr">
        <is>
          <t>10.15</t>
        </is>
      </c>
      <c r="C255" s="12" t="inlineStr">
        <is>
          <t>An Admin’s view</t>
        </is>
      </c>
      <c r="D255" s="12" t="inlineStr">
        <is>
          <t>Settings</t>
        </is>
      </c>
      <c r="E255" s="13" t="inlineStr">
        <is>
          <t>Switch to Hui Min, the Admin, and reopen every lead</t>
        </is>
      </c>
      <c r="F255" s="14" t="inlineStr">
        <is>
          <t>1. "Demo Studio" block › "View as" › "Hui Min"
2. Open "Leads" and look for Gerald Tan
3. "Settings" › "Lead management" › "Who sees leads" › "Everyone sees every lead"</t>
        </is>
      </c>
      <c r="G255" s="14" t="inlineStr">
        <is>
          <t>Hui Min sees every lead, and Settings has no lock line; the rule goes back to everyone</t>
        </is>
      </c>
      <c r="H255" s="12" t="inlineStr">
        <is>
          <t>Same as 1.0</t>
        </is>
      </c>
      <c r="I255" s="18" t="inlineStr">
        <is>
          <t>Hui Min</t>
        </is>
      </c>
      <c r="J255" s="15" t="n"/>
      <c r="K255" s="15" t="n"/>
      <c r="L255" s="15" t="n"/>
      <c r="M255" s="16" t="n"/>
      <c r="N255" s="17" t="n"/>
      <c r="O255" s="17" t="n"/>
      <c r="P255" s="15" t="n"/>
    </row>
    <row r="256">
      <c r="A256" s="11" t="n">
        <v>10</v>
      </c>
      <c r="B256" s="11" t="inlineStr">
        <is>
          <t>10.16</t>
        </is>
      </c>
      <c r="C256" s="12" t="inlineStr">
        <is>
          <t>An Admin’s view</t>
        </is>
      </c>
      <c r="D256" s="12" t="inlineStr">
        <is>
          <t>Shell</t>
        </is>
      </c>
      <c r="E256" s="13" t="inlineStr">
        <is>
          <t>Go back to being Dane</t>
        </is>
      </c>
      <c r="F256" s="14" t="inlineStr">
        <is>
          <t>1. "Demo Studio" block › "View as" › "Dane"</t>
        </is>
      </c>
      <c r="G256" s="14" t="inlineStr">
        <is>
          <t>The block reads "Dane Bruce Lee" again and the Leads list shows every lead</t>
        </is>
      </c>
      <c r="H256" s="12" t="inlineStr">
        <is>
          <t>New in 2.0</t>
        </is>
      </c>
      <c r="I256" s="11" t="inlineStr">
        <is>
          <t>Dane</t>
        </is>
      </c>
      <c r="J256" s="15" t="n"/>
      <c r="K256" s="15" t="n"/>
      <c r="L256" s="15" t="n"/>
      <c r="M256" s="16" t="n"/>
      <c r="N256" s="17" t="n"/>
      <c r="O256" s="17" t="n"/>
      <c r="P256" s="15" t="n"/>
    </row>
    <row r="257" ht="22" customHeight="1">
      <c r="A257" s="9" t="inlineStr">
        <is>
          <t>Chapter 11 · The owner’s week — Tasks, the bell, Insights and the studio-wide lists.</t>
        </is>
      </c>
      <c r="M257" s="10" t="n"/>
    </row>
    <row r="258">
      <c r="A258" s="11" t="n">
        <v>11</v>
      </c>
      <c r="B258" s="11" t="inlineStr">
        <is>
          <t>11.01</t>
        </is>
      </c>
      <c r="C258" s="12" t="inlineStr">
        <is>
          <t>Monday morning: what needs doing</t>
        </is>
      </c>
      <c r="D258" s="12" t="inlineStr">
        <is>
          <t>Tasks</t>
        </is>
      </c>
      <c r="E258" s="13" t="inlineStr">
        <is>
          <t>See every task in the studio in one list</t>
        </is>
      </c>
      <c r="F258" s="14" t="inlineStr">
        <is>
          <t>1. Click "Tasks" in the side navigation</t>
        </is>
      </c>
      <c r="G258" s="14" t="inlineStr">
        <is>
          <t>"Tasks" lists every lead's tasks and the studio's own, with a "Lead" column; the side navigation's Tasks item counts the overdue ones.</t>
        </is>
      </c>
      <c r="H258" s="12" t="inlineStr">
        <is>
          <t>Same as 1.0</t>
        </is>
      </c>
      <c r="I258" s="11" t="inlineStr">
        <is>
          <t>Dane</t>
        </is>
      </c>
      <c r="J258" s="15" t="n"/>
      <c r="K258" s="15" t="n"/>
      <c r="L258" s="15" t="n"/>
      <c r="M258" s="16" t="n"/>
      <c r="N258" s="17" t="n"/>
      <c r="O258" s="17" t="n"/>
      <c r="P258" s="15" t="n"/>
    </row>
    <row r="259">
      <c r="A259" s="11" t="n">
        <v>11</v>
      </c>
      <c r="B259" s="11" t="inlineStr">
        <is>
          <t>11.02</t>
        </is>
      </c>
      <c r="C259" s="12" t="inlineStr">
        <is>
          <t>Monday morning: what needs doing</t>
        </is>
      </c>
      <c r="D259" s="12" t="inlineStr">
        <is>
          <t>Tasks</t>
        </is>
      </c>
      <c r="E259" s="13" t="inlineStr">
        <is>
          <t>Add a studio chore that belongs to no lead</t>
        </is>
      </c>
      <c r="F259" s="14" t="inlineStr">
        <is>
          <t>1. Click "Add Task" › "Create New Task"
2. Type Order new sample boards for the showroom, leave the Lead cell on "Studio", press Enter, then Esc
3. Click the "All Tasks" chip › "Studio Tasks"</t>
        </is>
      </c>
      <c r="G259" s="14" t="inlineStr">
        <is>
          <t>"Task added"; Studio Tasks lists it with the studio's other chores (e.g. "Update the showroom price list for Q4"), each reading "Studio" as its Lead.</t>
        </is>
      </c>
      <c r="H259" s="12" t="inlineStr">
        <is>
          <t>Same as 1.0</t>
        </is>
      </c>
      <c r="I259" s="11" t="inlineStr">
        <is>
          <t>Dane</t>
        </is>
      </c>
      <c r="J259" s="15" t="n"/>
      <c r="K259" s="15" t="n"/>
      <c r="L259" s="15" t="n"/>
      <c r="M259" s="16" t="n"/>
      <c r="N259" s="17" t="n"/>
      <c r="O259" s="17" t="n"/>
      <c r="P259" s="15" t="n"/>
    </row>
    <row r="260">
      <c r="A260" s="11" t="n">
        <v>11</v>
      </c>
      <c r="B260" s="11" t="inlineStr">
        <is>
          <t>11.03</t>
        </is>
      </c>
      <c r="C260" s="12" t="inlineStr">
        <is>
          <t>Monday morning: what needs doing</t>
        </is>
      </c>
      <c r="D260" s="12" t="inlineStr">
        <is>
          <t>Tasks</t>
        </is>
      </c>
      <c r="E260" s="13" t="inlineStr">
        <is>
          <t>Show only Sophia Wong's tasks</t>
        </is>
      </c>
      <c r="F260" s="14" t="inlineStr">
        <is>
          <t>1. Switch the chip back to "All Tasks"
2. Click the "Filters" icon, open "Lead" and tick Sophia Wong
3. Click "Done"</t>
        </is>
      </c>
      <c r="G260" s="14" t="inlineStr">
        <is>
          <t>Only Sophia Wong's tasks from the earlier chapters remain; the Filters icon shows 1.</t>
        </is>
      </c>
      <c r="H260" s="12" t="inlineStr">
        <is>
          <t>Same as 1.0</t>
        </is>
      </c>
      <c r="I260" s="11" t="inlineStr">
        <is>
          <t>Dane</t>
        </is>
      </c>
      <c r="J260" s="15" t="n"/>
      <c r="K260" s="15" t="n"/>
      <c r="L260" s="15" t="n"/>
      <c r="M260" s="16" t="n"/>
      <c r="N260" s="17" t="n"/>
      <c r="O260" s="17" t="n"/>
      <c r="P260" s="15" t="n"/>
    </row>
    <row r="261">
      <c r="A261" s="11" t="n">
        <v>11</v>
      </c>
      <c r="B261" s="11" t="inlineStr">
        <is>
          <t>11.04</t>
        </is>
      </c>
      <c r="C261" s="12" t="inlineStr">
        <is>
          <t>What happened this week</t>
        </is>
      </c>
      <c r="D261" s="12" t="inlineStr">
        <is>
          <t>Notifications</t>
        </is>
      </c>
      <c r="E261" s="13" t="inlineStr">
        <is>
          <t>Catch up on the week in the bell</t>
        </is>
      </c>
      <c r="F261" s="14" t="inlineStr">
        <is>
          <t>1. Click "Notifications" (the bell) in the side navigation
2. Read the list</t>
        </is>
      </c>
      <c r="G261" s="14" t="inlineStr">
        <is>
          <t>Newest first: the week's notices, e.g. Sarah's proposed item and her quote for approval; follow-ups such as "… has had no contact yet" read "Due".</t>
        </is>
      </c>
      <c r="H261" s="12" t="inlineStr">
        <is>
          <t>Different from 1.0: follow-ups due are listed, not scheduled</t>
        </is>
      </c>
      <c r="I261" s="11" t="inlineStr">
        <is>
          <t>Dane</t>
        </is>
      </c>
      <c r="J261" s="15" t="n"/>
      <c r="K261" s="15" t="n"/>
      <c r="L261" s="15" t="n"/>
      <c r="M261" s="16" t="n"/>
      <c r="N261" s="17" t="n"/>
      <c r="O261" s="17" t="n"/>
      <c r="P261" s="15" t="n"/>
    </row>
    <row r="262">
      <c r="A262" s="11" t="n">
        <v>11</v>
      </c>
      <c r="B262" s="11" t="inlineStr">
        <is>
          <t>11.05</t>
        </is>
      </c>
      <c r="C262" s="12" t="inlineStr">
        <is>
          <t>What happened this week</t>
        </is>
      </c>
      <c r="D262" s="12" t="inlineStr">
        <is>
          <t>Notifications</t>
        </is>
      </c>
      <c r="E262" s="13" t="inlineStr">
        <is>
          <t>Open a notice and land on its record</t>
        </is>
      </c>
      <c r="F262" s="14" t="inlineStr">
        <is>
          <t>1. In the bell, click a row that has a dot
2. Note where you land
3. Open the bell again</t>
        </is>
      </c>
      <c r="G262" s="14" t="inlineStr">
        <is>
          <t>The notice's record opens (a lead, a quote or My Items); back in the bell, that row has lost its dot.</t>
        </is>
      </c>
      <c r="H262" s="12" t="inlineStr">
        <is>
          <t>Same as 1.0</t>
        </is>
      </c>
      <c r="I262" s="11" t="inlineStr">
        <is>
          <t>Dane</t>
        </is>
      </c>
      <c r="J262" s="15" t="n"/>
      <c r="K262" s="15" t="n"/>
      <c r="L262" s="15" t="n"/>
      <c r="M262" s="16" t="n"/>
      <c r="N262" s="17" t="n"/>
      <c r="O262" s="17" t="n"/>
      <c r="P262" s="15" t="n"/>
    </row>
    <row r="263">
      <c r="A263" s="11" t="n">
        <v>11</v>
      </c>
      <c r="B263" s="11" t="inlineStr">
        <is>
          <t>11.06</t>
        </is>
      </c>
      <c r="C263" s="12" t="inlineStr">
        <is>
          <t>What happened this week</t>
        </is>
      </c>
      <c r="D263" s="12" t="inlineStr">
        <is>
          <t>Notifications</t>
        </is>
      </c>
      <c r="E263" s="13" t="inlineStr">
        <is>
          <t>Clear the unread notices in one go</t>
        </is>
      </c>
      <c r="F263" s="14" t="inlineStr">
        <is>
          <t>1. In the bell, click "Mark all as read" (the ✓ at the top)
2. Read the message at the bottom</t>
        </is>
      </c>
      <c r="G263" s="14" t="inlineStr">
        <is>
          <t>Every dot goes; the message says "All caught up" or that the follow-ups due stay until done; the "Due" rows remain.</t>
        </is>
      </c>
      <c r="H263" s="12" t="inlineStr">
        <is>
          <t>Different from 1.0: a follow-up stays until the work is done</t>
        </is>
      </c>
      <c r="I263" s="11" t="inlineStr">
        <is>
          <t>Dane</t>
        </is>
      </c>
      <c r="J263" s="15" t="n"/>
      <c r="K263" s="15" t="n"/>
      <c r="L263" s="15" t="n"/>
      <c r="M263" s="16" t="n"/>
      <c r="N263" s="17" t="n"/>
      <c r="O263" s="17" t="n"/>
      <c r="P263" s="15" t="n"/>
    </row>
    <row r="264">
      <c r="A264" s="11" t="n">
        <v>11</v>
      </c>
      <c r="B264" s="11" t="inlineStr">
        <is>
          <t>11.07</t>
        </is>
      </c>
      <c r="C264" s="12" t="inlineStr">
        <is>
          <t>What happened this week</t>
        </is>
      </c>
      <c r="D264" s="12" t="inlineStr">
        <is>
          <t>Notifications</t>
        </is>
      </c>
      <c r="E264" s="13" t="inlineStr">
        <is>
          <t>Jump from the bell to the notification rules and back</t>
        </is>
      </c>
      <c r="F264" s="14" t="inlineStr">
        <is>
          <t>1. In the bell, click "Notification settings"
2. Read "Follow-ups"
3. Click the back arrow, top left</t>
        </is>
      </c>
      <c r="G264" s="14" t="inlineStr">
        <is>
          <t>Settings opens on "Notifications": untouched leads raised after "30 minutes", no follow-ups once Won, Lost or On Hold; Back returns you.</t>
        </is>
      </c>
      <c r="H264" s="12" t="inlineStr">
        <is>
          <t>Different from 1.0: set per event, with a follow-up delay</t>
        </is>
      </c>
      <c r="I264" s="11" t="inlineStr">
        <is>
          <t>Dane</t>
        </is>
      </c>
      <c r="J264" s="15" t="n"/>
      <c r="K264" s="15" t="n"/>
      <c r="L264" s="15" t="n"/>
      <c r="M264" s="16" t="n"/>
      <c r="N264" s="17" t="n"/>
      <c r="O264" s="17" t="n"/>
      <c r="P264" s="15" t="n"/>
    </row>
    <row r="265">
      <c r="A265" s="11" t="n">
        <v>11</v>
      </c>
      <c r="B265" s="11" t="inlineStr">
        <is>
          <t>11.08</t>
        </is>
      </c>
      <c r="C265" s="12" t="inlineStr">
        <is>
          <t>How the team is doing</t>
        </is>
      </c>
      <c r="D265" s="12" t="inlineStr">
        <is>
          <t>Insights</t>
        </is>
      </c>
      <c r="E265" s="13" t="inlineStr">
        <is>
          <t>See how fast the team answers and wins leads</t>
        </is>
      </c>
      <c r="F265" s="14" t="inlineStr">
        <is>
          <t>1. Open Leads and click "Insights"
2. Read the three tiles and "By team member"
3. Click "All time"</t>
        </is>
      </c>
      <c r="G265" s="14" t="inlineStr">
        <is>
          <t>Tiles "Creation → Assignment", "Assignment → First outreach", "First outreach → Won" show medians; "All time" updates the "… leads in range" count.</t>
        </is>
      </c>
      <c r="H265" s="12" t="inlineStr">
        <is>
          <t>Different from 1.0: its own page; Won instead of Signed</t>
        </is>
      </c>
      <c r="I265" s="11" t="inlineStr">
        <is>
          <t>Dane</t>
        </is>
      </c>
      <c r="J265" s="15" t="n"/>
      <c r="K265" s="15" t="n"/>
      <c r="L265" s="15" t="n"/>
      <c r="M265" s="16" t="n"/>
      <c r="N265" s="17" t="n"/>
      <c r="O265" s="17" t="n"/>
      <c r="P265" s="15" t="n"/>
    </row>
    <row r="266">
      <c r="A266" s="11" t="n">
        <v>11</v>
      </c>
      <c r="B266" s="11" t="inlineStr">
        <is>
          <t>11.09</t>
        </is>
      </c>
      <c r="C266" s="12" t="inlineStr">
        <is>
          <t>How the team is doing</t>
        </is>
      </c>
      <c r="D266" s="12" t="inlineStr">
        <is>
          <t>Lead details</t>
        </is>
      </c>
      <c r="E266" s="13" t="inlineStr">
        <is>
          <t>See how quickly Sophia Wong was handled</t>
        </is>
      </c>
      <c r="F266" s="14" t="inlineStr">
        <is>
          <t>1. Open Sophia Wong
2. In the "Lead stages" card read "Response time"
3. Click it</t>
        </is>
      </c>
      <c r="G266" s="14" t="inlineStr">
        <is>
          <t>It reads like "Assigned in … · First contact in … · Won in …"; clicking it opens Insights.</t>
        </is>
      </c>
      <c r="H266" s="12" t="inlineStr">
        <is>
          <t>Different from 1.0: one line instead of a separate card</t>
        </is>
      </c>
      <c r="I266" s="11" t="inlineStr">
        <is>
          <t>Dane</t>
        </is>
      </c>
      <c r="J266" s="15" t="n"/>
      <c r="K266" s="15" t="n"/>
      <c r="L266" s="15" t="n"/>
      <c r="M266" s="16" t="n"/>
      <c r="N266" s="17" t="n"/>
      <c r="O266" s="17" t="n"/>
      <c r="P266" s="15" t="n"/>
    </row>
    <row r="267">
      <c r="A267" s="11" t="n">
        <v>11</v>
      </c>
      <c r="B267" s="11" t="inlineStr">
        <is>
          <t>11.10</t>
        </is>
      </c>
      <c r="C267" s="12" t="inlineStr">
        <is>
          <t>How the team is doing</t>
        </is>
      </c>
      <c r="D267" s="12" t="inlineStr">
        <is>
          <t>Lead details</t>
        </is>
      </c>
      <c r="E267" s="13" t="inlineStr">
        <is>
          <t>Read Sophia Wong's whole story on one timeline</t>
        </is>
      </c>
      <c r="F267" s="14" t="inlineStr">
        <is>
          <t>1. On Sophia Wong click the "Activity" tab
2. Scroll the list
3. Type contract in the search box</t>
        </is>
      </c>
      <c r="G267" s="14" t="inlineStr">
        <is>
          <t>"All Activities", newest first: created, assigned, contacted, quoted, contract, Won — each line dated; the search leaves only the contract lines.</t>
        </is>
      </c>
      <c r="H267" s="12" t="inlineStr">
        <is>
          <t>Different from 1.0: built from the records, and searchable</t>
        </is>
      </c>
      <c r="I267" s="11" t="inlineStr">
        <is>
          <t>Dane</t>
        </is>
      </c>
      <c r="J267" s="15" t="n"/>
      <c r="K267" s="15" t="n"/>
      <c r="L267" s="15" t="n"/>
      <c r="M267" s="16" t="n"/>
      <c r="N267" s="17" t="n"/>
      <c r="O267" s="17" t="n"/>
      <c r="P267" s="15" t="n"/>
    </row>
    <row r="268">
      <c r="A268" s="11" t="n">
        <v>11</v>
      </c>
      <c r="B268" s="11" t="inlineStr">
        <is>
          <t>11.11</t>
        </is>
      </c>
      <c r="C268" s="12" t="inlineStr">
        <is>
          <t>The paperwork across the studio</t>
        </is>
      </c>
      <c r="D268" s="12" t="inlineStr">
        <is>
          <t>Quotes</t>
        </is>
      </c>
      <c r="E268" s="13" t="inlineStr">
        <is>
          <t>Find Sophia's quote among all the studio's quotes</t>
        </is>
      </c>
      <c r="F268" s="14" t="inlineStr">
        <is>
          <t>1. Click "Tools" › "Quotes"
2. Type Sophia in the search box</t>
        </is>
      </c>
      <c r="G268" s="14" t="inlineStr">
        <is>
          <t>"Quotes" lists every lead's quotes with a "Client" column; Sophia Wong's quote shows its number, status and total.</t>
        </is>
      </c>
      <c r="H268" s="12" t="inlineStr">
        <is>
          <t>Same as 1.0</t>
        </is>
      </c>
      <c r="I268" s="11" t="inlineStr">
        <is>
          <t>Dane</t>
        </is>
      </c>
      <c r="J268" s="15" t="n"/>
      <c r="K268" s="15" t="n"/>
      <c r="L268" s="15" t="n"/>
      <c r="M268" s="16" t="n"/>
      <c r="N268" s="17" t="n"/>
      <c r="O268" s="17" t="n"/>
      <c r="P268" s="15" t="n"/>
    </row>
    <row r="269">
      <c r="A269" s="11" t="n">
        <v>11</v>
      </c>
      <c r="B269" s="11" t="inlineStr">
        <is>
          <t>11.12</t>
        </is>
      </c>
      <c r="C269" s="12" t="inlineStr">
        <is>
          <t>The paperwork across the studio</t>
        </is>
      </c>
      <c r="D269" s="12" t="inlineStr">
        <is>
          <t>Contracts</t>
        </is>
      </c>
      <c r="E269" s="13" t="inlineStr">
        <is>
          <t>Find Sophia's signed contract among all contracts</t>
        </is>
      </c>
      <c r="F269" s="14" t="inlineStr">
        <is>
          <t>1. Click "Tools" › "Contracts"
2. Type Sophia in the search box</t>
        </is>
      </c>
      <c r="G269" s="14" t="inlineStr">
        <is>
          <t>"Contracts" lists the studio's contracts with a "Lead" column; Sophia Wong's contract reads "Signed".</t>
        </is>
      </c>
      <c r="H269" s="12" t="inlineStr">
        <is>
          <t>New in 2.0</t>
        </is>
      </c>
      <c r="I269" s="11" t="inlineStr">
        <is>
          <t>Dane</t>
        </is>
      </c>
      <c r="J269" s="15" t="n"/>
      <c r="K269" s="15" t="n"/>
      <c r="L269" s="15" t="n"/>
      <c r="M269" s="16" t="n"/>
      <c r="N269" s="17" t="n"/>
      <c r="O269" s="17" t="n"/>
      <c r="P269" s="15" t="n"/>
    </row>
    <row r="270">
      <c r="A270" s="11" t="n">
        <v>11</v>
      </c>
      <c r="B270" s="11" t="inlineStr">
        <is>
          <t>11.13</t>
        </is>
      </c>
      <c r="C270" s="12" t="inlineStr">
        <is>
          <t>The paperwork across the studio</t>
        </is>
      </c>
      <c r="D270" s="12" t="inlineStr">
        <is>
          <t>Quote X-Ray</t>
        </is>
      </c>
      <c r="E270" s="13" t="inlineStr">
        <is>
          <t>Find last week's rival-quote comparison again</t>
        </is>
      </c>
      <c r="F270" s="14" t="inlineStr">
        <is>
          <t>1. Click "Tools" › "Quote X-Ray"
2. Look at "Recent comparisons"
3. Click the Sophia Wong row</t>
        </is>
      </c>
      <c r="G270" s="14" t="inlineStr">
        <is>
          <t>A row "Sophia Wong · vs …" (the rival from chapter 7) with its date; it opens the saved comparison.</t>
        </is>
      </c>
      <c r="H270" s="12" t="inlineStr">
        <is>
          <t>Different from 1.0: every comparison kept, not just the last five</t>
        </is>
      </c>
      <c r="I270" s="11" t="inlineStr">
        <is>
          <t>Dane</t>
        </is>
      </c>
      <c r="J270" s="15" t="n"/>
      <c r="K270" s="15" t="n"/>
      <c r="L270" s="15" t="n"/>
      <c r="M270" s="16" t="n"/>
      <c r="N270" s="17" t="n"/>
      <c r="O270" s="17" t="n"/>
      <c r="P270" s="15" t="n"/>
    </row>
    <row r="271" ht="22" customHeight="1">
      <c r="A271" s="9" t="inlineStr">
        <is>
          <t>Chapter 12 · On your phone — The key tasks again, on a phone.</t>
        </is>
      </c>
      <c r="M271" s="10" t="n"/>
    </row>
    <row r="272">
      <c r="A272" s="11" t="n">
        <v>12</v>
      </c>
      <c r="B272" s="11" t="inlineStr">
        <is>
          <t>12.01</t>
        </is>
      </c>
      <c r="C272" s="12" t="inlineStr">
        <is>
          <t>Pick up your phone</t>
        </is>
      </c>
      <c r="D272" s="12" t="inlineStr">
        <is>
          <t>Phone</t>
        </is>
      </c>
      <c r="E272" s="13" t="inlineStr">
        <is>
          <t>Open OpenMaison on your phone</t>
        </is>
      </c>
      <c r="F272" s="14" t="inlineStr">
        <is>
          <t>1. On the laptop, find the "Network" address in the window running npm run dev (like http://192.168.1.20:3000)
2. On a phone on the same Wi-Fi, type that address into the browser</t>
        </is>
      </c>
      <c r="G272" s="14" t="inlineStr">
        <is>
          <t>Leads opens as cards, with a top bar (search, chat, bell, avatar) and a bottom bar: Dashboard, Leads, Tools, Projects, More</t>
        </is>
      </c>
      <c r="H272" s="12" t="inlineStr">
        <is>
          <t>Different from 1.0: a stage pill replaces bucket tabs and swiping</t>
        </is>
      </c>
      <c r="I272" s="11" t="inlineStr">
        <is>
          <t>Dane</t>
        </is>
      </c>
      <c r="J272" s="15" t="n"/>
      <c r="K272" s="15" t="n"/>
      <c r="L272" s="15" t="n"/>
      <c r="M272" s="16" t="n"/>
      <c r="N272" s="17" t="n"/>
      <c r="O272" s="17" t="n"/>
      <c r="P272" s="15" t="n"/>
    </row>
    <row r="273">
      <c r="A273" s="11" t="n">
        <v>12</v>
      </c>
      <c r="B273" s="11" t="inlineStr">
        <is>
          <t>12.02</t>
        </is>
      </c>
      <c r="C273" s="12" t="inlineStr">
        <is>
          <t>Pick up your phone</t>
        </is>
      </c>
      <c r="D273" s="12" t="inlineStr">
        <is>
          <t>Phone</t>
        </is>
      </c>
      <c r="E273" s="13" t="inlineStr">
        <is>
          <t>Read a lead at a glance</t>
        </is>
      </c>
      <c r="F273" s="14" t="inlineStr">
        <is>
          <t>1. Scroll to Sophia Wong’s card</t>
        </is>
      </c>
      <c r="G273" s="14" t="inlineStr">
        <is>
          <t>Her card shows its age, phone, budget, source, her first task (or "Add Task"), members’ avatars and the stage button "Won"</t>
        </is>
      </c>
      <c r="H273" s="12" t="inlineStr">
        <is>
          <t>Different from 1.0: fewer badges; the first task shows instead</t>
        </is>
      </c>
      <c r="I273" s="11" t="inlineStr">
        <is>
          <t>Dane</t>
        </is>
      </c>
      <c r="J273" s="15" t="n"/>
      <c r="K273" s="15" t="n"/>
      <c r="L273" s="15" t="n"/>
      <c r="M273" s="16" t="n"/>
      <c r="N273" s="17" t="n"/>
      <c r="O273" s="17" t="n"/>
      <c r="P273" s="15" t="n"/>
    </row>
    <row r="274">
      <c r="A274" s="11" t="n">
        <v>12</v>
      </c>
      <c r="B274" s="11" t="inlineStr">
        <is>
          <t>12.03</t>
        </is>
      </c>
      <c r="C274" s="12" t="inlineStr">
        <is>
          <t>Pick up your phone</t>
        </is>
      </c>
      <c r="D274" s="12" t="inlineStr">
        <is>
          <t>Phone</t>
        </is>
      </c>
      <c r="E274" s="13" t="inlineStr">
        <is>
          <t>Find a lead by name on the phone</t>
        </is>
      </c>
      <c r="F274" s="14" t="inlineStr">
        <is>
          <t>1. Tap the magnifier in the top bar
2. Type Sophia</t>
        </is>
      </c>
      <c r="G274" s="14" t="inlineStr">
        <is>
          <t>A search box opens above the list and only Sophia Wong’s card remains, the match highlighted</t>
        </is>
      </c>
      <c r="H274" s="12" t="inlineStr">
        <is>
          <t>Different from 1.0: one search box, in the top bar</t>
        </is>
      </c>
      <c r="I274" s="11" t="inlineStr">
        <is>
          <t>Dane</t>
        </is>
      </c>
      <c r="J274" s="15" t="n"/>
      <c r="K274" s="15" t="n"/>
      <c r="L274" s="15" t="n"/>
      <c r="M274" s="16" t="n"/>
      <c r="N274" s="17" t="n"/>
      <c r="O274" s="17" t="n"/>
      <c r="P274" s="15" t="n"/>
    </row>
    <row r="275">
      <c r="A275" s="11" t="n">
        <v>12</v>
      </c>
      <c r="B275" s="11" t="inlineStr">
        <is>
          <t>12.04</t>
        </is>
      </c>
      <c r="C275" s="12" t="inlineStr">
        <is>
          <t>Pick up your phone</t>
        </is>
      </c>
      <c r="D275" s="12" t="inlineStr">
        <is>
          <t>Phone</t>
        </is>
      </c>
      <c r="E275" s="13" t="inlineStr">
        <is>
          <t>Reach the rest of the app from More</t>
        </is>
      </c>
      <c r="F275" s="14" t="inlineStr">
        <is>
          <t>1. Tap "More" in the bottom bar
2. Tap "Company"</t>
        </is>
      </c>
      <c r="G275" s="14" t="inlineStr">
        <is>
          <t>"More" slides up with Tasks, Marketplace, Company, Qanvast Ops, Settings and "View as" (Dane); Company opens as a sheet, Profile to Integrations</t>
        </is>
      </c>
      <c r="H275" s="12" t="inlineStr">
        <is>
          <t>Different from 1.0: 1.0’s phone menu had no studio setup</t>
        </is>
      </c>
      <c r="I275" s="11" t="inlineStr">
        <is>
          <t>Dane</t>
        </is>
      </c>
      <c r="J275" s="15" t="n"/>
      <c r="K275" s="15" t="n"/>
      <c r="L275" s="15" t="n"/>
      <c r="M275" s="16" t="n"/>
      <c r="N275" s="17" t="n"/>
      <c r="O275" s="17" t="n"/>
      <c r="P275" s="15" t="n"/>
    </row>
    <row r="276">
      <c r="A276" s="11" t="n">
        <v>12</v>
      </c>
      <c r="B276" s="11" t="inlineStr">
        <is>
          <t>12.05</t>
        </is>
      </c>
      <c r="C276" s="12" t="inlineStr">
        <is>
          <t>Work a lead on the go</t>
        </is>
      </c>
      <c r="D276" s="12" t="inlineStr">
        <is>
          <t>Phone</t>
        </is>
      </c>
      <c r="E276" s="13" t="inlineStr">
        <is>
          <t>Open Sophia’s lead and move between tabs</t>
        </is>
      </c>
      <c r="F276" s="14" t="inlineStr">
        <is>
          <t>1. Close the sheet and tap Sophia Wong’s card
2. Swipe the tab row sideways and tap "Notes &amp; Logs"</t>
        </is>
      </c>
      <c r="G276" s="14" t="inlineStr">
        <is>
          <t>Her name has a line of its own; the tabs scroll sideways; Notes &amp; Logs fills the screen as a list</t>
        </is>
      </c>
      <c r="H276" s="12" t="inlineStr">
        <is>
          <t>Different from 1.0: the lead opens as a page, not a drawer</t>
        </is>
      </c>
      <c r="I276" s="11" t="inlineStr">
        <is>
          <t>Dane</t>
        </is>
      </c>
      <c r="J276" s="15" t="n"/>
      <c r="K276" s="15" t="n"/>
      <c r="L276" s="15" t="n"/>
      <c r="M276" s="16" t="n"/>
      <c r="N276" s="17" t="n"/>
      <c r="O276" s="17" t="n"/>
      <c r="P276" s="15" t="n"/>
    </row>
    <row r="277">
      <c r="A277" s="11" t="n">
        <v>12</v>
      </c>
      <c r="B277" s="11" t="inlineStr">
        <is>
          <t>12.06</t>
        </is>
      </c>
      <c r="C277" s="12" t="inlineStr">
        <is>
          <t>Work a lead on the go</t>
        </is>
      </c>
      <c r="D277" s="12" t="inlineStr">
        <is>
          <t>Phone</t>
        </is>
      </c>
      <c r="E277" s="13" t="inlineStr">
        <is>
          <t>Start a stage move from a lead card</t>
        </is>
      </c>
      <c r="F277" s="14" t="inlineStr">
        <is>
          <t>1. Back on Leads, on a Contacted lead’s card (e.g. Cheryl Lim) tap the stage button "Contacted"
2. In the "Move stage" sheet tap "Met"
3. Look at the window, then tap "Cancel"</t>
        </is>
      </c>
      <c r="G277" s="14" t="inlineStr">
        <is>
          <t>Both rise from the bottom; the Move stage window fills the screen with "Cancel" and "Save" pinned at the foot; nothing moves</t>
        </is>
      </c>
      <c r="H277" s="12" t="inlineStr">
        <is>
          <t>Different from 1.0: one stage window, not status drop-downs</t>
        </is>
      </c>
      <c r="I277" s="11" t="inlineStr">
        <is>
          <t>Dane</t>
        </is>
      </c>
      <c r="J277" s="15" t="n"/>
      <c r="K277" s="15" t="n"/>
      <c r="L277" s="15" t="n"/>
      <c r="M277" s="16" t="n"/>
      <c r="N277" s="17" t="n"/>
      <c r="O277" s="17" t="n"/>
      <c r="P277" s="15" t="n"/>
    </row>
    <row r="278">
      <c r="A278" s="11" t="n">
        <v>12</v>
      </c>
      <c r="B278" s="11" t="inlineStr">
        <is>
          <t>12.07</t>
        </is>
      </c>
      <c r="C278" s="12" t="inlineStr">
        <is>
          <t>Work a lead on the go</t>
        </is>
      </c>
      <c r="D278" s="12" t="inlineStr">
        <is>
          <t>Phone</t>
        </is>
      </c>
      <c r="E278" s="13" t="inlineStr">
        <is>
          <t>Narrow the list with a quick filter</t>
        </is>
      </c>
      <c r="F278" s="14" t="inlineStr">
        <is>
          <t>1. Tap the filter icon beside the "All Leads" pill
2. In "Quick filters", tick "Unassigned"
3. Tap "Clear All", then "Done"</t>
        </is>
      </c>
      <c r="G278" s="14" t="inlineStr">
        <is>
          <t>"Filters" rises from the bottom; the tick narrows the list behind at once; after "Clear All" every lead is back</t>
        </is>
      </c>
      <c r="H278" s="12" t="inlineStr">
        <is>
          <t>Different from 1.0: three quick filters instead of five</t>
        </is>
      </c>
      <c r="I278" s="11" t="inlineStr">
        <is>
          <t>Dane</t>
        </is>
      </c>
      <c r="J278" s="15" t="n"/>
      <c r="K278" s="15" t="n"/>
      <c r="L278" s="15" t="n"/>
      <c r="M278" s="16" t="n"/>
      <c r="N278" s="17" t="n"/>
      <c r="O278" s="17" t="n"/>
      <c r="P278" s="15" t="n"/>
    </row>
    <row r="279">
      <c r="A279" s="11" t="n">
        <v>12</v>
      </c>
      <c r="B279" s="11" t="inlineStr">
        <is>
          <t>12.08</t>
        </is>
      </c>
      <c r="C279" s="12" t="inlineStr">
        <is>
          <t>Quotes and contracts in your pocket</t>
        </is>
      </c>
      <c r="D279" s="12" t="inlineStr">
        <is>
          <t>Phone</t>
        </is>
      </c>
      <c r="E279" s="13" t="inlineStr">
        <is>
          <t>Check a quote’s lines on the phone</t>
        </is>
      </c>
      <c r="F279" s="14" t="inlineStr">
        <is>
          <t>1. Open Sophia Wong › "Quotes" and tap her quote
2. Scroll to "Items" and tap a line
3. Look, then tap "Done" without changing anything</t>
        </is>
      </c>
      <c r="G279" s="14" t="inlineStr">
        <is>
          <t>Each line is a card (name, quantity × unit price, total); a line opens as a sheet with its "Line total" and every field</t>
        </is>
      </c>
      <c r="H279" s="12" t="inlineStr">
        <is>
          <t>Different from 1.0: lines edit in a sheet, not a side panel</t>
        </is>
      </c>
      <c r="I279" s="11" t="inlineStr">
        <is>
          <t>Dane</t>
        </is>
      </c>
      <c r="J279" s="15" t="n"/>
      <c r="K279" s="15" t="n"/>
      <c r="L279" s="15" t="n"/>
      <c r="M279" s="16" t="n"/>
      <c r="N279" s="17" t="n"/>
      <c r="O279" s="17" t="n"/>
      <c r="P279" s="15" t="n"/>
    </row>
    <row r="280">
      <c r="A280" s="11" t="n">
        <v>12</v>
      </c>
      <c r="B280" s="11" t="inlineStr">
        <is>
          <t>12.09</t>
        </is>
      </c>
      <c r="C280" s="12" t="inlineStr">
        <is>
          <t>Quotes and contracts in your pocket</t>
        </is>
      </c>
      <c r="D280" s="12" t="inlineStr">
        <is>
          <t>Phone</t>
        </is>
      </c>
      <c r="E280" s="13" t="inlineStr">
        <is>
          <t>Open Tools › Contracts on the phone</t>
        </is>
      </c>
      <c r="F280" s="14" t="inlineStr">
        <is>
          <t>1. Tap "Tools" in the bottom bar
2. Tap "Contracts"</t>
        </is>
      </c>
      <c r="G280" s="14" t="inlineStr">
        <is>
          <t>Tools rises as a sheet of tiles; contracts show as cards — title and ⋮ on top, status and date below</t>
        </is>
      </c>
      <c r="H280" s="12" t="inlineStr">
        <is>
          <t>Different from 1.0: 1.0’s phone menu had no Tools</t>
        </is>
      </c>
      <c r="I280" s="11" t="inlineStr">
        <is>
          <t>Dane</t>
        </is>
      </c>
      <c r="J280" s="15" t="n"/>
      <c r="K280" s="15" t="n"/>
      <c r="L280" s="15" t="n"/>
      <c r="M280" s="16" t="n"/>
      <c r="N280" s="17" t="n"/>
      <c r="O280" s="17" t="n"/>
      <c r="P280" s="15" t="n"/>
    </row>
    <row r="281">
      <c r="A281" s="11" t="n">
        <v>12</v>
      </c>
      <c r="B281" s="11" t="inlineStr">
        <is>
          <t>12.10</t>
        </is>
      </c>
      <c r="C281" s="12" t="inlineStr">
        <is>
          <t>Quotes and contracts in your pocket</t>
        </is>
      </c>
      <c r="D281" s="12" t="inlineStr">
        <is>
          <t>Phone</t>
        </is>
      </c>
      <c r="E281" s="13" t="inlineStr">
        <is>
          <t>Raise a second agreement for Sophia and get its link</t>
        </is>
      </c>
      <c r="F281" s="14" t="inlineStr">
        <is>
          <t>1. Open Sophia Wong › "Contracts", tap "+" ("New Contract") › "From the studio agreement"
2. Tap the status "Draft" › "Sent to Client"
3. Tap "Send"; press and hold the link at the bottom of the window, choose Copy, then close it</t>
        </is>
      </c>
      <c r="G281" s="14" t="inlineStr">
        <is>
          <t>Menus rise as bottom sheets; the status reads "Sent to Client"; the copied link starts with the phone’s Network address</t>
        </is>
      </c>
      <c r="H281" s="12" t="inlineStr">
        <is>
          <t>New in 2.0</t>
        </is>
      </c>
      <c r="I281" s="11" t="inlineStr">
        <is>
          <t>Dane</t>
        </is>
      </c>
      <c r="J281" s="15" t="n"/>
      <c r="K281" s="15" t="n"/>
      <c r="L281" s="15" t="n"/>
      <c r="M281" s="16" t="n"/>
      <c r="N281" s="17" t="n"/>
      <c r="O281" s="17" t="n"/>
      <c r="P281" s="15" t="n"/>
    </row>
    <row r="282">
      <c r="A282" s="11" t="n">
        <v>12</v>
      </c>
      <c r="B282" s="11" t="inlineStr">
        <is>
          <t>12.11</t>
        </is>
      </c>
      <c r="C282" s="12" t="inlineStr">
        <is>
          <t>Quotes and contracts in your pocket</t>
        </is>
      </c>
      <c r="D282" s="12" t="inlineStr">
        <is>
          <t>Phone</t>
        </is>
      </c>
      <c r="E282" s="13" t="inlineStr">
        <is>
          <t>Read the agreement on the phone as Sophia</t>
        </is>
      </c>
      <c r="F282" s="14" t="inlineStr">
        <is>
          <t>1. Paste the link into a new browser tab
2. Scroll to the end — the bar at the foot guides you
3. Tap "Go to the box" and tick "I have read and agree to this document."</t>
        </is>
      </c>
      <c r="G282" s="14" t="inlineStr">
        <is>
          <t>The card sits above the agreement; the foot bar reads "Read to the end of the agreement", then "Ready when you are" with "Send code"</t>
        </is>
      </c>
      <c r="H282" s="12" t="inlineStr">
        <is>
          <t>Same as 1.0</t>
        </is>
      </c>
      <c r="I282" s="18" t="inlineStr">
        <is>
          <t>Sophia Wong (client)</t>
        </is>
      </c>
      <c r="J282" s="15" t="n"/>
      <c r="K282" s="15" t="n"/>
      <c r="L282" s="15" t="n"/>
      <c r="M282" s="16" t="n"/>
      <c r="N282" s="17" t="n"/>
      <c r="O282" s="17" t="n"/>
      <c r="P282" s="15" t="n"/>
    </row>
    <row r="283">
      <c r="A283" s="11" t="n">
        <v>12</v>
      </c>
      <c r="B283" s="11" t="inlineStr">
        <is>
          <t>12.12</t>
        </is>
      </c>
      <c r="C283" s="12" t="inlineStr">
        <is>
          <t>Quotes and contracts in your pocket</t>
        </is>
      </c>
      <c r="D283" s="12" t="inlineStr">
        <is>
          <t>Phone</t>
        </is>
      </c>
      <c r="E283" s="13" t="inlineStr">
        <is>
          <t>Sign with your finger</t>
        </is>
      </c>
      <c r="F283" s="14" t="inlineStr">
        <is>
          <t>1. Tap "Send code", type 123456, tap "Verify"
2. Tap "Draw" and sign with your finger
3. Tap "Sign agreement"</t>
        </is>
      </c>
      <c r="G283" s="14" t="inlineStr">
        <is>
          <t>The pad follows your finger; the card turns "Signed"; the signing record says "Drawn by hand" and names your phone’s browser</t>
        </is>
      </c>
      <c r="H283" s="12" t="inlineStr">
        <is>
          <t>Same as 1.0</t>
        </is>
      </c>
      <c r="I283" s="18" t="inlineStr">
        <is>
          <t>Sophia Wong (client)</t>
        </is>
      </c>
      <c r="J283" s="15" t="n"/>
      <c r="K283" s="15" t="n"/>
      <c r="L283" s="15" t="n"/>
      <c r="M283" s="16" t="n"/>
      <c r="N283" s="17" t="n"/>
      <c r="O283" s="17" t="n"/>
      <c r="P283" s="15" t="n"/>
    </row>
    <row r="284">
      <c r="A284" s="11" t="n">
        <v>12</v>
      </c>
      <c r="B284" s="11" t="inlineStr">
        <is>
          <t>12.13</t>
        </is>
      </c>
      <c r="C284" s="12" t="inlineStr">
        <is>
          <t>Quotes and contracts in your pocket</t>
        </is>
      </c>
      <c r="D284" s="12" t="inlineStr">
        <is>
          <t>Phone</t>
        </is>
      </c>
      <c r="E284" s="13" t="inlineStr">
        <is>
          <t>See the signature arrive in the bell</t>
        </is>
      </c>
      <c r="F284" s="14" t="inlineStr">
        <is>
          <t>1. Go back to the app’s tab
2. Tap the bell in the top bar</t>
        </is>
      </c>
      <c r="G284" s="14" t="inlineStr">
        <is>
          <t>"Notifications" fills the screen; the newest notice reads "Sophia Wong signed Interior Design Service Agreement 2"</t>
        </is>
      </c>
      <c r="H284" s="12" t="inlineStr">
        <is>
          <t>Same as 1.0</t>
        </is>
      </c>
      <c r="I284" s="11" t="inlineStr">
        <is>
          <t>Dane</t>
        </is>
      </c>
      <c r="J284" s="15" t="n"/>
      <c r="K284" s="15" t="n"/>
      <c r="L284" s="15" t="n"/>
      <c r="M284" s="16" t="n"/>
      <c r="N284" s="17" t="n"/>
      <c r="O284" s="17" t="n"/>
      <c r="P284" s="15" t="n"/>
    </row>
    <row r="285" ht="22" customHeight="1">
      <c r="A285" s="9" t="inlineStr">
        <is>
          <t>Chapter 13 · Design her room — AI Visualizer: Sophia’s living room, from her photo to the look she picks.</t>
        </is>
      </c>
      <c r="M285" s="10" t="n"/>
    </row>
    <row r="286">
      <c r="A286" s="11" t="n">
        <v>13</v>
      </c>
      <c r="B286" s="11" t="inlineStr">
        <is>
          <t>13.01</t>
        </is>
      </c>
      <c r="C286" s="12" t="inlineStr">
        <is>
          <t>Her photo, in the AI Visualizer</t>
        </is>
      </c>
      <c r="D286" s="12" t="inlineStr">
        <is>
          <t>AI Visualizer</t>
        </is>
      </c>
      <c r="E286" s="13" t="inlineStr">
        <is>
          <t>Open Sophia’s site photo in the AI Visualizer</t>
        </is>
      </c>
      <c r="F286" s="14" t="inlineStr">
        <is>
          <t>1. Open Sophia Wong › "Files", open the Site photos folder and double-click sophia-living-room.jpg
2. Click "More options" (⋮, top right), then "Open in AI Visualizer"
3. Read the tip, press "Got it"; look at the squares on the photo
4. Click the eye icon ("Hide markers"), then again ("Show markers")</t>
        </is>
      </c>
      <c r="G286" s="14" t="inlineStr">
        <is>
          <t>Full screen: "Sophia Wong", chip "LEAD · WON", a room named "Living room" from the file; squares on walls and floor; "Marked roughly on your photo — …".</t>
        </is>
      </c>
      <c r="H286" s="12" t="inlineStr">
        <is>
          <t>New in 2.0</t>
        </is>
      </c>
      <c r="I286" s="11" t="inlineStr">
        <is>
          <t>Dane</t>
        </is>
      </c>
      <c r="J286" s="15" t="n"/>
      <c r="K286" s="15" t="n"/>
      <c r="L286" s="15" t="n"/>
      <c r="M286" s="16" t="n"/>
      <c r="N286" s="17" t="n"/>
      <c r="O286" s="17" t="n"/>
      <c r="P286" s="15" t="n"/>
    </row>
    <row r="287">
      <c r="A287" s="11" t="n">
        <v>13</v>
      </c>
      <c r="B287" s="11" t="inlineStr">
        <is>
          <t>13.02</t>
        </is>
      </c>
      <c r="C287" s="12" t="inlineStr">
        <is>
          <t>Her photo, in the AI Visualizer</t>
        </is>
      </c>
      <c r="D287" s="12" t="inlineStr">
        <is>
          <t>AI Visualizer</t>
        </is>
      </c>
      <c r="E287" s="13" t="inlineStr">
        <is>
          <t>Check the room’s menu and mark the lamp it missed</t>
        </is>
      </c>
      <c r="F287" s="14" t="inlineStr">
        <is>
          <t>1. Click "Room options" (⋯ by the room chip), read the menu, press Esc
2. Open "Furniture", press "Add furniture": "Piece" Floor lamp, then the chip "Lighting"
3. Press "Click where it is", then click the lamp’s yellow shade on the photo
4. On the "Floor Lamp" row press ✕ ("Take off the list …"), then "Undo" in the message</t>
        </is>
      </c>
      <c r="G287" s="14" t="inlineStr">
        <is>
          <t>The menu offers "Rename", "Change photo", "Delete room"; "Floor Lamp" joins the furniture list; Undo restores it after "… taken off the list".</t>
        </is>
      </c>
      <c r="H287" s="12" t="inlineStr">
        <is>
          <t>Different from 1.0: taking a mark off has Undo</t>
        </is>
      </c>
      <c r="I287" s="11" t="inlineStr">
        <is>
          <t>Dane</t>
        </is>
      </c>
      <c r="J287" s="15" t="n"/>
      <c r="K287" s="15" t="n"/>
      <c r="L287" s="15" t="n"/>
      <c r="M287" s="16" t="n"/>
      <c r="N287" s="17" t="n"/>
      <c r="O287" s="17" t="n"/>
      <c r="P287" s="15" t="n"/>
    </row>
    <row r="288">
      <c r="A288" s="11" t="n">
        <v>13</v>
      </c>
      <c r="B288" s="11" t="inlineStr">
        <is>
          <t>13.03</t>
        </is>
      </c>
      <c r="C288" s="12" t="inlineStr">
        <is>
          <t>New finishes</t>
        </is>
      </c>
      <c r="D288" s="12" t="inlineStr">
        <is>
          <t>AI Visualizer</t>
        </is>
      </c>
      <c r="E288" s="13" t="inlineStr">
        <is>
          <t>Pick a sage paint for the walls and a walnut floor</t>
        </is>
      </c>
      <c r="F288" s="14" t="inlineStr">
        <is>
          <t>1. Open "Surfaces", click the "Walls" row (or the square on a wall) — it starts on "As in the photo"
2. Search sage and click "Sage Green"
3. Press "All surfaces", click "Floor", chip "Flooring" › "Walnut Engineered"
4. Read the foot of the panel</t>
        </is>
      </c>
      <c r="G288" s="14" t="inlineStr">
        <is>
          <t>The picked wall lights up on the photo; "Recent" holds Sage Green; the foot lists both changes; the button reads "Generate · 2 changes".</t>
        </is>
      </c>
      <c r="H288" s="12" t="inlineStr">
        <is>
          <t>Different from 1.0: the picked surface lights up on the photo</t>
        </is>
      </c>
      <c r="I288" s="11" t="inlineStr">
        <is>
          <t>Dane</t>
        </is>
      </c>
      <c r="J288" s="15" t="n"/>
      <c r="K288" s="15" t="n"/>
      <c r="L288" s="15" t="n"/>
      <c r="M288" s="16" t="n"/>
      <c r="N288" s="17" t="n"/>
      <c r="O288" s="17" t="n"/>
      <c r="P288" s="15" t="n"/>
    </row>
    <row r="289">
      <c r="A289" s="11" t="n">
        <v>13</v>
      </c>
      <c r="B289" s="11" t="inlineStr">
        <is>
          <t>13.04</t>
        </is>
      </c>
      <c r="C289" s="12" t="inlineStr">
        <is>
          <t>New finishes</t>
        </is>
      </c>
      <c r="D289" s="12" t="inlineStr">
        <is>
          <t>AI Visualizer</t>
        </is>
      </c>
      <c r="E289" s="13" t="inlineStr">
        <is>
          <t>Generate, stop one midway, then compare before and after</t>
        </is>
      </c>
      <c r="F289" s="14" t="inlineStr">
        <is>
          <t>1. Beside "Makes 1 version · Fast" press "Change", pick Quality "High", press "Done"
2. Press "Generate · 2 changes", then "Cancel" on the card at once
3. Press "Generate · 2 changes" again and wait
4. Press "Compare" under the photo and drag the line across</t>
        </is>
      </c>
      <c r="G289" s="14" t="inlineStr">
        <is>
          <t>"Stopped — nothing was kept"; then "Reading the photo"…, "V1 is ready", a "V1 · Walls, Floor" tile, and a slider "Original" | "V1".</t>
        </is>
      </c>
      <c r="H289" s="12" t="inlineStr">
        <is>
          <t>Different from 1.0: compare right on the photo, one press</t>
        </is>
      </c>
      <c r="I289" s="11" t="inlineStr">
        <is>
          <t>Dane</t>
        </is>
      </c>
      <c r="J289" s="15" t="n"/>
      <c r="K289" s="15" t="n"/>
      <c r="L289" s="15" t="n"/>
      <c r="M289" s="16" t="n"/>
      <c r="N289" s="17" t="n"/>
      <c r="O289" s="17" t="n"/>
      <c r="P289" s="15" t="n"/>
    </row>
    <row r="290">
      <c r="A290" s="11" t="n">
        <v>13</v>
      </c>
      <c r="B290" s="11" t="inlineStr">
        <is>
          <t>13.05</t>
        </is>
      </c>
      <c r="C290" s="12" t="inlineStr">
        <is>
          <t>New finishes</t>
        </is>
      </c>
      <c r="D290" s="12" t="inlineStr">
        <is>
          <t>AI Visualizer</t>
        </is>
      </c>
      <c r="E290" s="13" t="inlineStr">
        <is>
          <t>Describe a change in your own words</t>
        </is>
      </c>
      <c r="F290" s="14" t="inlineStr">
        <is>
          <t>1. In "DESCRIBE A CHANGE" type make it nice and read the line under the button
2. Replace the words with warmer evening light, press "Generate from note"</t>
        </is>
      </c>
      <c r="G290" s="14" t="inlineStr">
        <is>
          <t>First "Generate from note" stays greyed: "We couldn’t turn that note into a change — …"; then "V2 · From a note": evening light, walls still sage.</t>
        </is>
      </c>
      <c r="H290" s="12" t="inlineStr">
        <is>
          <t>Different from 1.0: the words box is always in view</t>
        </is>
      </c>
      <c r="I290" s="11" t="inlineStr">
        <is>
          <t>Dane</t>
        </is>
      </c>
      <c r="J290" s="15" t="n"/>
      <c r="K290" s="15" t="n"/>
      <c r="L290" s="15" t="n"/>
      <c r="M290" s="16" t="n"/>
      <c r="N290" s="17" t="n"/>
      <c r="O290" s="17" t="n"/>
      <c r="P290" s="15" t="n"/>
    </row>
    <row r="291">
      <c r="A291" s="11" t="n">
        <v>13</v>
      </c>
      <c r="B291" s="11" t="inlineStr">
        <is>
          <t>13.06</t>
        </is>
      </c>
      <c r="C291" s="12" t="inlineStr">
        <is>
          <t>The whole look on a sample room</t>
        </is>
      </c>
      <c r="D291" s="12" t="inlineStr">
        <is>
          <t>AI Visualizer</t>
        </is>
      </c>
      <c r="E291" s="13" t="inlineStr">
        <is>
          <t>Add the sample living room to her design</t>
        </is>
      </c>
      <c r="F291" s="14" t="inlineStr">
        <is>
          <t>1. Press "Add room" in the top bar
2. Read the ways in
3. Under "SAMPLE ROOMS" click "Living room" ("Furnished photo")
4. Open "Furniture"</t>
        </is>
      </c>
      <c r="G291" s="14" t="inlineStr">
        <is>
          <t>The upload box ("Drop room photos or browse" · "JPG, PNG, WebP or HEIC · …"), "FROM SOPHIA WONG’S FILES", "SAMPLE ROOMS"; a "Living room 2" chip opens, its 10 pieces listed.</t>
        </is>
      </c>
      <c r="H291" s="12" t="inlineStr">
        <is>
          <t>Different from 1.0: sample rooms and the lead’s files too</t>
        </is>
      </c>
      <c r="I291" s="11" t="inlineStr">
        <is>
          <t>Dane</t>
        </is>
      </c>
      <c r="J291" s="15" t="n"/>
      <c r="K291" s="15" t="n"/>
      <c r="L291" s="15" t="n"/>
      <c r="M291" s="16" t="n"/>
      <c r="N291" s="17" t="n"/>
      <c r="O291" s="17" t="n"/>
      <c r="P291" s="15" t="n"/>
    </row>
    <row r="292">
      <c r="A292" s="11" t="n">
        <v>13</v>
      </c>
      <c r="B292" s="11" t="inlineStr">
        <is>
          <t>13.07</t>
        </is>
      </c>
      <c r="C292" s="12" t="inlineStr">
        <is>
          <t>The whole look on a sample room</t>
        </is>
      </c>
      <c r="D292" s="12" t="inlineStr">
        <is>
          <t>AI Visualizer</t>
        </is>
      </c>
      <c r="E292" s="13" t="inlineStr">
        <is>
          <t>Recolour the sofa, swap the table, take out the TV</t>
        </is>
      </c>
      <c r="F292" s="14" t="inlineStr">
        <is>
          <t>1. "Grey Fabric Sofa" › "Customize" › "Velvet", then under "COLOUR" "Emerald"
2. "Oak Coffee Table" › "Replace", pick any "Quick pick"
3. "Wall-Mounted TV" › "Remove"; press ⌘Z (Ctrl+Z), then ⇧⌘Z (Ctrl+Shift+Z)
4. Press "Generate · 3 changes"</t>
        </is>
      </c>
      <c r="G292" s="14" t="inlineStr">
        <is>
          <t>Rows read "Customize · Emerald velvet", "Replace · …", "Taken out"; ⌘Z/⇧⌘Z flip the TV; "V1 is ready": green sofa, new table, no TV.</t>
        </is>
      </c>
      <c r="H292" s="12" t="inlineStr">
        <is>
          <t>Different from 1.0: ⌘Z takes back a pick</t>
        </is>
      </c>
      <c r="I292" s="11" t="inlineStr">
        <is>
          <t>Dane</t>
        </is>
      </c>
      <c r="J292" s="15" t="n"/>
      <c r="K292" s="15" t="n"/>
      <c r="L292" s="15" t="n"/>
      <c r="M292" s="16" t="n"/>
      <c r="N292" s="17" t="n"/>
      <c r="O292" s="17" t="n"/>
      <c r="P292" s="15" t="n"/>
    </row>
    <row r="293">
      <c r="A293" s="11" t="n">
        <v>13</v>
      </c>
      <c r="B293" s="11" t="inlineStr">
        <is>
          <t>13.08</t>
        </is>
      </c>
      <c r="C293" s="12" t="inlineStr">
        <is>
          <t>The whole look on a sample room</t>
        </is>
      </c>
      <c r="D293" s="12" t="inlineStr">
        <is>
          <t>AI Visualizer</t>
        </is>
      </c>
      <c r="E293" s="13" t="inlineStr">
        <is>
          <t>Restyle the room, then try a light live</t>
        </is>
      </c>
      <c r="F293" s="14" t="inlineStr">
        <is>
          <t>1. Open "Style", click "Japandi", read the line under the title, press "Restyle as Japandi"
2. Open "Lighting", click "Golden Hour"
3. Open "Fine-tune it by hand", drag "Colour temperature"
4. Press "Relight"</t>
        </is>
      </c>
      <c r="G293" s="14" t="inlineStr">
        <is>
          <t>A line warns "A style restyles the whole room from the photo — …"; "V2 is ready" ("V2 · Japandi"); Style is back on "None"; the light previews live; "V3 · Relit · Custom" lands.</t>
        </is>
      </c>
      <c r="H293" s="12" t="inlineStr">
        <is>
          <t>Different from 1.0: light previews live, kept in one step</t>
        </is>
      </c>
      <c r="I293" s="11" t="inlineStr">
        <is>
          <t>Dane</t>
        </is>
      </c>
      <c r="J293" s="15" t="n"/>
      <c r="K293" s="15" t="n"/>
      <c r="L293" s="15" t="n"/>
      <c r="M293" s="16" t="n"/>
      <c r="N293" s="17" t="n"/>
      <c r="O293" s="17" t="n"/>
      <c r="P293" s="15" t="n"/>
    </row>
    <row r="294">
      <c r="A294" s="11" t="n">
        <v>13</v>
      </c>
      <c r="B294" s="11" t="inlineStr">
        <is>
          <t>13.09</t>
        </is>
      </c>
      <c r="C294" s="12" t="inlineStr">
        <is>
          <t>The whole look on a sample room</t>
        </is>
      </c>
      <c r="D294" s="12" t="inlineStr">
        <is>
          <t>AI Visualizer</t>
        </is>
      </c>
      <c r="E294" s="13" t="inlineStr">
        <is>
          <t>Hang a patterned wallpaper, two takes at once</t>
        </is>
      </c>
      <c r="F294" s="14" t="inlineStr">
        <is>
          <t>1. Under "VERSIONS" click "Original"
2. "Surfaces": click a wall square, keep "All walls · 2"
3. Chip "Wallpapers" › "Tropical Botanical"
4. "Change" › "Versions" 2, press "Generate"</t>
        </is>
      </c>
      <c r="G294" s="14" t="inlineStr">
        <is>
          <t>The swatch wears a leaf pattern; "V4–V5 are ready" — two takes from one press: V4’s two walls in the leaf paper, V5 tries another paper.</t>
        </is>
      </c>
      <c r="H294" s="12" t="inlineStr">
        <is>
          <t>Different from 1.0: 2–3 versions on a desktop too</t>
        </is>
      </c>
      <c r="I294" s="11" t="inlineStr">
        <is>
          <t>Dane</t>
        </is>
      </c>
      <c r="J294" s="15" t="n"/>
      <c r="K294" s="15" t="n"/>
      <c r="L294" s="15" t="n"/>
      <c r="M294" s="16" t="n"/>
      <c r="N294" s="17" t="n"/>
      <c r="O294" s="17" t="n"/>
      <c r="P294" s="15" t="n"/>
    </row>
    <row r="295">
      <c r="A295" s="11" t="n">
        <v>13</v>
      </c>
      <c r="B295" s="11" t="inlineStr">
        <is>
          <t>13.10</t>
        </is>
      </c>
      <c r="C295" s="12" t="inlineStr">
        <is>
          <t>The whole look on a sample room</t>
        </is>
      </c>
      <c r="D295" s="12" t="inlineStr">
        <is>
          <t>AI Visualizer</t>
        </is>
      </c>
      <c r="E295" s="13" t="inlineStr">
        <is>
          <t>Empty the room, then furnish it again</t>
        </is>
      </c>
      <c r="F295" s="14" t="inlineStr">
        <is>
          <t>1. Click "V4", open "Tools", pick "Empty the room", then "Keep built-ins"
2. Press "Empty the room"
3. In "Tools" pick "Furnish the room", read "Will place:"
4. Press "Furnish the room"</t>
        </is>
      </c>
      <c r="G295" s="14" t="inlineStr">
        <is>
          <t>A version "Emptied · Keep built-ins" shows the room bare; then a "Furnished" version puts furniture back.</t>
        </is>
      </c>
      <c r="H295" s="12" t="inlineStr">
        <is>
          <t>Same as 1.0</t>
        </is>
      </c>
      <c r="I295" s="11" t="inlineStr">
        <is>
          <t>Dane</t>
        </is>
      </c>
      <c r="J295" s="15" t="n"/>
      <c r="K295" s="15" t="n"/>
      <c r="L295" s="15" t="n"/>
      <c r="M295" s="16" t="n"/>
      <c r="N295" s="17" t="n"/>
      <c r="O295" s="17" t="n"/>
      <c r="P295" s="15" t="n"/>
    </row>
    <row r="296">
      <c r="A296" s="11" t="n">
        <v>13</v>
      </c>
      <c r="B296" s="11" t="inlineStr">
        <is>
          <t>13.11</t>
        </is>
      </c>
      <c r="C296" s="12" t="inlineStr">
        <is>
          <t>The whole look on a sample room</t>
        </is>
      </c>
      <c r="D296" s="12" t="inlineStr">
        <is>
          <t>AI Visualizer</t>
        </is>
      </c>
      <c r="E296" s="13" t="inlineStr">
        <is>
          <t>Borrow a look from a photo</t>
        </is>
      </c>
      <c r="F296" s="14" t="inlineStr">
        <is>
          <t>1. Click "Original", open "Style"
2. Under "OR BORROW A LOOK FROM A PHOTO" press "Upload a reference photo", pick kitchen-moodboard.jpg
3. Read "HOW FAR" and "WHAT CARRIES OVER"; beside "Makes 2 versions · Fast" press "Change", pick "Versions" 1, press "Done"
4. Press "Style transfer"</t>
        </is>
      </c>
      <c r="G296" s="14" t="inlineStr">
        <is>
          <t>The reference shows with its colours under it; "V8 is ready": a "V8 · Style transfer" version wears the photo’s colours.</t>
        </is>
      </c>
      <c r="H296" s="12" t="inlineStr">
        <is>
          <t>Same as 1.0</t>
        </is>
      </c>
      <c r="I296" s="11" t="inlineStr">
        <is>
          <t>Dane</t>
        </is>
      </c>
      <c r="J296" s="15" t="n"/>
      <c r="K296" s="15" t="n"/>
      <c r="L296" s="15" t="n"/>
      <c r="M296" s="16" t="n"/>
      <c r="N296" s="17" t="n"/>
      <c r="O296" s="17" t="n"/>
      <c r="P296" s="15" t="n"/>
    </row>
    <row r="297">
      <c r="A297" s="11" t="n">
        <v>13</v>
      </c>
      <c r="B297" s="11" t="inlineStr">
        <is>
          <t>13.12</t>
        </is>
      </c>
      <c r="C297" s="12" t="inlineStr">
        <is>
          <t>Her versions</t>
        </is>
      </c>
      <c r="D297" s="12" t="inlineStr">
        <is>
          <t>AI Visualizer</t>
        </is>
      </c>
      <c r="E297" s="13" t="inlineStr">
        <is>
          <t>Delete a version, undo it, and restore it later</t>
        </is>
      </c>
      <c r="F297" s="14" t="inlineStr">
        <is>
          <t>1. On "V5" open ⋮ ("More options for V5") › "Delete", then "Undo"
2. Delete V5 again, then reload the page
3. Beside "VERSIONS" click "1 deleted", press "Restore"</t>
        </is>
      </c>
      <c r="G297" s="14" t="inlineStr">
        <is>
          <t>"V5 deleted" with Undo; after the reload every room, version and the "Saved …" stamp are as you left them; Restore brings V5 back ("V5 restored").</t>
        </is>
      </c>
      <c r="H297" s="12" t="inlineStr">
        <is>
          <t>Different from 1.0: Undo, a Deleted list, nothing lost on reload</t>
        </is>
      </c>
      <c r="I297" s="11" t="inlineStr">
        <is>
          <t>Dane</t>
        </is>
      </c>
      <c r="J297" s="15" t="n"/>
      <c r="K297" s="15" t="n"/>
      <c r="L297" s="15" t="n"/>
      <c r="M297" s="16" t="n"/>
      <c r="N297" s="17" t="n"/>
      <c r="O297" s="17" t="n"/>
      <c r="P297" s="15" t="n"/>
    </row>
    <row r="298">
      <c r="A298" s="11" t="n">
        <v>13</v>
      </c>
      <c r="B298" s="11" t="inlineStr">
        <is>
          <t>13.13</t>
        </is>
      </c>
      <c r="C298" s="12" t="inlineStr">
        <is>
          <t>Her versions</t>
        </is>
      </c>
      <c r="D298" s="12" t="inlineStr">
        <is>
          <t>AI Visualizer</t>
        </is>
      </c>
      <c r="E298" s="13" t="inlineStr">
        <is>
          <t>Pin a note on a version and resolve it</t>
        </is>
      </c>
      <c r="F298" s="14" t="inlineStr">
        <is>
          <t>1. Click the "Living room" chip, then the "V1" tile
2. Press the pin icon ("Pin a note"), click a wall
3. Write Sage on this wall only?, press "Pin it"
4. Write a reply, press "Reply", then the tick ("Resolve")</t>
        </is>
      </c>
      <c r="G298" s="14" t="inlineStr">
        <is>
          <t>Pin 1 sits on the photo (the box said "Only your team sees it"); its card shows your note and reply, then "Resolved".</t>
        </is>
      </c>
      <c r="H298" s="12" t="inlineStr">
        <is>
          <t>Different from 1.0: pins on any version, not only portal shares</t>
        </is>
      </c>
      <c r="I298" s="11" t="inlineStr">
        <is>
          <t>Dane</t>
        </is>
      </c>
      <c r="J298" s="15" t="n"/>
      <c r="K298" s="15" t="n"/>
      <c r="L298" s="15" t="n"/>
      <c r="M298" s="16" t="n"/>
      <c r="N298" s="17" t="n"/>
      <c r="O298" s="17" t="n"/>
      <c r="P298" s="15" t="n"/>
    </row>
    <row r="299">
      <c r="A299" s="11" t="n">
        <v>13</v>
      </c>
      <c r="B299" s="11" t="inlineStr">
        <is>
          <t>13.14</t>
        </is>
      </c>
      <c r="C299" s="12" t="inlineStr">
        <is>
          <t>Her versions</t>
        </is>
      </c>
      <c r="D299" s="12" t="inlineStr">
        <is>
          <t>AI Visualizer</t>
        </is>
      </c>
      <c r="E299" s="13" t="inlineStr">
        <is>
          <t>Present a version, open its moodboard, download it</t>
        </is>
      </c>
      <c r="F299" s="14" t="inlineStr">
        <is>
          <t>1. Press "Present" (full-screen icon under the photo); press "Next version", then "Before and after · V1"; "Done"
2. On V1 open ⋮ › "Moodboard", read it, press "Done"
3. On V1 open ⋮ › "Download"</t>
        </is>
      </c>
      <c r="G299" s="14" t="inlineStr">
        <is>
          <t>A large view lists "WHAT CHANGED"; the moodboard shows "FINISHES" and "THE COLOURS IT READS AS"; "Render - Living room - V1.jpg" downloads.</t>
        </is>
      </c>
      <c r="H299" s="12" t="inlineStr">
        <is>
          <t>Different from 1.0: Present and a moodboard replace the view</t>
        </is>
      </c>
      <c r="I299" s="11" t="inlineStr">
        <is>
          <t>Dane</t>
        </is>
      </c>
      <c r="J299" s="15" t="n"/>
      <c r="K299" s="15" t="n"/>
      <c r="L299" s="15" t="n"/>
      <c r="M299" s="16" t="n"/>
      <c r="N299" s="17" t="n"/>
      <c r="O299" s="17" t="n"/>
      <c r="P299" s="15" t="n"/>
    </row>
    <row r="300">
      <c r="A300" s="11" t="n">
        <v>13</v>
      </c>
      <c r="B300" s="11" t="inlineStr">
        <is>
          <t>13.15</t>
        </is>
      </c>
      <c r="C300" s="12" t="inlineStr">
        <is>
          <t>Out to her lead</t>
        </is>
      </c>
      <c r="D300" s="12" t="inlineStr">
        <is>
          <t>AI Visualizer</t>
        </is>
      </c>
      <c r="E300" s="13" t="inlineStr">
        <is>
          <t>Save a render to her Files and come back to it</t>
        </is>
      </c>
      <c r="F300" s="14" t="inlineStr">
        <is>
          <t>1. On V1 open ⋮ › "Save to Files"
2. Press "Open" in the message
3. Click "Information" (ⓘ) and read "From"
4. Open "More options" (⋮) › "Open this version in AI Visualizer"</t>
        </is>
      </c>
      <c r="G300" s="14" t="inlineStr">
        <is>
          <t>"V1 saved to Files › Renders"; "Render - Living room - V1.jpg" reads From "AI Visualizer · Living room · V1"; its menu reopens V1.</t>
        </is>
      </c>
      <c r="H300" s="12" t="inlineStr">
        <is>
          <t>Different from 1.0: 1.0 promised this, never saved</t>
        </is>
      </c>
      <c r="I300" s="11" t="inlineStr">
        <is>
          <t>Dane</t>
        </is>
      </c>
      <c r="J300" s="15" t="n"/>
      <c r="K300" s="15" t="n"/>
      <c r="L300" s="15" t="n"/>
      <c r="M300" s="16" t="n"/>
      <c r="N300" s="17" t="n"/>
      <c r="O300" s="17" t="n"/>
      <c r="P300" s="15" t="n"/>
    </row>
    <row r="301">
      <c r="A301" s="11" t="n">
        <v>13</v>
      </c>
      <c r="B301" s="11" t="inlineStr">
        <is>
          <t>13.16</t>
        </is>
      </c>
      <c r="C301" s="12" t="inlineStr">
        <is>
          <t>Out to her lead</t>
        </is>
      </c>
      <c r="D301" s="12" t="inlineStr">
        <is>
          <t>AI Visualizer</t>
        </is>
      </c>
      <c r="E301" s="13" t="inlineStr">
        <is>
          <t>Turn a version’s finishes into quote lines</t>
        </is>
      </c>
      <c r="F301" s="14" t="inlineStr">
        <is>
          <t>1. On V1 open ⋮ › "Add to a quote…"
2. Read "THE LINES"; under "INTO" "A new quote" is already picked
3. Press "Add to quote", then "Open" in the message
4. Close the quote (✕) to come back</t>
        </is>
      </c>
      <c r="G301" s="14" t="inlineStr">
        <is>
          <t>Two lines, each "In at S$0 — yours to price" ("0 OF 2 PRICED"); "2 lines added"; the quote holds a section "Living room · V1 finishes".</t>
        </is>
      </c>
      <c r="H301" s="12" t="inlineStr">
        <is>
          <t>New in 2.0</t>
        </is>
      </c>
      <c r="I301" s="11" t="inlineStr">
        <is>
          <t>Dane</t>
        </is>
      </c>
      <c r="J301" s="15" t="n"/>
      <c r="K301" s="15" t="n"/>
      <c r="L301" s="15" t="n"/>
      <c r="M301" s="16" t="n"/>
      <c r="N301" s="17" t="n"/>
      <c r="O301" s="17" t="n"/>
      <c r="P301" s="15" t="n"/>
    </row>
    <row r="302">
      <c r="A302" s="11" t="n">
        <v>13</v>
      </c>
      <c r="B302" s="11" t="inlineStr">
        <is>
          <t>13.17</t>
        </is>
      </c>
      <c r="C302" s="12" t="inlineStr">
        <is>
          <t>Out to her lead</t>
        </is>
      </c>
      <c r="D302" s="12" t="inlineStr">
        <is>
          <t>AI Visualizer</t>
        </is>
      </c>
      <c r="E302" s="13" t="inlineStr">
        <is>
          <t>Share two versions with Sophia</t>
        </is>
      </c>
      <c r="F302" s="14" t="inlineStr">
        <is>
          <t>1. Press "Share with client" (top right)
2. Under "LIVING ROOM" V1 is already ticked — tick V2 too; write a line in "A note on the page (optional)"
3. Press "Create link", then "Copy link"
4. Press "Open WhatsApp" — a WhatsApp tab opens: close it, do not send</t>
        </is>
      </c>
      <c r="G302" s="14" t="inlineStr">
        <is>
          <t>Shared versions also go to Files › Renders; "Link copied"; the draft starts "Hi Sophia, here are 2 design ideas for your living room".</t>
        </is>
      </c>
      <c r="H302" s="12" t="inlineStr">
        <is>
          <t>Different from 1.0: pick up to six; WhatsApp, no chat</t>
        </is>
      </c>
      <c r="I302" s="11" t="inlineStr">
        <is>
          <t>Dane</t>
        </is>
      </c>
      <c r="J302" s="15" t="n"/>
      <c r="K302" s="15" t="n"/>
      <c r="L302" s="15" t="n"/>
      <c r="M302" s="16" t="n"/>
      <c r="N302" s="17" t="n"/>
      <c r="O302" s="17" t="n"/>
      <c r="P302" s="15" t="n"/>
    </row>
    <row r="303">
      <c r="A303" s="11" t="n">
        <v>13</v>
      </c>
      <c r="B303" s="11" t="inlineStr">
        <is>
          <t>13.18</t>
        </is>
      </c>
      <c r="C303" s="12" t="inlineStr">
        <is>
          <t>Sophia’s side</t>
        </is>
      </c>
      <c r="D303" s="12" t="inlineStr">
        <is>
          <t>AI Visualizer</t>
        </is>
      </c>
      <c r="E303" s="13" t="inlineStr">
        <is>
          <t>Open the link as Sophia and compare</t>
        </is>
      </c>
      <c r="F303" s="14" t="inlineStr">
        <is>
          <t>1. Open a private window and paste the link
2. Read the page
3. On "Design 1" press "Before and after" and drag the line</t>
        </is>
      </c>
      <c r="G303" s="14" t="inlineStr">
        <is>
          <t>The studio’s letterhead, "FOR SOPHIA", "2 design ideas for your living room", your note; each design lists what changed; the slider shows "Before" and "After".</t>
        </is>
      </c>
      <c r="H303" s="12" t="inlineStr">
        <is>
          <t>Different from 1.0: several designs on one branded page</t>
        </is>
      </c>
      <c r="I303" s="18" t="inlineStr">
        <is>
          <t>Sophia Wong (client)</t>
        </is>
      </c>
      <c r="J303" s="15" t="n"/>
      <c r="K303" s="15" t="n"/>
      <c r="L303" s="15" t="n"/>
      <c r="M303" s="16" t="n"/>
      <c r="N303" s="17" t="n"/>
      <c r="O303" s="17" t="n"/>
      <c r="P303" s="15" t="n"/>
    </row>
    <row r="304">
      <c r="A304" s="11" t="n">
        <v>13</v>
      </c>
      <c r="B304" s="11" t="inlineStr">
        <is>
          <t>13.19</t>
        </is>
      </c>
      <c r="C304" s="12" t="inlineStr">
        <is>
          <t>Sophia’s side</t>
        </is>
      </c>
      <c r="D304" s="12" t="inlineStr">
        <is>
          <t>AI Visualizer</t>
        </is>
      </c>
      <c r="E304" s="13" t="inlineStr">
        <is>
          <t>Pick a favourite, leave a note, pin a change</t>
        </is>
      </c>
      <c r="F304" s="14" t="inlineStr">
        <is>
          <t>1. On "Design 1" press "I like this one"
2. "Leave a note": write Could the floor be a shade lighter?, press "Send"
3. "Pin a note", click the sofa, write Keep this sofa?, press "Pin it"</t>
        </is>
      </c>
      <c r="G304" s="14" t="inlineStr">
        <is>
          <t>"Your favourite" and "Thanks — Dane will see it’s your favourite"; "Sent — Dane will see it"; "Pinned — Dane will see it".</t>
        </is>
      </c>
      <c r="H304" s="12" t="inlineStr">
        <is>
          <t>Different from 1.0: the client answers on the link</t>
        </is>
      </c>
      <c r="I304" s="18" t="inlineStr">
        <is>
          <t>Sophia Wong (client)</t>
        </is>
      </c>
      <c r="J304" s="15" t="n"/>
      <c r="K304" s="15" t="n"/>
      <c r="L304" s="15" t="n"/>
      <c r="M304" s="16" t="n"/>
      <c r="N304" s="17" t="n"/>
      <c r="O304" s="17" t="n"/>
      <c r="P304" s="15" t="n"/>
    </row>
    <row r="305">
      <c r="A305" s="11" t="n">
        <v>13</v>
      </c>
      <c r="B305" s="11" t="inlineStr">
        <is>
          <t>13.20</t>
        </is>
      </c>
      <c r="C305" s="12" t="inlineStr">
        <is>
          <t>Sophia’s side</t>
        </is>
      </c>
      <c r="D305" s="12" t="inlineStr">
        <is>
          <t>AI Visualizer</t>
        </is>
      </c>
      <c r="E305" s="13" t="inlineStr">
        <is>
          <t>Ask the studio to call you back</t>
        </is>
      </c>
      <c r="F305" s="14" t="inlineStr">
        <is>
          <t>1. Scroll to "Want to talk it through?"
2. Leave the number box empty; in "Anything to mention? (optional)" write Evenings are best
3. Press "Ask for a call back"</t>
        </is>
      </c>
      <c r="G305" s="14" t="inlineStr">
        <is>
          <t>It said "Dane will call you back on the number they have for you."; now it reads "Dane will call you back".</t>
        </is>
      </c>
      <c r="H305" s="12" t="inlineStr">
        <is>
          <t>Different from 1.0: the request becomes a task</t>
        </is>
      </c>
      <c r="I305" s="18" t="inlineStr">
        <is>
          <t>Sophia Wong (client)</t>
        </is>
      </c>
      <c r="J305" s="15" t="n"/>
      <c r="K305" s="15" t="n"/>
      <c r="L305" s="15" t="n"/>
      <c r="M305" s="16" t="n"/>
      <c r="N305" s="17" t="n"/>
      <c r="O305" s="17" t="n"/>
      <c r="P305" s="15" t="n"/>
    </row>
    <row r="306">
      <c r="A306" s="11" t="n">
        <v>13</v>
      </c>
      <c r="B306" s="11" t="inlineStr">
        <is>
          <t>13.21</t>
        </is>
      </c>
      <c r="C306" s="12" t="inlineStr">
        <is>
          <t>Back in the studio</t>
        </is>
      </c>
      <c r="D306" s="12" t="inlineStr">
        <is>
          <t>Notifications</t>
        </is>
      </c>
      <c r="E306" s="13" t="inlineStr">
        <is>
          <t>See Sophia’s answers reach Sarah, who owns her</t>
        </is>
      </c>
      <c r="F306" s="14" t="inlineStr">
        <is>
          <t>1. Leave the design with the back arrow; "Demo Studio" block › "View as" › "Sarah"
2. Click "Notifications" (the bell), then "Sophia Wong pinned a note on a render"
3. Press the back arrow and open the "Tasks" tab</t>
        </is>
      </c>
      <c r="G306" s="14" t="inlineStr">
        <is>
          <t>Four entries from Sophia; the design opens on V1 with her pin open; Tasks lists "Call Sophia Wong back about the renders" for Sarah and Dane.</t>
        </is>
      </c>
      <c r="H306" s="12" t="inlineStr">
        <is>
          <t>New in 2.0</t>
        </is>
      </c>
      <c r="I306" s="18" t="inlineStr">
        <is>
          <t>Sarah</t>
        </is>
      </c>
      <c r="J306" s="15" t="n"/>
      <c r="K306" s="15" t="n"/>
      <c r="L306" s="15" t="n"/>
      <c r="M306" s="16" t="n"/>
      <c r="N306" s="17" t="n"/>
      <c r="O306" s="17" t="n"/>
      <c r="P306" s="15" t="n"/>
    </row>
    <row r="307">
      <c r="A307" s="11" t="n">
        <v>13</v>
      </c>
      <c r="B307" s="11" t="inlineStr">
        <is>
          <t>13.22</t>
        </is>
      </c>
      <c r="C307" s="12" t="inlineStr">
        <is>
          <t>Back in the studio</t>
        </is>
      </c>
      <c r="D307" s="12" t="inlineStr">
        <is>
          <t>AI Visualizer</t>
        </is>
      </c>
      <c r="E307" s="13" t="inlineStr">
        <is>
          <t>Check who may rename or delete a design</t>
        </is>
      </c>
      <c r="F307" s="14" t="inlineStr">
        <is>
          <t>1. Side navigation "Tools" › "AI Visualizer", open the "Showroom ideas" folder
2. Open ⋮ on "Showroom — kitchen concept"
3. Close it; "Demo Studio" block › "View as" › "Dane"</t>
        </is>
      </c>
      <c r="G307" s="14" t="inlineStr">
        <is>
          <t>"Move to Folder", "Rename" and "Delete" are greyed: "Only Dane, an Owner or an Admin can move, rename or delete this".</t>
        </is>
      </c>
      <c r="H307" s="12" t="inlineStr">
        <is>
          <t>Different from 1.0: the maker’s rule, not an admin-only page</t>
        </is>
      </c>
      <c r="I307" s="18" t="inlineStr">
        <is>
          <t>Sarah</t>
        </is>
      </c>
      <c r="J307" s="15" t="n"/>
      <c r="K307" s="15" t="n"/>
      <c r="L307" s="15" t="n"/>
      <c r="M307" s="16" t="n"/>
      <c r="N307" s="17" t="n"/>
      <c r="O307" s="17" t="n"/>
      <c r="P307" s="15" t="n"/>
    </row>
    <row r="308">
      <c r="A308" s="11" t="n">
        <v>13</v>
      </c>
      <c r="B308" s="11" t="inlineStr">
        <is>
          <t>13.23</t>
        </is>
      </c>
      <c r="C308" s="12" t="inlineStr">
        <is>
          <t>Back in the studio</t>
        </is>
      </c>
      <c r="D308" s="12" t="inlineStr">
        <is>
          <t>Lead details</t>
        </is>
      </c>
      <c r="E308" s="13" t="inlineStr">
        <is>
          <t>Read the design’s trail on Sophia’s lead</t>
        </is>
      </c>
      <c r="F308" s="14" t="inlineStr">
        <is>
          <t>1. Open Sophia Wong › "Activity"
2. Read today’s AI Visualizer lines
3. On "Overview" press the quick link "AI Visualizer", then the back arrow</t>
        </is>
      </c>
      <c r="G308" s="14" t="inlineStr">
        <is>
          <t>Lines "You rendered V1 of “Living room” — Walls, Floor." and "Sophia Wong asked for a call back about the renders."; the link opens it.</t>
        </is>
      </c>
      <c r="H308" s="12" t="inlineStr">
        <is>
          <t>New in 2.0</t>
        </is>
      </c>
      <c r="I308" s="11" t="inlineStr">
        <is>
          <t>Dane</t>
        </is>
      </c>
      <c r="J308" s="15" t="n"/>
      <c r="K308" s="15" t="n"/>
      <c r="L308" s="15" t="n"/>
      <c r="M308" s="16" t="n"/>
      <c r="N308" s="17" t="n"/>
      <c r="O308" s="17" t="n"/>
      <c r="P308" s="15" t="n"/>
    </row>
    <row r="309">
      <c r="A309" s="11" t="n">
        <v>13</v>
      </c>
      <c r="B309" s="11" t="inlineStr">
        <is>
          <t>13.24</t>
        </is>
      </c>
      <c r="C309" s="12" t="inlineStr">
        <is>
          <t>Back in the studio</t>
        </is>
      </c>
      <c r="D309" s="12" t="inlineStr">
        <is>
          <t>AI Visualizer</t>
        </is>
      </c>
      <c r="E309" s="13" t="inlineStr">
        <is>
          <t>Stop sharing the link, then renew it</t>
        </is>
      </c>
      <c r="F309" s="14" t="inlineStr">
        <is>
          <t>1. Open her design again (the "AI Visualizer" quick link), press "Share with client" and read "SHARED BEFORE"
2. On the link’s row press the broken-link icon ("Stop sharing"), then "Stop sharing" in the question
3. Reload the private window
4. Close it (✕), press "Share with client" again, then "Renew" on the row; reload the private window again</t>
        </is>
      </c>
      <c r="G309" s="14" t="inlineStr">
        <is>
          <t>The row lists the opening, favourite, note and call back; then it reads "Stopped" and Sophia sees "This link is no longer active"; after "Renew" her page is back.</t>
        </is>
      </c>
      <c r="H309" s="12" t="inlineStr">
        <is>
          <t>Different from 1.0: links can be stopped and renewed</t>
        </is>
      </c>
      <c r="I309" s="11" t="inlineStr">
        <is>
          <t>Dane</t>
        </is>
      </c>
      <c r="J309" s="15" t="n"/>
      <c r="K309" s="15" t="n"/>
      <c r="L309" s="15" t="n"/>
      <c r="M309" s="16" t="n"/>
      <c r="N309" s="17" t="n"/>
      <c r="O309" s="17" t="n"/>
      <c r="P309" s="15" t="n"/>
    </row>
    <row r="310">
      <c r="A310" s="11" t="n">
        <v>13</v>
      </c>
      <c r="B310" s="11" t="inlineStr">
        <is>
          <t>13.25</t>
        </is>
      </c>
      <c r="C310" s="12" t="inlineStr">
        <is>
          <t>The studio’s library</t>
        </is>
      </c>
      <c r="D310" s="12" t="inlineStr">
        <is>
          <t>AI Visualizer</t>
        </is>
      </c>
      <c r="E310" s="13" t="inlineStr">
        <is>
          <t>Find your way round the AI Visualizer page</t>
        </is>
      </c>
      <c r="F310" s="14" t="inlineStr">
        <is>
          <t>1. Side navigation "Tools" › "AI Visualizer"; read the intro and the cards
2. Open "New" and read its three ways in; press Esc
3. Click "Kind: All" › "Personal", then back to "All"
4. Type kitchen in the search box</t>
        </is>
      </c>
      <c r="G310" s="14" t="inlineStr">
        <is>
          <t>Sophia Wong reads "Lead · Won · 2 rooms · …"; cards say when last "edited"; searching leaves Kevin Ng and "Showroom — kitchen concept".</t>
        </is>
      </c>
      <c r="H310" s="12" t="inlineStr">
        <is>
          <t>Different from 1.0: a Kind pill instead of view chips</t>
        </is>
      </c>
      <c r="I310" s="11" t="inlineStr">
        <is>
          <t>Dane</t>
        </is>
      </c>
      <c r="J310" s="15" t="n"/>
      <c r="K310" s="15" t="n"/>
      <c r="L310" s="15" t="n"/>
      <c r="M310" s="16" t="n"/>
      <c r="N310" s="17" t="n"/>
      <c r="O310" s="17" t="n"/>
      <c r="P310" s="15" t="n"/>
    </row>
    <row r="311">
      <c r="A311" s="11" t="n">
        <v>13</v>
      </c>
      <c r="B311" s="11" t="inlineStr">
        <is>
          <t>13.26</t>
        </is>
      </c>
      <c r="C311" s="12" t="inlineStr">
        <is>
          <t>The studio’s library</t>
        </is>
      </c>
      <c r="D311" s="12" t="inlineStr">
        <is>
          <t>AI Visualizer</t>
        </is>
      </c>
      <c r="E311" s="13" t="inlineStr">
        <is>
          <t>Start a design in a folder and render a sketch</t>
        </is>
      </c>
      <c r="F311" s="14" t="inlineStr">
        <is>
          <t>1. Clear the search, open the "Showroom ideas" folder, "New" › "Blank design"
2. Under "Add the first room" › "SAMPLE ROOMS" click "Kitchen sketch"
3. Press "Render from sketch" and wait
4. Press the back arrow</t>
        </is>
      </c>
      <c r="G311" s="14" t="inlineStr">
        <is>
          <t>An empty design opens with the chip "PERSONAL"; "This photo reads as a sketch. …"; "V1 · From sketch" is a kitchen photo; the folder holds your design.</t>
        </is>
      </c>
      <c r="H311" s="12" t="inlineStr">
        <is>
          <t>Different from 1.0: sketch to photo at every width</t>
        </is>
      </c>
      <c r="I311" s="11" t="inlineStr">
        <is>
          <t>Dane</t>
        </is>
      </c>
      <c r="J311" s="15" t="n"/>
      <c r="K311" s="15" t="n"/>
      <c r="L311" s="15" t="n"/>
      <c r="M311" s="16" t="n"/>
      <c r="N311" s="17" t="n"/>
      <c r="O311" s="17" t="n"/>
      <c r="P311" s="15" t="n"/>
    </row>
    <row r="312">
      <c r="A312" s="11" t="n">
        <v>13</v>
      </c>
      <c r="B312" s="11" t="inlineStr">
        <is>
          <t>13.27</t>
        </is>
      </c>
      <c r="C312" s="12" t="inlineStr">
        <is>
          <t>The studio’s library</t>
        </is>
      </c>
      <c r="D312" s="12" t="inlineStr">
        <is>
          <t>AI Visualizer</t>
        </is>
      </c>
      <c r="E312" s="13" t="inlineStr">
        <is>
          <t>Duplicate a design, delete the copy, find it again</t>
        </is>
      </c>
      <c r="F312" s="14" t="inlineStr">
        <is>
          <t>1. On your new design’s card open ⋮ › "Duplicate"
2. On the copy open ⋮ › "Delete", press "Delete", then "Undo"
3. Tick the copy’s box, press "Delete" in the bar and confirm
4. Open "More options" (⋮, top right) › "Deleted Designs"</t>
        </is>
      </c>
      <c r="G312" s="14" t="inlineStr">
        <is>
          <t>"Duplicated as a personal copy"; Undo brings the copy back ("… restored"); the bar offers "Move to Folder"; Deleted Designs lists the copy.</t>
        </is>
      </c>
      <c r="H312" s="12" t="inlineStr">
        <is>
          <t>Different from 1.0: delete has Undo and a Deleted list</t>
        </is>
      </c>
      <c r="I312" s="11" t="inlineStr">
        <is>
          <t>Dane</t>
        </is>
      </c>
      <c r="J312" s="15" t="n"/>
      <c r="K312" s="15" t="n"/>
      <c r="L312" s="15" t="n"/>
      <c r="M312" s="16" t="n"/>
      <c r="N312" s="17" t="n"/>
      <c r="O312" s="17" t="n"/>
      <c r="P312" s="15" t="n"/>
    </row>
    <row r="313">
      <c r="A313" s="11" t="n">
        <v>13</v>
      </c>
      <c r="B313" s="11" t="inlineStr">
        <is>
          <t>13.28</t>
        </is>
      </c>
      <c r="C313" s="12" t="inlineStr">
        <is>
          <t>The studio’s library</t>
        </is>
      </c>
      <c r="D313" s="12" t="inlineStr">
        <is>
          <t>Company</t>
        </is>
      </c>
      <c r="E313" s="13" t="inlineStr">
        <is>
          <t>Add the fluted panel to the studio’s materials</t>
        </is>
      </c>
      <c r="F313" s="14" t="inlineStr">
        <is>
          <t>1. Side navigation "Company" › "Materials", then "New" › "New material"
2. Press "Upload a photo", pick fluted-panel.jpg
3. "Name" (replace what is there) Fluted feature wall panel · "Category" Laminates · "Finish" Textured · "Price book item" Fluted feature wall panel
4. Press "Add material"</t>
        </is>
      </c>
      <c r="G313" s="14" t="inlineStr">
        <is>
          <t>"Material added"; its card shows the photo, "Laminates · Textured" and "Quoted as Fluted feature wall panel".</t>
        </is>
      </c>
      <c r="H313" s="12" t="inlineStr">
        <is>
          <t>Different from 1.0: a Company page, linked to the Price book</t>
        </is>
      </c>
      <c r="I313" s="11" t="inlineStr">
        <is>
          <t>Dane</t>
        </is>
      </c>
      <c r="J313" s="15" t="n"/>
      <c r="K313" s="15" t="n"/>
      <c r="L313" s="15" t="n"/>
      <c r="M313" s="16" t="n"/>
      <c r="N313" s="17" t="n"/>
      <c r="O313" s="17" t="n"/>
      <c r="P313" s="15" t="n"/>
    </row>
    <row r="314">
      <c r="A314" s="11" t="n">
        <v>13</v>
      </c>
      <c r="B314" s="11" t="inlineStr">
        <is>
          <t>13.29</t>
        </is>
      </c>
      <c r="C314" s="12" t="inlineStr">
        <is>
          <t>The studio’s library</t>
        </is>
      </c>
      <c r="D314" s="12" t="inlineStr">
        <is>
          <t>AI Visualizer</t>
        </is>
      </c>
      <c r="E314" s="13" t="inlineStr">
        <is>
          <t>Try a sample swatch in this design only</t>
        </is>
      </c>
      <c r="F314" s="14" t="inlineStr">
        <is>
          <t>1. "Tools" › "AI Visualizer" › "Sophia Wong"; click the "Living room" chip, then "Walls"
2. Press "Upload a swatch" and pick fluted-panel.jpg
3. In "Add a material" turn off "Save to the studio’s materials", press "Use in this design"</t>
        </is>
      </c>
      <c r="G314" s="14" t="inlineStr">
        <is>
          <t>The dialog shows the photo and "Renders as #…"; the change reads "Walls → fluted panel"; "YOUR STUDIO" lists it for this design.</t>
        </is>
      </c>
      <c r="H314" s="12" t="inlineStr">
        <is>
          <t>Same as 1.0</t>
        </is>
      </c>
      <c r="I314" s="11" t="inlineStr">
        <is>
          <t>Dane</t>
        </is>
      </c>
      <c r="J314" s="15" t="n"/>
      <c r="K314" s="15" t="n"/>
      <c r="L314" s="15" t="n"/>
      <c r="M314" s="16" t="n"/>
      <c r="N314" s="17" t="n"/>
      <c r="O314" s="17" t="n"/>
      <c r="P314" s="15" t="n"/>
    </row>
    <row r="315">
      <c r="A315" s="11" t="n">
        <v>13</v>
      </c>
      <c r="B315" s="11" t="inlineStr">
        <is>
          <t>13.30</t>
        </is>
      </c>
      <c r="C315" s="12" t="inlineStr">
        <is>
          <t>The studio’s library</t>
        </is>
      </c>
      <c r="D315" s="12" t="inlineStr">
        <is>
          <t>AI Visualizer</t>
        </is>
      </c>
      <c r="E315" s="13" t="inlineStr">
        <is>
          <t>Use the studio’s material and see it priced</t>
        </is>
      </c>
      <c r="F315" s="14" t="inlineStr">
        <is>
          <t>1. In the same picker search Fluted; click "Fluted feature wall panel" under "YOUR STUDIO"
2. Press "Generate"
3. On the new version open ⋮ › "Add to a quote…", read the lines, press "Cancel"</t>
        </is>
      </c>
      <c r="G315" s="14" t="inlineStr">
        <is>
          <t>The change reads "Walls → Fluted feature wall panel"; in the quote dialog that line says "Priced from the Price book" ("1 OF 2 PRICED").</t>
        </is>
      </c>
      <c r="H315" s="12" t="inlineStr">
        <is>
          <t>New in 2.0</t>
        </is>
      </c>
      <c r="I315" s="11" t="inlineStr">
        <is>
          <t>Dane</t>
        </is>
      </c>
      <c r="J315" s="15" t="n"/>
      <c r="K315" s="15" t="n"/>
      <c r="L315" s="15" t="n"/>
      <c r="M315" s="16" t="n"/>
      <c r="N315" s="17" t="n"/>
      <c r="O315" s="17" t="n"/>
      <c r="P315" s="15" t="n"/>
    </row>
    <row r="316">
      <c r="A316" s="11" t="n">
        <v>13</v>
      </c>
      <c r="B316" s="11" t="inlineStr">
        <is>
          <t>13.31</t>
        </is>
      </c>
      <c r="C316" s="12" t="inlineStr">
        <is>
          <t>The studio’s library</t>
        </is>
      </c>
      <c r="D316" s="12" t="inlineStr">
        <is>
          <t>AI Visualizer</t>
        </is>
      </c>
      <c r="E316" s="13" t="inlineStr">
        <is>
          <t>See what Kevin Ng’s client already said</t>
        </is>
      </c>
      <c r="F316" s="14" t="inlineStr">
        <is>
          <t>1. Back on the AI Visualizer page open "Kevin Ng", click the "Living room" chip
2. Click the version tile with the star, then the blue pin on the photo
3. Open "Style"; then "Surfaces" › "Walls"</t>
        </is>
      </c>
      <c r="G316" s="14" t="inlineStr">
        <is>
          <t>A starred favourite; his pin "Is the velvet easy to keep clean? We have a dog." has Dane’s reply; "Kevin’s style: Contemporary — Modern is the nearest …"; "SUGGESTED · MODERN".</t>
        </is>
      </c>
      <c r="H316" s="12" t="inlineStr">
        <is>
          <t>New in 2.0</t>
        </is>
      </c>
      <c r="I316" s="11" t="inlineStr">
        <is>
          <t>Dane</t>
        </is>
      </c>
      <c r="J316" s="15" t="n"/>
      <c r="K316" s="15" t="n"/>
      <c r="L316" s="15" t="n"/>
      <c r="M316" s="16" t="n"/>
      <c r="N316" s="17" t="n"/>
      <c r="O316" s="17" t="n"/>
      <c r="P316" s="15" t="n"/>
    </row>
    <row r="317">
      <c r="A317" s="11" t="n">
        <v>13</v>
      </c>
      <c r="B317" s="11" t="inlineStr">
        <is>
          <t>13.32</t>
        </is>
      </c>
      <c r="C317" s="12" t="inlineStr">
        <is>
          <t>On a phone</t>
        </is>
      </c>
      <c r="D317" s="12" t="inlineStr">
        <is>
          <t>Phone</t>
        </is>
      </c>
      <c r="E317" s="13" t="inlineStr">
        <is>
          <t>Change a finish on the phone</t>
        </is>
      </c>
      <c r="F317" s="14" t="inlineStr">
        <is>
          <t>1. On the phone (the "Network" address, as in chapter 12): bottom bar "Tools" › "AI Visualizer" › "Sophia Wong"
2. Tap "Surfaces" in the dock, tap "Walls", tap any paint (e.g. "Warm Greige")
3. Tap "Generate" above the dock
4. Tap "Tools" in the dock and look</t>
        </is>
      </c>
      <c r="G317" s="14" t="inlineStr">
        <is>
          <t>Room chips, photo, "VERSIONS", a five-mode dock; the panel rises; the bar counts "1 change"; a version lands; "Furnish the room" is greyed, saying why.</t>
        </is>
      </c>
      <c r="H317" s="12" t="inlineStr">
        <is>
          <t>Different from 1.0: every tool on a phone, furnish too</t>
        </is>
      </c>
      <c r="I317" s="11" t="inlineStr">
        <is>
          <t>Dane</t>
        </is>
      </c>
      <c r="J317" s="15" t="n"/>
      <c r="K317" s="15" t="n"/>
      <c r="L317" s="15" t="n"/>
      <c r="M317" s="16" t="n"/>
      <c r="N317" s="17" t="n"/>
      <c r="O317" s="17" t="n"/>
      <c r="P317" s="15" t="n"/>
    </row>
    <row r="318">
      <c r="A318" s="11" t="n">
        <v>13</v>
      </c>
      <c r="B318" s="11" t="inlineStr">
        <is>
          <t>13.33</t>
        </is>
      </c>
      <c r="C318" s="12" t="inlineStr">
        <is>
          <t>On a phone</t>
        </is>
      </c>
      <c r="D318" s="12" t="inlineStr">
        <is>
          <t>Phone</t>
        </is>
      </c>
      <c r="E318" s="13" t="inlineStr">
        <is>
          <t>Open Sophia’s link on the phone and compare</t>
        </is>
      </c>
      <c r="F318" s="14" t="inlineStr">
        <is>
          <t>1. In the design tap "Share with client" (the send icon)
2. Under "SHARED BEFORE" tap "Open the link" (↗)
3. On "Design 1" tap "Before and after" and drag the line with a finger</t>
        </is>
      </c>
      <c r="G318" s="14" t="inlineStr">
        <is>
          <t>Sophia’s page fits the phone; the line follows your finger; "Your favourite" still marks Design 1.</t>
        </is>
      </c>
      <c r="H318" s="12" t="inlineStr">
        <is>
          <t>Same as 1.0</t>
        </is>
      </c>
      <c r="I318" s="18" t="inlineStr">
        <is>
          <t>Sophia Wong (client)</t>
        </is>
      </c>
      <c r="J318" s="15" t="n"/>
      <c r="K318" s="15" t="n"/>
      <c r="L318" s="15" t="n"/>
      <c r="M318" s="16" t="n"/>
      <c r="N318" s="17" t="n"/>
      <c r="O318" s="17" t="n"/>
      <c r="P318" s="15" t="n"/>
    </row>
  </sheetData>
  <mergeCells count="14">
    <mergeCell ref="A183:P183"/>
    <mergeCell ref="A115:P115"/>
    <mergeCell ref="A14:P14"/>
    <mergeCell ref="A197:P197"/>
    <mergeCell ref="A91:P91"/>
    <mergeCell ref="A4:P4"/>
    <mergeCell ref="A224:P224"/>
    <mergeCell ref="A139:P139"/>
    <mergeCell ref="A240:P240"/>
    <mergeCell ref="A271:P271"/>
    <mergeCell ref="A285:P285"/>
    <mergeCell ref="A52:P52"/>
    <mergeCell ref="A257:P257"/>
    <mergeCell ref="A2:P2"/>
  </mergeCells>
  <conditionalFormatting sqref="J4:J318">
    <cfRule type="expression" priority="1" dxfId="0">
      <formula>$J4="✅ Works"</formula>
    </cfRule>
    <cfRule type="expression" priority="2" dxfId="1">
      <formula>$J4="🟡 Works, but…"</formula>
    </cfRule>
    <cfRule type="expression" priority="3" dxfId="2">
      <formula>$J4="❌ Doesn’t work"</formula>
    </cfRule>
    <cfRule type="expression" priority="4" dxfId="3">
      <formula>$J4="🔍 Couldn’t find it"</formula>
    </cfRule>
    <cfRule type="expression" priority="5" dxfId="4">
      <formula>$J4="⏭️ Skipped"</formula>
    </cfRule>
  </conditionalFormatting>
  <conditionalFormatting sqref="O4:O318">
    <cfRule type="expression" priority="6" dxfId="5">
      <formula>$O4="Fixed – please re-test"</formula>
    </cfRule>
  </conditionalFormatting>
  <dataValidations count="4">
    <dataValidation sqref="J4:J318" showDropDown="0" showInputMessage="0" showErrorMessage="1" allowBlank="1" errorTitle="Pick from the list" error="Pick one of the answers in the list." type="list">
      <formula1>='UAT · Lists'!$A$2:$A$6</formula1>
    </dataValidation>
    <dataValidation sqref="O4:O318" showDropDown="0" showInputMessage="0" showErrorMessage="1" allowBlank="1" errorTitle="Pick from the list" error="Pick one of the answers in the list." type="list">
      <formula1>='UAT · Lists'!$B$2:$B$6</formula1>
    </dataValidation>
    <dataValidation sqref="P4:P318" showDropDown="0" showInputMessage="0" showErrorMessage="1" allowBlank="1" errorTitle="Pick from the list" error="Pick one of the answers in the list." type="list">
      <formula1>='UAT · Lists'!$C$2:$C$3</formula1>
    </dataValidation>
    <dataValidation sqref="M4:M318" showDropDown="0" showInputMessage="0" showErrorMessage="0" allowBlank="1" type="date"/>
  </dataValidations>
  <pageMargins left="0.75" right="0.75" top="1" bottom="1" header="0.5" footer="0.5"/>
</worksheet>
</file>

<file path=xl/worksheets/sheet5.xml><?xml version="1.0" encoding="utf-8"?>
<worksheet xmlns="http://schemas.openxmlformats.org/spreadsheetml/2006/main">
  <sheetPr>
    <tabColor rgb="00E8A33D"/>
    <outlinePr summaryBelow="1" summaryRight="1"/>
    <pageSetUpPr/>
  </sheetPr>
  <dimension ref="A1:J200"/>
  <sheetViews>
    <sheetView workbookViewId="0">
      <pane ySplit="3" topLeftCell="A4" activePane="bottomLeft" state="frozen"/>
      <selection pane="bottomLeft" activeCell="A1" sqref="A1"/>
    </sheetView>
  </sheetViews>
  <sheetFormatPr baseColWidth="8" defaultRowHeight="15"/>
  <cols>
    <col width="12" customWidth="1" min="1" max="1"/>
    <col width="10" customWidth="1" min="2" max="2"/>
    <col width="26" customWidth="1" min="3" max="3"/>
    <col width="14" customWidth="1" min="4" max="4"/>
    <col width="24" customWidth="1" min="5" max="5"/>
    <col width="50" customWidth="1" min="6" max="6"/>
    <col width="18" customWidth="1" min="7" max="7"/>
    <col width="34" customWidth="1" min="8" max="8"/>
    <col width="18" customWidth="1" min="9" max="9"/>
    <col width="15" customWidth="1" min="10" max="10"/>
  </cols>
  <sheetData>
    <row r="1">
      <c r="A1" s="6" t="inlineStr">
        <is>
          <t>Anything the story did not cover</t>
        </is>
      </c>
    </row>
    <row r="2" ht="30" customHeight="1">
      <c r="A2" s="2" t="inlineStr">
        <is>
          <t>Something you used in 1.0 and cannot find in 2.0, something confusing, a bug outside the steps, or an idea. One row each. White columns are yours; grey columns are Vicky’s and Dane’s.</t>
        </is>
      </c>
    </row>
    <row r="3" ht="30" customHeight="1">
      <c r="A3" s="8" t="inlineStr">
        <is>
          <t>Date</t>
        </is>
      </c>
      <c r="B3" s="8" t="inlineStr">
        <is>
          <t>Who</t>
        </is>
      </c>
      <c r="C3" s="8" t="inlineStr">
        <is>
          <t>Type</t>
        </is>
      </c>
      <c r="D3" s="8" t="inlineStr">
        <is>
          <t>Module</t>
        </is>
      </c>
      <c r="E3" s="8" t="inlineStr">
        <is>
          <t>Where (which screen)</t>
        </is>
      </c>
      <c r="F3" s="8" t="inlineStr">
        <is>
          <t>What happened / what you expected</t>
        </is>
      </c>
      <c r="G3" s="8" t="inlineStr">
        <is>
          <t>Screenshot link</t>
        </is>
      </c>
      <c r="H3" s="7" t="inlineStr">
        <is>
          <t>Our reply</t>
        </is>
      </c>
      <c r="I3" s="7" t="inlineStr">
        <is>
          <t>Status</t>
        </is>
      </c>
      <c r="J3" s="8" t="inlineStr">
        <is>
          <t>Re-tested</t>
        </is>
      </c>
    </row>
    <row r="4">
      <c r="A4" s="16" t="n"/>
      <c r="B4" s="15" t="n"/>
      <c r="C4" s="15" t="n"/>
      <c r="D4" s="15" t="n"/>
      <c r="E4" s="15" t="n"/>
      <c r="F4" s="15" t="n"/>
      <c r="G4" s="15" t="n"/>
      <c r="H4" s="17" t="n"/>
      <c r="I4" s="17" t="n"/>
      <c r="J4" s="15" t="n"/>
    </row>
    <row r="5">
      <c r="A5" s="16" t="n"/>
      <c r="B5" s="15" t="n"/>
      <c r="C5" s="15" t="n"/>
      <c r="D5" s="15" t="n"/>
      <c r="E5" s="15" t="n"/>
      <c r="F5" s="15" t="n"/>
      <c r="G5" s="15" t="n"/>
      <c r="H5" s="17" t="n"/>
      <c r="I5" s="17" t="n"/>
      <c r="J5" s="15" t="n"/>
    </row>
    <row r="6">
      <c r="A6" s="16" t="n"/>
      <c r="B6" s="15" t="n"/>
      <c r="C6" s="15" t="n"/>
      <c r="D6" s="15" t="n"/>
      <c r="E6" s="15" t="n"/>
      <c r="F6" s="15" t="n"/>
      <c r="G6" s="15" t="n"/>
      <c r="H6" s="17" t="n"/>
      <c r="I6" s="17" t="n"/>
      <c r="J6" s="15" t="n"/>
    </row>
    <row r="7">
      <c r="A7" s="16" t="n"/>
      <c r="B7" s="15" t="n"/>
      <c r="C7" s="15" t="n"/>
      <c r="D7" s="15" t="n"/>
      <c r="E7" s="15" t="n"/>
      <c r="F7" s="15" t="n"/>
      <c r="G7" s="15" t="n"/>
      <c r="H7" s="17" t="n"/>
      <c r="I7" s="17" t="n"/>
      <c r="J7" s="15" t="n"/>
    </row>
    <row r="8">
      <c r="A8" s="16" t="n"/>
      <c r="B8" s="15" t="n"/>
      <c r="C8" s="15" t="n"/>
      <c r="D8" s="15" t="n"/>
      <c r="E8" s="15" t="n"/>
      <c r="F8" s="15" t="n"/>
      <c r="G8" s="15" t="n"/>
      <c r="H8" s="17" t="n"/>
      <c r="I8" s="17" t="n"/>
      <c r="J8" s="15" t="n"/>
    </row>
    <row r="9">
      <c r="A9" s="16" t="n"/>
      <c r="B9" s="15" t="n"/>
      <c r="C9" s="15" t="n"/>
      <c r="D9" s="15" t="n"/>
      <c r="E9" s="15" t="n"/>
      <c r="F9" s="15" t="n"/>
      <c r="G9" s="15" t="n"/>
      <c r="H9" s="17" t="n"/>
      <c r="I9" s="17" t="n"/>
      <c r="J9" s="15" t="n"/>
    </row>
    <row r="10">
      <c r="A10" s="16" t="n"/>
      <c r="B10" s="15" t="n"/>
      <c r="C10" s="15" t="n"/>
      <c r="D10" s="15" t="n"/>
      <c r="E10" s="15" t="n"/>
      <c r="F10" s="15" t="n"/>
      <c r="G10" s="15" t="n"/>
      <c r="H10" s="17" t="n"/>
      <c r="I10" s="17" t="n"/>
      <c r="J10" s="15" t="n"/>
    </row>
    <row r="11">
      <c r="A11" s="16" t="n"/>
      <c r="B11" s="15" t="n"/>
      <c r="C11" s="15" t="n"/>
      <c r="D11" s="15" t="n"/>
      <c r="E11" s="15" t="n"/>
      <c r="F11" s="15" t="n"/>
      <c r="G11" s="15" t="n"/>
      <c r="H11" s="17" t="n"/>
      <c r="I11" s="17" t="n"/>
      <c r="J11" s="15" t="n"/>
    </row>
    <row r="12">
      <c r="A12" s="16" t="n"/>
      <c r="B12" s="15" t="n"/>
      <c r="C12" s="15" t="n"/>
      <c r="D12" s="15" t="n"/>
      <c r="E12" s="15" t="n"/>
      <c r="F12" s="15" t="n"/>
      <c r="G12" s="15" t="n"/>
      <c r="H12" s="17" t="n"/>
      <c r="I12" s="17" t="n"/>
      <c r="J12" s="15" t="n"/>
    </row>
    <row r="13">
      <c r="A13" s="16" t="n"/>
      <c r="B13" s="15" t="n"/>
      <c r="C13" s="15" t="n"/>
      <c r="D13" s="15" t="n"/>
      <c r="E13" s="15" t="n"/>
      <c r="F13" s="15" t="n"/>
      <c r="G13" s="15" t="n"/>
      <c r="H13" s="17" t="n"/>
      <c r="I13" s="17" t="n"/>
      <c r="J13" s="15" t="n"/>
    </row>
    <row r="14">
      <c r="A14" s="16" t="n"/>
      <c r="B14" s="15" t="n"/>
      <c r="C14" s="15" t="n"/>
      <c r="D14" s="15" t="n"/>
      <c r="E14" s="15" t="n"/>
      <c r="F14" s="15" t="n"/>
      <c r="G14" s="15" t="n"/>
      <c r="H14" s="17" t="n"/>
      <c r="I14" s="17" t="n"/>
      <c r="J14" s="15" t="n"/>
    </row>
    <row r="15">
      <c r="A15" s="16" t="n"/>
      <c r="B15" s="15" t="n"/>
      <c r="C15" s="15" t="n"/>
      <c r="D15" s="15" t="n"/>
      <c r="E15" s="15" t="n"/>
      <c r="F15" s="15" t="n"/>
      <c r="G15" s="15" t="n"/>
      <c r="H15" s="17" t="n"/>
      <c r="I15" s="17" t="n"/>
      <c r="J15" s="15" t="n"/>
    </row>
    <row r="16">
      <c r="A16" s="16" t="n"/>
      <c r="B16" s="15" t="n"/>
      <c r="C16" s="15" t="n"/>
      <c r="D16" s="15" t="n"/>
      <c r="E16" s="15" t="n"/>
      <c r="F16" s="15" t="n"/>
      <c r="G16" s="15" t="n"/>
      <c r="H16" s="17" t="n"/>
      <c r="I16" s="17" t="n"/>
      <c r="J16" s="15" t="n"/>
    </row>
    <row r="17">
      <c r="A17" s="16" t="n"/>
      <c r="B17" s="15" t="n"/>
      <c r="C17" s="15" t="n"/>
      <c r="D17" s="15" t="n"/>
      <c r="E17" s="15" t="n"/>
      <c r="F17" s="15" t="n"/>
      <c r="G17" s="15" t="n"/>
      <c r="H17" s="17" t="n"/>
      <c r="I17" s="17" t="n"/>
      <c r="J17" s="15" t="n"/>
    </row>
    <row r="18">
      <c r="A18" s="16" t="n"/>
      <c r="B18" s="15" t="n"/>
      <c r="C18" s="15" t="n"/>
      <c r="D18" s="15" t="n"/>
      <c r="E18" s="15" t="n"/>
      <c r="F18" s="15" t="n"/>
      <c r="G18" s="15" t="n"/>
      <c r="H18" s="17" t="n"/>
      <c r="I18" s="17" t="n"/>
      <c r="J18" s="15" t="n"/>
    </row>
    <row r="19">
      <c r="A19" s="16" t="n"/>
      <c r="B19" s="15" t="n"/>
      <c r="C19" s="15" t="n"/>
      <c r="D19" s="15" t="n"/>
      <c r="E19" s="15" t="n"/>
      <c r="F19" s="15" t="n"/>
      <c r="G19" s="15" t="n"/>
      <c r="H19" s="17" t="n"/>
      <c r="I19" s="17" t="n"/>
      <c r="J19" s="15" t="n"/>
    </row>
    <row r="20">
      <c r="A20" s="16" t="n"/>
      <c r="B20" s="15" t="n"/>
      <c r="C20" s="15" t="n"/>
      <c r="D20" s="15" t="n"/>
      <c r="E20" s="15" t="n"/>
      <c r="F20" s="15" t="n"/>
      <c r="G20" s="15" t="n"/>
      <c r="H20" s="17" t="n"/>
      <c r="I20" s="17" t="n"/>
      <c r="J20" s="15" t="n"/>
    </row>
    <row r="21">
      <c r="A21" s="16" t="n"/>
      <c r="B21" s="15" t="n"/>
      <c r="C21" s="15" t="n"/>
      <c r="D21" s="15" t="n"/>
      <c r="E21" s="15" t="n"/>
      <c r="F21" s="15" t="n"/>
      <c r="G21" s="15" t="n"/>
      <c r="H21" s="17" t="n"/>
      <c r="I21" s="17" t="n"/>
      <c r="J21" s="15" t="n"/>
    </row>
    <row r="22">
      <c r="A22" s="16" t="n"/>
      <c r="B22" s="15" t="n"/>
      <c r="C22" s="15" t="n"/>
      <c r="D22" s="15" t="n"/>
      <c r="E22" s="15" t="n"/>
      <c r="F22" s="15" t="n"/>
      <c r="G22" s="15" t="n"/>
      <c r="H22" s="17" t="n"/>
      <c r="I22" s="17" t="n"/>
      <c r="J22" s="15" t="n"/>
    </row>
    <row r="23">
      <c r="A23" s="16" t="n"/>
      <c r="B23" s="15" t="n"/>
      <c r="C23" s="15" t="n"/>
      <c r="D23" s="15" t="n"/>
      <c r="E23" s="15" t="n"/>
      <c r="F23" s="15" t="n"/>
      <c r="G23" s="15" t="n"/>
      <c r="H23" s="17" t="n"/>
      <c r="I23" s="17" t="n"/>
      <c r="J23" s="15" t="n"/>
    </row>
    <row r="24">
      <c r="A24" s="16" t="n"/>
      <c r="B24" s="15" t="n"/>
      <c r="C24" s="15" t="n"/>
      <c r="D24" s="15" t="n"/>
      <c r="E24" s="15" t="n"/>
      <c r="F24" s="15" t="n"/>
      <c r="G24" s="15" t="n"/>
      <c r="H24" s="17" t="n"/>
      <c r="I24" s="17" t="n"/>
      <c r="J24" s="15" t="n"/>
    </row>
    <row r="25">
      <c r="A25" s="16" t="n"/>
      <c r="B25" s="15" t="n"/>
      <c r="C25" s="15" t="n"/>
      <c r="D25" s="15" t="n"/>
      <c r="E25" s="15" t="n"/>
      <c r="F25" s="15" t="n"/>
      <c r="G25" s="15" t="n"/>
      <c r="H25" s="17" t="n"/>
      <c r="I25" s="17" t="n"/>
      <c r="J25" s="15" t="n"/>
    </row>
    <row r="26">
      <c r="A26" s="16" t="n"/>
      <c r="B26" s="15" t="n"/>
      <c r="C26" s="15" t="n"/>
      <c r="D26" s="15" t="n"/>
      <c r="E26" s="15" t="n"/>
      <c r="F26" s="15" t="n"/>
      <c r="G26" s="15" t="n"/>
      <c r="H26" s="17" t="n"/>
      <c r="I26" s="17" t="n"/>
      <c r="J26" s="15" t="n"/>
    </row>
    <row r="27">
      <c r="A27" s="16" t="n"/>
      <c r="B27" s="15" t="n"/>
      <c r="C27" s="15" t="n"/>
      <c r="D27" s="15" t="n"/>
      <c r="E27" s="15" t="n"/>
      <c r="F27" s="15" t="n"/>
      <c r="G27" s="15" t="n"/>
      <c r="H27" s="17" t="n"/>
      <c r="I27" s="17" t="n"/>
      <c r="J27" s="15" t="n"/>
    </row>
    <row r="28">
      <c r="A28" s="16" t="n"/>
      <c r="B28" s="15" t="n"/>
      <c r="C28" s="15" t="n"/>
      <c r="D28" s="15" t="n"/>
      <c r="E28" s="15" t="n"/>
      <c r="F28" s="15" t="n"/>
      <c r="G28" s="15" t="n"/>
      <c r="H28" s="17" t="n"/>
      <c r="I28" s="17" t="n"/>
      <c r="J28" s="15" t="n"/>
    </row>
    <row r="29">
      <c r="A29" s="16" t="n"/>
      <c r="B29" s="15" t="n"/>
      <c r="C29" s="15" t="n"/>
      <c r="D29" s="15" t="n"/>
      <c r="E29" s="15" t="n"/>
      <c r="F29" s="15" t="n"/>
      <c r="G29" s="15" t="n"/>
      <c r="H29" s="17" t="n"/>
      <c r="I29" s="17" t="n"/>
      <c r="J29" s="15" t="n"/>
    </row>
    <row r="30">
      <c r="A30" s="16" t="n"/>
      <c r="B30" s="15" t="n"/>
      <c r="C30" s="15" t="n"/>
      <c r="D30" s="15" t="n"/>
      <c r="E30" s="15" t="n"/>
      <c r="F30" s="15" t="n"/>
      <c r="G30" s="15" t="n"/>
      <c r="H30" s="17" t="n"/>
      <c r="I30" s="17" t="n"/>
      <c r="J30" s="15" t="n"/>
    </row>
    <row r="31">
      <c r="A31" s="16" t="n"/>
      <c r="B31" s="15" t="n"/>
      <c r="C31" s="15" t="n"/>
      <c r="D31" s="15" t="n"/>
      <c r="E31" s="15" t="n"/>
      <c r="F31" s="15" t="n"/>
      <c r="G31" s="15" t="n"/>
      <c r="H31" s="17" t="n"/>
      <c r="I31" s="17" t="n"/>
      <c r="J31" s="15" t="n"/>
    </row>
    <row r="32">
      <c r="A32" s="16" t="n"/>
      <c r="B32" s="15" t="n"/>
      <c r="C32" s="15" t="n"/>
      <c r="D32" s="15" t="n"/>
      <c r="E32" s="15" t="n"/>
      <c r="F32" s="15" t="n"/>
      <c r="G32" s="15" t="n"/>
      <c r="H32" s="17" t="n"/>
      <c r="I32" s="17" t="n"/>
      <c r="J32" s="15" t="n"/>
    </row>
    <row r="33">
      <c r="A33" s="16" t="n"/>
      <c r="B33" s="15" t="n"/>
      <c r="C33" s="15" t="n"/>
      <c r="D33" s="15" t="n"/>
      <c r="E33" s="15" t="n"/>
      <c r="F33" s="15" t="n"/>
      <c r="G33" s="15" t="n"/>
      <c r="H33" s="17" t="n"/>
      <c r="I33" s="17" t="n"/>
      <c r="J33" s="15" t="n"/>
    </row>
    <row r="34">
      <c r="A34" s="16" t="n"/>
      <c r="B34" s="15" t="n"/>
      <c r="C34" s="15" t="n"/>
      <c r="D34" s="15" t="n"/>
      <c r="E34" s="15" t="n"/>
      <c r="F34" s="15" t="n"/>
      <c r="G34" s="15" t="n"/>
      <c r="H34" s="17" t="n"/>
      <c r="I34" s="17" t="n"/>
      <c r="J34" s="15" t="n"/>
    </row>
    <row r="35">
      <c r="A35" s="16" t="n"/>
      <c r="B35" s="15" t="n"/>
      <c r="C35" s="15" t="n"/>
      <c r="D35" s="15" t="n"/>
      <c r="E35" s="15" t="n"/>
      <c r="F35" s="15" t="n"/>
      <c r="G35" s="15" t="n"/>
      <c r="H35" s="17" t="n"/>
      <c r="I35" s="17" t="n"/>
      <c r="J35" s="15" t="n"/>
    </row>
    <row r="36">
      <c r="A36" s="16" t="n"/>
      <c r="B36" s="15" t="n"/>
      <c r="C36" s="15" t="n"/>
      <c r="D36" s="15" t="n"/>
      <c r="E36" s="15" t="n"/>
      <c r="F36" s="15" t="n"/>
      <c r="G36" s="15" t="n"/>
      <c r="H36" s="17" t="n"/>
      <c r="I36" s="17" t="n"/>
      <c r="J36" s="15" t="n"/>
    </row>
    <row r="37">
      <c r="A37" s="16" t="n"/>
      <c r="B37" s="15" t="n"/>
      <c r="C37" s="15" t="n"/>
      <c r="D37" s="15" t="n"/>
      <c r="E37" s="15" t="n"/>
      <c r="F37" s="15" t="n"/>
      <c r="G37" s="15" t="n"/>
      <c r="H37" s="17" t="n"/>
      <c r="I37" s="17" t="n"/>
      <c r="J37" s="15" t="n"/>
    </row>
    <row r="38">
      <c r="A38" s="16" t="n"/>
      <c r="B38" s="15" t="n"/>
      <c r="C38" s="15" t="n"/>
      <c r="D38" s="15" t="n"/>
      <c r="E38" s="15" t="n"/>
      <c r="F38" s="15" t="n"/>
      <c r="G38" s="15" t="n"/>
      <c r="H38" s="17" t="n"/>
      <c r="I38" s="17" t="n"/>
      <c r="J38" s="15" t="n"/>
    </row>
    <row r="39">
      <c r="A39" s="16" t="n"/>
      <c r="B39" s="15" t="n"/>
      <c r="C39" s="15" t="n"/>
      <c r="D39" s="15" t="n"/>
      <c r="E39" s="15" t="n"/>
      <c r="F39" s="15" t="n"/>
      <c r="G39" s="15" t="n"/>
      <c r="H39" s="17" t="n"/>
      <c r="I39" s="17" t="n"/>
      <c r="J39" s="15" t="n"/>
    </row>
    <row r="40">
      <c r="A40" s="16" t="n"/>
      <c r="B40" s="15" t="n"/>
      <c r="C40" s="15" t="n"/>
      <c r="D40" s="15" t="n"/>
      <c r="E40" s="15" t="n"/>
      <c r="F40" s="15" t="n"/>
      <c r="G40" s="15" t="n"/>
      <c r="H40" s="17" t="n"/>
      <c r="I40" s="17" t="n"/>
      <c r="J40" s="15" t="n"/>
    </row>
    <row r="41">
      <c r="A41" s="16" t="n"/>
      <c r="B41" s="15" t="n"/>
      <c r="C41" s="15" t="n"/>
      <c r="D41" s="15" t="n"/>
      <c r="E41" s="15" t="n"/>
      <c r="F41" s="15" t="n"/>
      <c r="G41" s="15" t="n"/>
      <c r="H41" s="17" t="n"/>
      <c r="I41" s="17" t="n"/>
      <c r="J41" s="15" t="n"/>
    </row>
    <row r="42">
      <c r="A42" s="16" t="n"/>
      <c r="B42" s="15" t="n"/>
      <c r="C42" s="15" t="n"/>
      <c r="D42" s="15" t="n"/>
      <c r="E42" s="15" t="n"/>
      <c r="F42" s="15" t="n"/>
      <c r="G42" s="15" t="n"/>
      <c r="H42" s="17" t="n"/>
      <c r="I42" s="17" t="n"/>
      <c r="J42" s="15" t="n"/>
    </row>
    <row r="43">
      <c r="A43" s="16" t="n"/>
      <c r="B43" s="15" t="n"/>
      <c r="C43" s="15" t="n"/>
      <c r="D43" s="15" t="n"/>
      <c r="E43" s="15" t="n"/>
      <c r="F43" s="15" t="n"/>
      <c r="G43" s="15" t="n"/>
      <c r="H43" s="17" t="n"/>
      <c r="I43" s="17" t="n"/>
      <c r="J43" s="15" t="n"/>
    </row>
    <row r="44">
      <c r="A44" s="16" t="n"/>
      <c r="B44" s="15" t="n"/>
      <c r="C44" s="15" t="n"/>
      <c r="D44" s="15" t="n"/>
      <c r="E44" s="15" t="n"/>
      <c r="F44" s="15" t="n"/>
      <c r="G44" s="15" t="n"/>
      <c r="H44" s="17" t="n"/>
      <c r="I44" s="17" t="n"/>
      <c r="J44" s="15" t="n"/>
    </row>
    <row r="45">
      <c r="A45" s="16" t="n"/>
      <c r="B45" s="15" t="n"/>
      <c r="C45" s="15" t="n"/>
      <c r="D45" s="15" t="n"/>
      <c r="E45" s="15" t="n"/>
      <c r="F45" s="15" t="n"/>
      <c r="G45" s="15" t="n"/>
      <c r="H45" s="17" t="n"/>
      <c r="I45" s="17" t="n"/>
      <c r="J45" s="15" t="n"/>
    </row>
    <row r="46">
      <c r="A46" s="16" t="n"/>
      <c r="B46" s="15" t="n"/>
      <c r="C46" s="15" t="n"/>
      <c r="D46" s="15" t="n"/>
      <c r="E46" s="15" t="n"/>
      <c r="F46" s="15" t="n"/>
      <c r="G46" s="15" t="n"/>
      <c r="H46" s="17" t="n"/>
      <c r="I46" s="17" t="n"/>
      <c r="J46" s="15" t="n"/>
    </row>
    <row r="47">
      <c r="A47" s="16" t="n"/>
      <c r="B47" s="15" t="n"/>
      <c r="C47" s="15" t="n"/>
      <c r="D47" s="15" t="n"/>
      <c r="E47" s="15" t="n"/>
      <c r="F47" s="15" t="n"/>
      <c r="G47" s="15" t="n"/>
      <c r="H47" s="17" t="n"/>
      <c r="I47" s="17" t="n"/>
      <c r="J47" s="15" t="n"/>
    </row>
    <row r="48">
      <c r="A48" s="16" t="n"/>
      <c r="B48" s="15" t="n"/>
      <c r="C48" s="15" t="n"/>
      <c r="D48" s="15" t="n"/>
      <c r="E48" s="15" t="n"/>
      <c r="F48" s="15" t="n"/>
      <c r="G48" s="15" t="n"/>
      <c r="H48" s="17" t="n"/>
      <c r="I48" s="17" t="n"/>
      <c r="J48" s="15" t="n"/>
    </row>
    <row r="49">
      <c r="A49" s="16" t="n"/>
      <c r="B49" s="15" t="n"/>
      <c r="C49" s="15" t="n"/>
      <c r="D49" s="15" t="n"/>
      <c r="E49" s="15" t="n"/>
      <c r="F49" s="15" t="n"/>
      <c r="G49" s="15" t="n"/>
      <c r="H49" s="17" t="n"/>
      <c r="I49" s="17" t="n"/>
      <c r="J49" s="15" t="n"/>
    </row>
    <row r="50">
      <c r="A50" s="16" t="n"/>
      <c r="B50" s="15" t="n"/>
      <c r="C50" s="15" t="n"/>
      <c r="D50" s="15" t="n"/>
      <c r="E50" s="15" t="n"/>
      <c r="F50" s="15" t="n"/>
      <c r="G50" s="15" t="n"/>
      <c r="H50" s="17" t="n"/>
      <c r="I50" s="17" t="n"/>
      <c r="J50" s="15" t="n"/>
    </row>
    <row r="51">
      <c r="A51" s="16" t="n"/>
      <c r="B51" s="15" t="n"/>
      <c r="C51" s="15" t="n"/>
      <c r="D51" s="15" t="n"/>
      <c r="E51" s="15" t="n"/>
      <c r="F51" s="15" t="n"/>
      <c r="G51" s="15" t="n"/>
      <c r="H51" s="17" t="n"/>
      <c r="I51" s="17" t="n"/>
      <c r="J51" s="15" t="n"/>
    </row>
    <row r="52">
      <c r="A52" s="16" t="n"/>
      <c r="B52" s="15" t="n"/>
      <c r="C52" s="15" t="n"/>
      <c r="D52" s="15" t="n"/>
      <c r="E52" s="15" t="n"/>
      <c r="F52" s="15" t="n"/>
      <c r="G52" s="15" t="n"/>
      <c r="H52" s="17" t="n"/>
      <c r="I52" s="17" t="n"/>
      <c r="J52" s="15" t="n"/>
    </row>
    <row r="53">
      <c r="A53" s="16" t="n"/>
      <c r="B53" s="15" t="n"/>
      <c r="C53" s="15" t="n"/>
      <c r="D53" s="15" t="n"/>
      <c r="E53" s="15" t="n"/>
      <c r="F53" s="15" t="n"/>
      <c r="G53" s="15" t="n"/>
      <c r="H53" s="17" t="n"/>
      <c r="I53" s="17" t="n"/>
      <c r="J53" s="15" t="n"/>
    </row>
    <row r="54">
      <c r="A54" s="16" t="n"/>
      <c r="B54" s="15" t="n"/>
      <c r="C54" s="15" t="n"/>
      <c r="D54" s="15" t="n"/>
      <c r="E54" s="15" t="n"/>
      <c r="F54" s="15" t="n"/>
      <c r="G54" s="15" t="n"/>
      <c r="H54" s="17" t="n"/>
      <c r="I54" s="17" t="n"/>
      <c r="J54" s="15" t="n"/>
    </row>
    <row r="55">
      <c r="A55" s="16" t="n"/>
      <c r="B55" s="15" t="n"/>
      <c r="C55" s="15" t="n"/>
      <c r="D55" s="15" t="n"/>
      <c r="E55" s="15" t="n"/>
      <c r="F55" s="15" t="n"/>
      <c r="G55" s="15" t="n"/>
      <c r="H55" s="17" t="n"/>
      <c r="I55" s="17" t="n"/>
      <c r="J55" s="15" t="n"/>
    </row>
    <row r="56">
      <c r="A56" s="16" t="n"/>
      <c r="B56" s="15" t="n"/>
      <c r="C56" s="15" t="n"/>
      <c r="D56" s="15" t="n"/>
      <c r="E56" s="15" t="n"/>
      <c r="F56" s="15" t="n"/>
      <c r="G56" s="15" t="n"/>
      <c r="H56" s="17" t="n"/>
      <c r="I56" s="17" t="n"/>
      <c r="J56" s="15" t="n"/>
    </row>
    <row r="57">
      <c r="A57" s="16" t="n"/>
      <c r="B57" s="15" t="n"/>
      <c r="C57" s="15" t="n"/>
      <c r="D57" s="15" t="n"/>
      <c r="E57" s="15" t="n"/>
      <c r="F57" s="15" t="n"/>
      <c r="G57" s="15" t="n"/>
      <c r="H57" s="17" t="n"/>
      <c r="I57" s="17" t="n"/>
      <c r="J57" s="15" t="n"/>
    </row>
    <row r="58">
      <c r="A58" s="16" t="n"/>
      <c r="B58" s="15" t="n"/>
      <c r="C58" s="15" t="n"/>
      <c r="D58" s="15" t="n"/>
      <c r="E58" s="15" t="n"/>
      <c r="F58" s="15" t="n"/>
      <c r="G58" s="15" t="n"/>
      <c r="H58" s="17" t="n"/>
      <c r="I58" s="17" t="n"/>
      <c r="J58" s="15" t="n"/>
    </row>
    <row r="59">
      <c r="A59" s="16" t="n"/>
      <c r="B59" s="15" t="n"/>
      <c r="C59" s="15" t="n"/>
      <c r="D59" s="15" t="n"/>
      <c r="E59" s="15" t="n"/>
      <c r="F59" s="15" t="n"/>
      <c r="G59" s="15" t="n"/>
      <c r="H59" s="17" t="n"/>
      <c r="I59" s="17" t="n"/>
      <c r="J59" s="15" t="n"/>
    </row>
    <row r="60">
      <c r="A60" s="16" t="n"/>
      <c r="B60" s="15" t="n"/>
      <c r="C60" s="15" t="n"/>
      <c r="D60" s="15" t="n"/>
      <c r="E60" s="15" t="n"/>
      <c r="F60" s="15" t="n"/>
      <c r="G60" s="15" t="n"/>
      <c r="H60" s="17" t="n"/>
      <c r="I60" s="17" t="n"/>
      <c r="J60" s="15" t="n"/>
    </row>
    <row r="61">
      <c r="A61" s="16" t="n"/>
      <c r="B61" s="15" t="n"/>
      <c r="C61" s="15" t="n"/>
      <c r="D61" s="15" t="n"/>
      <c r="E61" s="15" t="n"/>
      <c r="F61" s="15" t="n"/>
      <c r="G61" s="15" t="n"/>
      <c r="H61" s="17" t="n"/>
      <c r="I61" s="17" t="n"/>
      <c r="J61" s="15" t="n"/>
    </row>
    <row r="62">
      <c r="A62" s="16" t="n"/>
      <c r="B62" s="15" t="n"/>
      <c r="C62" s="15" t="n"/>
      <c r="D62" s="15" t="n"/>
      <c r="E62" s="15" t="n"/>
      <c r="F62" s="15" t="n"/>
      <c r="G62" s="15" t="n"/>
      <c r="H62" s="17" t="n"/>
      <c r="I62" s="17" t="n"/>
      <c r="J62" s="15" t="n"/>
    </row>
    <row r="63">
      <c r="A63" s="16" t="n"/>
      <c r="B63" s="15" t="n"/>
      <c r="C63" s="15" t="n"/>
      <c r="D63" s="15" t="n"/>
      <c r="E63" s="15" t="n"/>
      <c r="F63" s="15" t="n"/>
      <c r="G63" s="15" t="n"/>
      <c r="H63" s="17" t="n"/>
      <c r="I63" s="17" t="n"/>
      <c r="J63" s="15" t="n"/>
    </row>
    <row r="64">
      <c r="A64" s="16" t="n"/>
      <c r="B64" s="15" t="n"/>
      <c r="C64" s="15" t="n"/>
      <c r="D64" s="15" t="n"/>
      <c r="E64" s="15" t="n"/>
      <c r="F64" s="15" t="n"/>
      <c r="G64" s="15" t="n"/>
      <c r="H64" s="17" t="n"/>
      <c r="I64" s="17" t="n"/>
      <c r="J64" s="15" t="n"/>
    </row>
    <row r="65">
      <c r="A65" s="16" t="n"/>
      <c r="B65" s="15" t="n"/>
      <c r="C65" s="15" t="n"/>
      <c r="D65" s="15" t="n"/>
      <c r="E65" s="15" t="n"/>
      <c r="F65" s="15" t="n"/>
      <c r="G65" s="15" t="n"/>
      <c r="H65" s="17" t="n"/>
      <c r="I65" s="17" t="n"/>
      <c r="J65" s="15" t="n"/>
    </row>
    <row r="66">
      <c r="A66" s="16" t="n"/>
      <c r="B66" s="15" t="n"/>
      <c r="C66" s="15" t="n"/>
      <c r="D66" s="15" t="n"/>
      <c r="E66" s="15" t="n"/>
      <c r="F66" s="15" t="n"/>
      <c r="G66" s="15" t="n"/>
      <c r="H66" s="17" t="n"/>
      <c r="I66" s="17" t="n"/>
      <c r="J66" s="15" t="n"/>
    </row>
    <row r="67">
      <c r="A67" s="16" t="n"/>
      <c r="B67" s="15" t="n"/>
      <c r="C67" s="15" t="n"/>
      <c r="D67" s="15" t="n"/>
      <c r="E67" s="15" t="n"/>
      <c r="F67" s="15" t="n"/>
      <c r="G67" s="15" t="n"/>
      <c r="H67" s="17" t="n"/>
      <c r="I67" s="17" t="n"/>
      <c r="J67" s="15" t="n"/>
    </row>
    <row r="68">
      <c r="A68" s="16" t="n"/>
      <c r="B68" s="15" t="n"/>
      <c r="C68" s="15" t="n"/>
      <c r="D68" s="15" t="n"/>
      <c r="E68" s="15" t="n"/>
      <c r="F68" s="15" t="n"/>
      <c r="G68" s="15" t="n"/>
      <c r="H68" s="17" t="n"/>
      <c r="I68" s="17" t="n"/>
      <c r="J68" s="15" t="n"/>
    </row>
    <row r="69">
      <c r="A69" s="16" t="n"/>
      <c r="B69" s="15" t="n"/>
      <c r="C69" s="15" t="n"/>
      <c r="D69" s="15" t="n"/>
      <c r="E69" s="15" t="n"/>
      <c r="F69" s="15" t="n"/>
      <c r="G69" s="15" t="n"/>
      <c r="H69" s="17" t="n"/>
      <c r="I69" s="17" t="n"/>
      <c r="J69" s="15" t="n"/>
    </row>
    <row r="70">
      <c r="A70" s="16" t="n"/>
      <c r="B70" s="15" t="n"/>
      <c r="C70" s="15" t="n"/>
      <c r="D70" s="15" t="n"/>
      <c r="E70" s="15" t="n"/>
      <c r="F70" s="15" t="n"/>
      <c r="G70" s="15" t="n"/>
      <c r="H70" s="17" t="n"/>
      <c r="I70" s="17" t="n"/>
      <c r="J70" s="15" t="n"/>
    </row>
    <row r="71">
      <c r="A71" s="16" t="n"/>
      <c r="B71" s="15" t="n"/>
      <c r="C71" s="15" t="n"/>
      <c r="D71" s="15" t="n"/>
      <c r="E71" s="15" t="n"/>
      <c r="F71" s="15" t="n"/>
      <c r="G71" s="15" t="n"/>
      <c r="H71" s="17" t="n"/>
      <c r="I71" s="17" t="n"/>
      <c r="J71" s="15" t="n"/>
    </row>
    <row r="72">
      <c r="A72" s="16" t="n"/>
      <c r="B72" s="15" t="n"/>
      <c r="C72" s="15" t="n"/>
      <c r="D72" s="15" t="n"/>
      <c r="E72" s="15" t="n"/>
      <c r="F72" s="15" t="n"/>
      <c r="G72" s="15" t="n"/>
      <c r="H72" s="17" t="n"/>
      <c r="I72" s="17" t="n"/>
      <c r="J72" s="15" t="n"/>
    </row>
    <row r="73">
      <c r="A73" s="16" t="n"/>
      <c r="B73" s="15" t="n"/>
      <c r="C73" s="15" t="n"/>
      <c r="D73" s="15" t="n"/>
      <c r="E73" s="15" t="n"/>
      <c r="F73" s="15" t="n"/>
      <c r="G73" s="15" t="n"/>
      <c r="H73" s="17" t="n"/>
      <c r="I73" s="17" t="n"/>
      <c r="J73" s="15" t="n"/>
    </row>
    <row r="74">
      <c r="A74" s="16" t="n"/>
      <c r="B74" s="15" t="n"/>
      <c r="C74" s="15" t="n"/>
      <c r="D74" s="15" t="n"/>
      <c r="E74" s="15" t="n"/>
      <c r="F74" s="15" t="n"/>
      <c r="G74" s="15" t="n"/>
      <c r="H74" s="17" t="n"/>
      <c r="I74" s="17" t="n"/>
      <c r="J74" s="15" t="n"/>
    </row>
    <row r="75">
      <c r="A75" s="16" t="n"/>
      <c r="B75" s="15" t="n"/>
      <c r="C75" s="15" t="n"/>
      <c r="D75" s="15" t="n"/>
      <c r="E75" s="15" t="n"/>
      <c r="F75" s="15" t="n"/>
      <c r="G75" s="15" t="n"/>
      <c r="H75" s="17" t="n"/>
      <c r="I75" s="17" t="n"/>
      <c r="J75" s="15" t="n"/>
    </row>
    <row r="76">
      <c r="A76" s="16" t="n"/>
      <c r="B76" s="15" t="n"/>
      <c r="C76" s="15" t="n"/>
      <c r="D76" s="15" t="n"/>
      <c r="E76" s="15" t="n"/>
      <c r="F76" s="15" t="n"/>
      <c r="G76" s="15" t="n"/>
      <c r="H76" s="17" t="n"/>
      <c r="I76" s="17" t="n"/>
      <c r="J76" s="15" t="n"/>
    </row>
    <row r="77">
      <c r="A77" s="16" t="n"/>
      <c r="B77" s="15" t="n"/>
      <c r="C77" s="15" t="n"/>
      <c r="D77" s="15" t="n"/>
      <c r="E77" s="15" t="n"/>
      <c r="F77" s="15" t="n"/>
      <c r="G77" s="15" t="n"/>
      <c r="H77" s="17" t="n"/>
      <c r="I77" s="17" t="n"/>
      <c r="J77" s="15" t="n"/>
    </row>
    <row r="78">
      <c r="A78" s="16" t="n"/>
      <c r="B78" s="15" t="n"/>
      <c r="C78" s="15" t="n"/>
      <c r="D78" s="15" t="n"/>
      <c r="E78" s="15" t="n"/>
      <c r="F78" s="15" t="n"/>
      <c r="G78" s="15" t="n"/>
      <c r="H78" s="17" t="n"/>
      <c r="I78" s="17" t="n"/>
      <c r="J78" s="15" t="n"/>
    </row>
    <row r="79">
      <c r="A79" s="16" t="n"/>
      <c r="B79" s="15" t="n"/>
      <c r="C79" s="15" t="n"/>
      <c r="D79" s="15" t="n"/>
      <c r="E79" s="15" t="n"/>
      <c r="F79" s="15" t="n"/>
      <c r="G79" s="15" t="n"/>
      <c r="H79" s="17" t="n"/>
      <c r="I79" s="17" t="n"/>
      <c r="J79" s="15" t="n"/>
    </row>
    <row r="80">
      <c r="A80" s="16" t="n"/>
      <c r="B80" s="15" t="n"/>
      <c r="C80" s="15" t="n"/>
      <c r="D80" s="15" t="n"/>
      <c r="E80" s="15" t="n"/>
      <c r="F80" s="15" t="n"/>
      <c r="G80" s="15" t="n"/>
      <c r="H80" s="17" t="n"/>
      <c r="I80" s="17" t="n"/>
      <c r="J80" s="15" t="n"/>
    </row>
    <row r="81">
      <c r="A81" s="16" t="n"/>
      <c r="B81" s="15" t="n"/>
      <c r="C81" s="15" t="n"/>
      <c r="D81" s="15" t="n"/>
      <c r="E81" s="15" t="n"/>
      <c r="F81" s="15" t="n"/>
      <c r="G81" s="15" t="n"/>
      <c r="H81" s="17" t="n"/>
      <c r="I81" s="17" t="n"/>
      <c r="J81" s="15" t="n"/>
    </row>
    <row r="82">
      <c r="A82" s="16" t="n"/>
      <c r="B82" s="15" t="n"/>
      <c r="C82" s="15" t="n"/>
      <c r="D82" s="15" t="n"/>
      <c r="E82" s="15" t="n"/>
      <c r="F82" s="15" t="n"/>
      <c r="G82" s="15" t="n"/>
      <c r="H82" s="17" t="n"/>
      <c r="I82" s="17" t="n"/>
      <c r="J82" s="15" t="n"/>
    </row>
    <row r="83">
      <c r="A83" s="16" t="n"/>
      <c r="B83" s="15" t="n"/>
      <c r="C83" s="15" t="n"/>
      <c r="D83" s="15" t="n"/>
      <c r="E83" s="15" t="n"/>
      <c r="F83" s="15" t="n"/>
      <c r="G83" s="15" t="n"/>
      <c r="H83" s="17" t="n"/>
      <c r="I83" s="17" t="n"/>
      <c r="J83" s="15" t="n"/>
    </row>
    <row r="84">
      <c r="A84" s="16" t="n"/>
      <c r="B84" s="15" t="n"/>
      <c r="C84" s="15" t="n"/>
      <c r="D84" s="15" t="n"/>
      <c r="E84" s="15" t="n"/>
      <c r="F84" s="15" t="n"/>
      <c r="G84" s="15" t="n"/>
      <c r="H84" s="17" t="n"/>
      <c r="I84" s="17" t="n"/>
      <c r="J84" s="15" t="n"/>
    </row>
    <row r="85">
      <c r="A85" s="16" t="n"/>
      <c r="B85" s="15" t="n"/>
      <c r="C85" s="15" t="n"/>
      <c r="D85" s="15" t="n"/>
      <c r="E85" s="15" t="n"/>
      <c r="F85" s="15" t="n"/>
      <c r="G85" s="15" t="n"/>
      <c r="H85" s="17" t="n"/>
      <c r="I85" s="17" t="n"/>
      <c r="J85" s="15" t="n"/>
    </row>
    <row r="86">
      <c r="A86" s="16" t="n"/>
      <c r="B86" s="15" t="n"/>
      <c r="C86" s="15" t="n"/>
      <c r="D86" s="15" t="n"/>
      <c r="E86" s="15" t="n"/>
      <c r="F86" s="15" t="n"/>
      <c r="G86" s="15" t="n"/>
      <c r="H86" s="17" t="n"/>
      <c r="I86" s="17" t="n"/>
      <c r="J86" s="15" t="n"/>
    </row>
    <row r="87">
      <c r="A87" s="16" t="n"/>
      <c r="B87" s="15" t="n"/>
      <c r="C87" s="15" t="n"/>
      <c r="D87" s="15" t="n"/>
      <c r="E87" s="15" t="n"/>
      <c r="F87" s="15" t="n"/>
      <c r="G87" s="15" t="n"/>
      <c r="H87" s="17" t="n"/>
      <c r="I87" s="17" t="n"/>
      <c r="J87" s="15" t="n"/>
    </row>
    <row r="88">
      <c r="A88" s="16" t="n"/>
      <c r="B88" s="15" t="n"/>
      <c r="C88" s="15" t="n"/>
      <c r="D88" s="15" t="n"/>
      <c r="E88" s="15" t="n"/>
      <c r="F88" s="15" t="n"/>
      <c r="G88" s="15" t="n"/>
      <c r="H88" s="17" t="n"/>
      <c r="I88" s="17" t="n"/>
      <c r="J88" s="15" t="n"/>
    </row>
    <row r="89">
      <c r="A89" s="16" t="n"/>
      <c r="B89" s="15" t="n"/>
      <c r="C89" s="15" t="n"/>
      <c r="D89" s="15" t="n"/>
      <c r="E89" s="15" t="n"/>
      <c r="F89" s="15" t="n"/>
      <c r="G89" s="15" t="n"/>
      <c r="H89" s="17" t="n"/>
      <c r="I89" s="17" t="n"/>
      <c r="J89" s="15" t="n"/>
    </row>
    <row r="90">
      <c r="A90" s="16" t="n"/>
      <c r="B90" s="15" t="n"/>
      <c r="C90" s="15" t="n"/>
      <c r="D90" s="15" t="n"/>
      <c r="E90" s="15" t="n"/>
      <c r="F90" s="15" t="n"/>
      <c r="G90" s="15" t="n"/>
      <c r="H90" s="17" t="n"/>
      <c r="I90" s="17" t="n"/>
      <c r="J90" s="15" t="n"/>
    </row>
    <row r="91">
      <c r="A91" s="16" t="n"/>
      <c r="B91" s="15" t="n"/>
      <c r="C91" s="15" t="n"/>
      <c r="D91" s="15" t="n"/>
      <c r="E91" s="15" t="n"/>
      <c r="F91" s="15" t="n"/>
      <c r="G91" s="15" t="n"/>
      <c r="H91" s="17" t="n"/>
      <c r="I91" s="17" t="n"/>
      <c r="J91" s="15" t="n"/>
    </row>
    <row r="92">
      <c r="A92" s="16" t="n"/>
      <c r="B92" s="15" t="n"/>
      <c r="C92" s="15" t="n"/>
      <c r="D92" s="15" t="n"/>
      <c r="E92" s="15" t="n"/>
      <c r="F92" s="15" t="n"/>
      <c r="G92" s="15" t="n"/>
      <c r="H92" s="17" t="n"/>
      <c r="I92" s="17" t="n"/>
      <c r="J92" s="15" t="n"/>
    </row>
    <row r="93">
      <c r="A93" s="16" t="n"/>
      <c r="B93" s="15" t="n"/>
      <c r="C93" s="15" t="n"/>
      <c r="D93" s="15" t="n"/>
      <c r="E93" s="15" t="n"/>
      <c r="F93" s="15" t="n"/>
      <c r="G93" s="15" t="n"/>
      <c r="H93" s="17" t="n"/>
      <c r="I93" s="17" t="n"/>
      <c r="J93" s="15" t="n"/>
    </row>
    <row r="94">
      <c r="A94" s="16" t="n"/>
      <c r="B94" s="15" t="n"/>
      <c r="C94" s="15" t="n"/>
      <c r="D94" s="15" t="n"/>
      <c r="E94" s="15" t="n"/>
      <c r="F94" s="15" t="n"/>
      <c r="G94" s="15" t="n"/>
      <c r="H94" s="17" t="n"/>
      <c r="I94" s="17" t="n"/>
      <c r="J94" s="15" t="n"/>
    </row>
    <row r="95">
      <c r="A95" s="16" t="n"/>
      <c r="B95" s="15" t="n"/>
      <c r="C95" s="15" t="n"/>
      <c r="D95" s="15" t="n"/>
      <c r="E95" s="15" t="n"/>
      <c r="F95" s="15" t="n"/>
      <c r="G95" s="15" t="n"/>
      <c r="H95" s="17" t="n"/>
      <c r="I95" s="17" t="n"/>
      <c r="J95" s="15" t="n"/>
    </row>
    <row r="96">
      <c r="A96" s="16" t="n"/>
      <c r="B96" s="15" t="n"/>
      <c r="C96" s="15" t="n"/>
      <c r="D96" s="15" t="n"/>
      <c r="E96" s="15" t="n"/>
      <c r="F96" s="15" t="n"/>
      <c r="G96" s="15" t="n"/>
      <c r="H96" s="17" t="n"/>
      <c r="I96" s="17" t="n"/>
      <c r="J96" s="15" t="n"/>
    </row>
    <row r="97">
      <c r="A97" s="16" t="n"/>
      <c r="B97" s="15" t="n"/>
      <c r="C97" s="15" t="n"/>
      <c r="D97" s="15" t="n"/>
      <c r="E97" s="15" t="n"/>
      <c r="F97" s="15" t="n"/>
      <c r="G97" s="15" t="n"/>
      <c r="H97" s="17" t="n"/>
      <c r="I97" s="17" t="n"/>
      <c r="J97" s="15" t="n"/>
    </row>
    <row r="98">
      <c r="A98" s="16" t="n"/>
      <c r="B98" s="15" t="n"/>
      <c r="C98" s="15" t="n"/>
      <c r="D98" s="15" t="n"/>
      <c r="E98" s="15" t="n"/>
      <c r="F98" s="15" t="n"/>
      <c r="G98" s="15" t="n"/>
      <c r="H98" s="17" t="n"/>
      <c r="I98" s="17" t="n"/>
      <c r="J98" s="15" t="n"/>
    </row>
    <row r="99">
      <c r="A99" s="16" t="n"/>
      <c r="B99" s="15" t="n"/>
      <c r="C99" s="15" t="n"/>
      <c r="D99" s="15" t="n"/>
      <c r="E99" s="15" t="n"/>
      <c r="F99" s="15" t="n"/>
      <c r="G99" s="15" t="n"/>
      <c r="H99" s="17" t="n"/>
      <c r="I99" s="17" t="n"/>
      <c r="J99" s="15" t="n"/>
    </row>
    <row r="100">
      <c r="A100" s="16" t="n"/>
      <c r="B100" s="15" t="n"/>
      <c r="C100" s="15" t="n"/>
      <c r="D100" s="15" t="n"/>
      <c r="E100" s="15" t="n"/>
      <c r="F100" s="15" t="n"/>
      <c r="G100" s="15" t="n"/>
      <c r="H100" s="17" t="n"/>
      <c r="I100" s="17" t="n"/>
      <c r="J100" s="15" t="n"/>
    </row>
    <row r="101">
      <c r="A101" s="16" t="n"/>
      <c r="B101" s="15" t="n"/>
      <c r="C101" s="15" t="n"/>
      <c r="D101" s="15" t="n"/>
      <c r="E101" s="15" t="n"/>
      <c r="F101" s="15" t="n"/>
      <c r="G101" s="15" t="n"/>
      <c r="H101" s="17" t="n"/>
      <c r="I101" s="17" t="n"/>
      <c r="J101" s="15" t="n"/>
    </row>
    <row r="102">
      <c r="A102" s="16" t="n"/>
      <c r="B102" s="15" t="n"/>
      <c r="C102" s="15" t="n"/>
      <c r="D102" s="15" t="n"/>
      <c r="E102" s="15" t="n"/>
      <c r="F102" s="15" t="n"/>
      <c r="G102" s="15" t="n"/>
      <c r="H102" s="17" t="n"/>
      <c r="I102" s="17" t="n"/>
      <c r="J102" s="15" t="n"/>
    </row>
    <row r="103">
      <c r="A103" s="16" t="n"/>
      <c r="B103" s="15" t="n"/>
      <c r="C103" s="15" t="n"/>
      <c r="D103" s="15" t="n"/>
      <c r="E103" s="15" t="n"/>
      <c r="F103" s="15" t="n"/>
      <c r="G103" s="15" t="n"/>
      <c r="H103" s="17" t="n"/>
      <c r="I103" s="17" t="n"/>
      <c r="J103" s="15" t="n"/>
    </row>
    <row r="104">
      <c r="A104" s="16" t="n"/>
      <c r="B104" s="15" t="n"/>
      <c r="C104" s="15" t="n"/>
      <c r="D104" s="15" t="n"/>
      <c r="E104" s="15" t="n"/>
      <c r="F104" s="15" t="n"/>
      <c r="G104" s="15" t="n"/>
      <c r="H104" s="17" t="n"/>
      <c r="I104" s="17" t="n"/>
      <c r="J104" s="15" t="n"/>
    </row>
    <row r="105">
      <c r="A105" s="16" t="n"/>
      <c r="B105" s="15" t="n"/>
      <c r="C105" s="15" t="n"/>
      <c r="D105" s="15" t="n"/>
      <c r="E105" s="15" t="n"/>
      <c r="F105" s="15" t="n"/>
      <c r="G105" s="15" t="n"/>
      <c r="H105" s="17" t="n"/>
      <c r="I105" s="17" t="n"/>
      <c r="J105" s="15" t="n"/>
    </row>
    <row r="106">
      <c r="A106" s="16" t="n"/>
      <c r="B106" s="15" t="n"/>
      <c r="C106" s="15" t="n"/>
      <c r="D106" s="15" t="n"/>
      <c r="E106" s="15" t="n"/>
      <c r="F106" s="15" t="n"/>
      <c r="G106" s="15" t="n"/>
      <c r="H106" s="17" t="n"/>
      <c r="I106" s="17" t="n"/>
      <c r="J106" s="15" t="n"/>
    </row>
    <row r="107">
      <c r="A107" s="16" t="n"/>
      <c r="B107" s="15" t="n"/>
      <c r="C107" s="15" t="n"/>
      <c r="D107" s="15" t="n"/>
      <c r="E107" s="15" t="n"/>
      <c r="F107" s="15" t="n"/>
      <c r="G107" s="15" t="n"/>
      <c r="H107" s="17" t="n"/>
      <c r="I107" s="17" t="n"/>
      <c r="J107" s="15" t="n"/>
    </row>
    <row r="108">
      <c r="A108" s="16" t="n"/>
      <c r="B108" s="15" t="n"/>
      <c r="C108" s="15" t="n"/>
      <c r="D108" s="15" t="n"/>
      <c r="E108" s="15" t="n"/>
      <c r="F108" s="15" t="n"/>
      <c r="G108" s="15" t="n"/>
      <c r="H108" s="17" t="n"/>
      <c r="I108" s="17" t="n"/>
      <c r="J108" s="15" t="n"/>
    </row>
    <row r="109">
      <c r="A109" s="16" t="n"/>
      <c r="B109" s="15" t="n"/>
      <c r="C109" s="15" t="n"/>
      <c r="D109" s="15" t="n"/>
      <c r="E109" s="15" t="n"/>
      <c r="F109" s="15" t="n"/>
      <c r="G109" s="15" t="n"/>
      <c r="H109" s="17" t="n"/>
      <c r="I109" s="17" t="n"/>
      <c r="J109" s="15" t="n"/>
    </row>
    <row r="110">
      <c r="A110" s="16" t="n"/>
      <c r="B110" s="15" t="n"/>
      <c r="C110" s="15" t="n"/>
      <c r="D110" s="15" t="n"/>
      <c r="E110" s="15" t="n"/>
      <c r="F110" s="15" t="n"/>
      <c r="G110" s="15" t="n"/>
      <c r="H110" s="17" t="n"/>
      <c r="I110" s="17" t="n"/>
      <c r="J110" s="15" t="n"/>
    </row>
    <row r="111">
      <c r="A111" s="16" t="n"/>
      <c r="B111" s="15" t="n"/>
      <c r="C111" s="15" t="n"/>
      <c r="D111" s="15" t="n"/>
      <c r="E111" s="15" t="n"/>
      <c r="F111" s="15" t="n"/>
      <c r="G111" s="15" t="n"/>
      <c r="H111" s="17" t="n"/>
      <c r="I111" s="17" t="n"/>
      <c r="J111" s="15" t="n"/>
    </row>
    <row r="112">
      <c r="A112" s="16" t="n"/>
      <c r="B112" s="15" t="n"/>
      <c r="C112" s="15" t="n"/>
      <c r="D112" s="15" t="n"/>
      <c r="E112" s="15" t="n"/>
      <c r="F112" s="15" t="n"/>
      <c r="G112" s="15" t="n"/>
      <c r="H112" s="17" t="n"/>
      <c r="I112" s="17" t="n"/>
      <c r="J112" s="15" t="n"/>
    </row>
    <row r="113">
      <c r="A113" s="16" t="n"/>
      <c r="B113" s="15" t="n"/>
      <c r="C113" s="15" t="n"/>
      <c r="D113" s="15" t="n"/>
      <c r="E113" s="15" t="n"/>
      <c r="F113" s="15" t="n"/>
      <c r="G113" s="15" t="n"/>
      <c r="H113" s="17" t="n"/>
      <c r="I113" s="17" t="n"/>
      <c r="J113" s="15" t="n"/>
    </row>
    <row r="114">
      <c r="A114" s="16" t="n"/>
      <c r="B114" s="15" t="n"/>
      <c r="C114" s="15" t="n"/>
      <c r="D114" s="15" t="n"/>
      <c r="E114" s="15" t="n"/>
      <c r="F114" s="15" t="n"/>
      <c r="G114" s="15" t="n"/>
      <c r="H114" s="17" t="n"/>
      <c r="I114" s="17" t="n"/>
      <c r="J114" s="15" t="n"/>
    </row>
    <row r="115">
      <c r="A115" s="16" t="n"/>
      <c r="B115" s="15" t="n"/>
      <c r="C115" s="15" t="n"/>
      <c r="D115" s="15" t="n"/>
      <c r="E115" s="15" t="n"/>
      <c r="F115" s="15" t="n"/>
      <c r="G115" s="15" t="n"/>
      <c r="H115" s="17" t="n"/>
      <c r="I115" s="17" t="n"/>
      <c r="J115" s="15" t="n"/>
    </row>
    <row r="116">
      <c r="A116" s="16" t="n"/>
      <c r="B116" s="15" t="n"/>
      <c r="C116" s="15" t="n"/>
      <c r="D116" s="15" t="n"/>
      <c r="E116" s="15" t="n"/>
      <c r="F116" s="15" t="n"/>
      <c r="G116" s="15" t="n"/>
      <c r="H116" s="17" t="n"/>
      <c r="I116" s="17" t="n"/>
      <c r="J116" s="15" t="n"/>
    </row>
    <row r="117">
      <c r="A117" s="16" t="n"/>
      <c r="B117" s="15" t="n"/>
      <c r="C117" s="15" t="n"/>
      <c r="D117" s="15" t="n"/>
      <c r="E117" s="15" t="n"/>
      <c r="F117" s="15" t="n"/>
      <c r="G117" s="15" t="n"/>
      <c r="H117" s="17" t="n"/>
      <c r="I117" s="17" t="n"/>
      <c r="J117" s="15" t="n"/>
    </row>
    <row r="118">
      <c r="A118" s="16" t="n"/>
      <c r="B118" s="15" t="n"/>
      <c r="C118" s="15" t="n"/>
      <c r="D118" s="15" t="n"/>
      <c r="E118" s="15" t="n"/>
      <c r="F118" s="15" t="n"/>
      <c r="G118" s="15" t="n"/>
      <c r="H118" s="17" t="n"/>
      <c r="I118" s="17" t="n"/>
      <c r="J118" s="15" t="n"/>
    </row>
    <row r="119">
      <c r="A119" s="16" t="n"/>
      <c r="B119" s="15" t="n"/>
      <c r="C119" s="15" t="n"/>
      <c r="D119" s="15" t="n"/>
      <c r="E119" s="15" t="n"/>
      <c r="F119" s="15" t="n"/>
      <c r="G119" s="15" t="n"/>
      <c r="H119" s="17" t="n"/>
      <c r="I119" s="17" t="n"/>
      <c r="J119" s="15" t="n"/>
    </row>
    <row r="120">
      <c r="A120" s="16" t="n"/>
      <c r="B120" s="15" t="n"/>
      <c r="C120" s="15" t="n"/>
      <c r="D120" s="15" t="n"/>
      <c r="E120" s="15" t="n"/>
      <c r="F120" s="15" t="n"/>
      <c r="G120" s="15" t="n"/>
      <c r="H120" s="17" t="n"/>
      <c r="I120" s="17" t="n"/>
      <c r="J120" s="15" t="n"/>
    </row>
    <row r="121">
      <c r="A121" s="16" t="n"/>
      <c r="B121" s="15" t="n"/>
      <c r="C121" s="15" t="n"/>
      <c r="D121" s="15" t="n"/>
      <c r="E121" s="15" t="n"/>
      <c r="F121" s="15" t="n"/>
      <c r="G121" s="15" t="n"/>
      <c r="H121" s="17" t="n"/>
      <c r="I121" s="17" t="n"/>
      <c r="J121" s="15" t="n"/>
    </row>
    <row r="122">
      <c r="A122" s="16" t="n"/>
      <c r="B122" s="15" t="n"/>
      <c r="C122" s="15" t="n"/>
      <c r="D122" s="15" t="n"/>
      <c r="E122" s="15" t="n"/>
      <c r="F122" s="15" t="n"/>
      <c r="G122" s="15" t="n"/>
      <c r="H122" s="17" t="n"/>
      <c r="I122" s="17" t="n"/>
      <c r="J122" s="15" t="n"/>
    </row>
    <row r="123">
      <c r="A123" s="16" t="n"/>
      <c r="B123" s="15" t="n"/>
      <c r="C123" s="15" t="n"/>
      <c r="D123" s="15" t="n"/>
      <c r="E123" s="15" t="n"/>
      <c r="F123" s="15" t="n"/>
      <c r="G123" s="15" t="n"/>
      <c r="H123" s="17" t="n"/>
      <c r="I123" s="17" t="n"/>
      <c r="J123" s="15" t="n"/>
    </row>
    <row r="124">
      <c r="A124" s="16" t="n"/>
      <c r="B124" s="15" t="n"/>
      <c r="C124" s="15" t="n"/>
      <c r="D124" s="15" t="n"/>
      <c r="E124" s="15" t="n"/>
      <c r="F124" s="15" t="n"/>
      <c r="G124" s="15" t="n"/>
      <c r="H124" s="17" t="n"/>
      <c r="I124" s="17" t="n"/>
      <c r="J124" s="15" t="n"/>
    </row>
    <row r="125">
      <c r="A125" s="16" t="n"/>
      <c r="B125" s="15" t="n"/>
      <c r="C125" s="15" t="n"/>
      <c r="D125" s="15" t="n"/>
      <c r="E125" s="15" t="n"/>
      <c r="F125" s="15" t="n"/>
      <c r="G125" s="15" t="n"/>
      <c r="H125" s="17" t="n"/>
      <c r="I125" s="17" t="n"/>
      <c r="J125" s="15" t="n"/>
    </row>
    <row r="126">
      <c r="A126" s="16" t="n"/>
      <c r="B126" s="15" t="n"/>
      <c r="C126" s="15" t="n"/>
      <c r="D126" s="15" t="n"/>
      <c r="E126" s="15" t="n"/>
      <c r="F126" s="15" t="n"/>
      <c r="G126" s="15" t="n"/>
      <c r="H126" s="17" t="n"/>
      <c r="I126" s="17" t="n"/>
      <c r="J126" s="15" t="n"/>
    </row>
    <row r="127">
      <c r="A127" s="16" t="n"/>
      <c r="B127" s="15" t="n"/>
      <c r="C127" s="15" t="n"/>
      <c r="D127" s="15" t="n"/>
      <c r="E127" s="15" t="n"/>
      <c r="F127" s="15" t="n"/>
      <c r="G127" s="15" t="n"/>
      <c r="H127" s="17" t="n"/>
      <c r="I127" s="17" t="n"/>
      <c r="J127" s="15" t="n"/>
    </row>
    <row r="128">
      <c r="A128" s="16" t="n"/>
      <c r="B128" s="15" t="n"/>
      <c r="C128" s="15" t="n"/>
      <c r="D128" s="15" t="n"/>
      <c r="E128" s="15" t="n"/>
      <c r="F128" s="15" t="n"/>
      <c r="G128" s="15" t="n"/>
      <c r="H128" s="17" t="n"/>
      <c r="I128" s="17" t="n"/>
      <c r="J128" s="15" t="n"/>
    </row>
    <row r="129">
      <c r="A129" s="16" t="n"/>
      <c r="B129" s="15" t="n"/>
      <c r="C129" s="15" t="n"/>
      <c r="D129" s="15" t="n"/>
      <c r="E129" s="15" t="n"/>
      <c r="F129" s="15" t="n"/>
      <c r="G129" s="15" t="n"/>
      <c r="H129" s="17" t="n"/>
      <c r="I129" s="17" t="n"/>
      <c r="J129" s="15" t="n"/>
    </row>
    <row r="130">
      <c r="A130" s="16" t="n"/>
      <c r="B130" s="15" t="n"/>
      <c r="C130" s="15" t="n"/>
      <c r="D130" s="15" t="n"/>
      <c r="E130" s="15" t="n"/>
      <c r="F130" s="15" t="n"/>
      <c r="G130" s="15" t="n"/>
      <c r="H130" s="17" t="n"/>
      <c r="I130" s="17" t="n"/>
      <c r="J130" s="15" t="n"/>
    </row>
    <row r="131">
      <c r="A131" s="16" t="n"/>
      <c r="B131" s="15" t="n"/>
      <c r="C131" s="15" t="n"/>
      <c r="D131" s="15" t="n"/>
      <c r="E131" s="15" t="n"/>
      <c r="F131" s="15" t="n"/>
      <c r="G131" s="15" t="n"/>
      <c r="H131" s="17" t="n"/>
      <c r="I131" s="17" t="n"/>
      <c r="J131" s="15" t="n"/>
    </row>
    <row r="132">
      <c r="A132" s="16" t="n"/>
      <c r="B132" s="15" t="n"/>
      <c r="C132" s="15" t="n"/>
      <c r="D132" s="15" t="n"/>
      <c r="E132" s="15" t="n"/>
      <c r="F132" s="15" t="n"/>
      <c r="G132" s="15" t="n"/>
      <c r="H132" s="17" t="n"/>
      <c r="I132" s="17" t="n"/>
      <c r="J132" s="15" t="n"/>
    </row>
    <row r="133">
      <c r="A133" s="16" t="n"/>
      <c r="B133" s="15" t="n"/>
      <c r="C133" s="15" t="n"/>
      <c r="D133" s="15" t="n"/>
      <c r="E133" s="15" t="n"/>
      <c r="F133" s="15" t="n"/>
      <c r="G133" s="15" t="n"/>
      <c r="H133" s="17" t="n"/>
      <c r="I133" s="17" t="n"/>
      <c r="J133" s="15" t="n"/>
    </row>
    <row r="134">
      <c r="A134" s="16" t="n"/>
      <c r="B134" s="15" t="n"/>
      <c r="C134" s="15" t="n"/>
      <c r="D134" s="15" t="n"/>
      <c r="E134" s="15" t="n"/>
      <c r="F134" s="15" t="n"/>
      <c r="G134" s="15" t="n"/>
      <c r="H134" s="17" t="n"/>
      <c r="I134" s="17" t="n"/>
      <c r="J134" s="15" t="n"/>
    </row>
    <row r="135">
      <c r="A135" s="16" t="n"/>
      <c r="B135" s="15" t="n"/>
      <c r="C135" s="15" t="n"/>
      <c r="D135" s="15" t="n"/>
      <c r="E135" s="15" t="n"/>
      <c r="F135" s="15" t="n"/>
      <c r="G135" s="15" t="n"/>
      <c r="H135" s="17" t="n"/>
      <c r="I135" s="17" t="n"/>
      <c r="J135" s="15" t="n"/>
    </row>
    <row r="136">
      <c r="A136" s="16" t="n"/>
      <c r="B136" s="15" t="n"/>
      <c r="C136" s="15" t="n"/>
      <c r="D136" s="15" t="n"/>
      <c r="E136" s="15" t="n"/>
      <c r="F136" s="15" t="n"/>
      <c r="G136" s="15" t="n"/>
      <c r="H136" s="17" t="n"/>
      <c r="I136" s="17" t="n"/>
      <c r="J136" s="15" t="n"/>
    </row>
    <row r="137">
      <c r="A137" s="16" t="n"/>
      <c r="B137" s="15" t="n"/>
      <c r="C137" s="15" t="n"/>
      <c r="D137" s="15" t="n"/>
      <c r="E137" s="15" t="n"/>
      <c r="F137" s="15" t="n"/>
      <c r="G137" s="15" t="n"/>
      <c r="H137" s="17" t="n"/>
      <c r="I137" s="17" t="n"/>
      <c r="J137" s="15" t="n"/>
    </row>
    <row r="138">
      <c r="A138" s="16" t="n"/>
      <c r="B138" s="15" t="n"/>
      <c r="C138" s="15" t="n"/>
      <c r="D138" s="15" t="n"/>
      <c r="E138" s="15" t="n"/>
      <c r="F138" s="15" t="n"/>
      <c r="G138" s="15" t="n"/>
      <c r="H138" s="17" t="n"/>
      <c r="I138" s="17" t="n"/>
      <c r="J138" s="15" t="n"/>
    </row>
    <row r="139">
      <c r="A139" s="16" t="n"/>
      <c r="B139" s="15" t="n"/>
      <c r="C139" s="15" t="n"/>
      <c r="D139" s="15" t="n"/>
      <c r="E139" s="15" t="n"/>
      <c r="F139" s="15" t="n"/>
      <c r="G139" s="15" t="n"/>
      <c r="H139" s="17" t="n"/>
      <c r="I139" s="17" t="n"/>
      <c r="J139" s="15" t="n"/>
    </row>
    <row r="140">
      <c r="A140" s="16" t="n"/>
      <c r="B140" s="15" t="n"/>
      <c r="C140" s="15" t="n"/>
      <c r="D140" s="15" t="n"/>
      <c r="E140" s="15" t="n"/>
      <c r="F140" s="15" t="n"/>
      <c r="G140" s="15" t="n"/>
      <c r="H140" s="17" t="n"/>
      <c r="I140" s="17" t="n"/>
      <c r="J140" s="15" t="n"/>
    </row>
    <row r="141">
      <c r="A141" s="16" t="n"/>
      <c r="B141" s="15" t="n"/>
      <c r="C141" s="15" t="n"/>
      <c r="D141" s="15" t="n"/>
      <c r="E141" s="15" t="n"/>
      <c r="F141" s="15" t="n"/>
      <c r="G141" s="15" t="n"/>
      <c r="H141" s="17" t="n"/>
      <c r="I141" s="17" t="n"/>
      <c r="J141" s="15" t="n"/>
    </row>
    <row r="142">
      <c r="A142" s="16" t="n"/>
      <c r="B142" s="15" t="n"/>
      <c r="C142" s="15" t="n"/>
      <c r="D142" s="15" t="n"/>
      <c r="E142" s="15" t="n"/>
      <c r="F142" s="15" t="n"/>
      <c r="G142" s="15" t="n"/>
      <c r="H142" s="17" t="n"/>
      <c r="I142" s="17" t="n"/>
      <c r="J142" s="15" t="n"/>
    </row>
    <row r="143">
      <c r="A143" s="16" t="n"/>
      <c r="B143" s="15" t="n"/>
      <c r="C143" s="15" t="n"/>
      <c r="D143" s="15" t="n"/>
      <c r="E143" s="15" t="n"/>
      <c r="F143" s="15" t="n"/>
      <c r="G143" s="15" t="n"/>
      <c r="H143" s="17" t="n"/>
      <c r="I143" s="17" t="n"/>
      <c r="J143" s="15" t="n"/>
    </row>
    <row r="144">
      <c r="A144" s="16" t="n"/>
      <c r="B144" s="15" t="n"/>
      <c r="C144" s="15" t="n"/>
      <c r="D144" s="15" t="n"/>
      <c r="E144" s="15" t="n"/>
      <c r="F144" s="15" t="n"/>
      <c r="G144" s="15" t="n"/>
      <c r="H144" s="17" t="n"/>
      <c r="I144" s="17" t="n"/>
      <c r="J144" s="15" t="n"/>
    </row>
    <row r="145">
      <c r="A145" s="16" t="n"/>
      <c r="B145" s="15" t="n"/>
      <c r="C145" s="15" t="n"/>
      <c r="D145" s="15" t="n"/>
      <c r="E145" s="15" t="n"/>
      <c r="F145" s="15" t="n"/>
      <c r="G145" s="15" t="n"/>
      <c r="H145" s="17" t="n"/>
      <c r="I145" s="17" t="n"/>
      <c r="J145" s="15" t="n"/>
    </row>
    <row r="146">
      <c r="A146" s="16" t="n"/>
      <c r="B146" s="15" t="n"/>
      <c r="C146" s="15" t="n"/>
      <c r="D146" s="15" t="n"/>
      <c r="E146" s="15" t="n"/>
      <c r="F146" s="15" t="n"/>
      <c r="G146" s="15" t="n"/>
      <c r="H146" s="17" t="n"/>
      <c r="I146" s="17" t="n"/>
      <c r="J146" s="15" t="n"/>
    </row>
    <row r="147">
      <c r="A147" s="16" t="n"/>
      <c r="B147" s="15" t="n"/>
      <c r="C147" s="15" t="n"/>
      <c r="D147" s="15" t="n"/>
      <c r="E147" s="15" t="n"/>
      <c r="F147" s="15" t="n"/>
      <c r="G147" s="15" t="n"/>
      <c r="H147" s="17" t="n"/>
      <c r="I147" s="17" t="n"/>
      <c r="J147" s="15" t="n"/>
    </row>
    <row r="148">
      <c r="A148" s="16" t="n"/>
      <c r="B148" s="15" t="n"/>
      <c r="C148" s="15" t="n"/>
      <c r="D148" s="15" t="n"/>
      <c r="E148" s="15" t="n"/>
      <c r="F148" s="15" t="n"/>
      <c r="G148" s="15" t="n"/>
      <c r="H148" s="17" t="n"/>
      <c r="I148" s="17" t="n"/>
      <c r="J148" s="15" t="n"/>
    </row>
    <row r="149">
      <c r="A149" s="16" t="n"/>
      <c r="B149" s="15" t="n"/>
      <c r="C149" s="15" t="n"/>
      <c r="D149" s="15" t="n"/>
      <c r="E149" s="15" t="n"/>
      <c r="F149" s="15" t="n"/>
      <c r="G149" s="15" t="n"/>
      <c r="H149" s="17" t="n"/>
      <c r="I149" s="17" t="n"/>
      <c r="J149" s="15" t="n"/>
    </row>
    <row r="150">
      <c r="A150" s="16" t="n"/>
      <c r="B150" s="15" t="n"/>
      <c r="C150" s="15" t="n"/>
      <c r="D150" s="15" t="n"/>
      <c r="E150" s="15" t="n"/>
      <c r="F150" s="15" t="n"/>
      <c r="G150" s="15" t="n"/>
      <c r="H150" s="17" t="n"/>
      <c r="I150" s="17" t="n"/>
      <c r="J150" s="15" t="n"/>
    </row>
    <row r="151">
      <c r="A151" s="16" t="n"/>
      <c r="B151" s="15" t="n"/>
      <c r="C151" s="15" t="n"/>
      <c r="D151" s="15" t="n"/>
      <c r="E151" s="15" t="n"/>
      <c r="F151" s="15" t="n"/>
      <c r="G151" s="15" t="n"/>
      <c r="H151" s="17" t="n"/>
      <c r="I151" s="17" t="n"/>
      <c r="J151" s="15" t="n"/>
    </row>
    <row r="152">
      <c r="A152" s="16" t="n"/>
      <c r="B152" s="15" t="n"/>
      <c r="C152" s="15" t="n"/>
      <c r="D152" s="15" t="n"/>
      <c r="E152" s="15" t="n"/>
      <c r="F152" s="15" t="n"/>
      <c r="G152" s="15" t="n"/>
      <c r="H152" s="17" t="n"/>
      <c r="I152" s="17" t="n"/>
      <c r="J152" s="15" t="n"/>
    </row>
    <row r="153">
      <c r="A153" s="16" t="n"/>
      <c r="B153" s="15" t="n"/>
      <c r="C153" s="15" t="n"/>
      <c r="D153" s="15" t="n"/>
      <c r="E153" s="15" t="n"/>
      <c r="F153" s="15" t="n"/>
      <c r="G153" s="15" t="n"/>
      <c r="H153" s="17" t="n"/>
      <c r="I153" s="17" t="n"/>
      <c r="J153" s="15" t="n"/>
    </row>
    <row r="154">
      <c r="A154" s="16" t="n"/>
      <c r="B154" s="15" t="n"/>
      <c r="C154" s="15" t="n"/>
      <c r="D154" s="15" t="n"/>
      <c r="E154" s="15" t="n"/>
      <c r="F154" s="15" t="n"/>
      <c r="G154" s="15" t="n"/>
      <c r="H154" s="17" t="n"/>
      <c r="I154" s="17" t="n"/>
      <c r="J154" s="15" t="n"/>
    </row>
    <row r="155">
      <c r="A155" s="16" t="n"/>
      <c r="B155" s="15" t="n"/>
      <c r="C155" s="15" t="n"/>
      <c r="D155" s="15" t="n"/>
      <c r="E155" s="15" t="n"/>
      <c r="F155" s="15" t="n"/>
      <c r="G155" s="15" t="n"/>
      <c r="H155" s="17" t="n"/>
      <c r="I155" s="17" t="n"/>
      <c r="J155" s="15" t="n"/>
    </row>
    <row r="156">
      <c r="A156" s="16" t="n"/>
      <c r="B156" s="15" t="n"/>
      <c r="C156" s="15" t="n"/>
      <c r="D156" s="15" t="n"/>
      <c r="E156" s="15" t="n"/>
      <c r="F156" s="15" t="n"/>
      <c r="G156" s="15" t="n"/>
      <c r="H156" s="17" t="n"/>
      <c r="I156" s="17" t="n"/>
      <c r="J156" s="15" t="n"/>
    </row>
    <row r="157">
      <c r="A157" s="16" t="n"/>
      <c r="B157" s="15" t="n"/>
      <c r="C157" s="15" t="n"/>
      <c r="D157" s="15" t="n"/>
      <c r="E157" s="15" t="n"/>
      <c r="F157" s="15" t="n"/>
      <c r="G157" s="15" t="n"/>
      <c r="H157" s="17" t="n"/>
      <c r="I157" s="17" t="n"/>
      <c r="J157" s="15" t="n"/>
    </row>
    <row r="158">
      <c r="A158" s="16" t="n"/>
      <c r="B158" s="15" t="n"/>
      <c r="C158" s="15" t="n"/>
      <c r="D158" s="15" t="n"/>
      <c r="E158" s="15" t="n"/>
      <c r="F158" s="15" t="n"/>
      <c r="G158" s="15" t="n"/>
      <c r="H158" s="17" t="n"/>
      <c r="I158" s="17" t="n"/>
      <c r="J158" s="15" t="n"/>
    </row>
    <row r="159">
      <c r="A159" s="16" t="n"/>
      <c r="B159" s="15" t="n"/>
      <c r="C159" s="15" t="n"/>
      <c r="D159" s="15" t="n"/>
      <c r="E159" s="15" t="n"/>
      <c r="F159" s="15" t="n"/>
      <c r="G159" s="15" t="n"/>
      <c r="H159" s="17" t="n"/>
      <c r="I159" s="17" t="n"/>
      <c r="J159" s="15" t="n"/>
    </row>
    <row r="160">
      <c r="A160" s="16" t="n"/>
      <c r="B160" s="15" t="n"/>
      <c r="C160" s="15" t="n"/>
      <c r="D160" s="15" t="n"/>
      <c r="E160" s="15" t="n"/>
      <c r="F160" s="15" t="n"/>
      <c r="G160" s="15" t="n"/>
      <c r="H160" s="17" t="n"/>
      <c r="I160" s="17" t="n"/>
      <c r="J160" s="15" t="n"/>
    </row>
    <row r="161">
      <c r="A161" s="16" t="n"/>
      <c r="B161" s="15" t="n"/>
      <c r="C161" s="15" t="n"/>
      <c r="D161" s="15" t="n"/>
      <c r="E161" s="15" t="n"/>
      <c r="F161" s="15" t="n"/>
      <c r="G161" s="15" t="n"/>
      <c r="H161" s="17" t="n"/>
      <c r="I161" s="17" t="n"/>
      <c r="J161" s="15" t="n"/>
    </row>
    <row r="162">
      <c r="A162" s="16" t="n"/>
      <c r="B162" s="15" t="n"/>
      <c r="C162" s="15" t="n"/>
      <c r="D162" s="15" t="n"/>
      <c r="E162" s="15" t="n"/>
      <c r="F162" s="15" t="n"/>
      <c r="G162" s="15" t="n"/>
      <c r="H162" s="17" t="n"/>
      <c r="I162" s="17" t="n"/>
      <c r="J162" s="15" t="n"/>
    </row>
    <row r="163">
      <c r="A163" s="16" t="n"/>
      <c r="B163" s="15" t="n"/>
      <c r="C163" s="15" t="n"/>
      <c r="D163" s="15" t="n"/>
      <c r="E163" s="15" t="n"/>
      <c r="F163" s="15" t="n"/>
      <c r="G163" s="15" t="n"/>
      <c r="H163" s="17" t="n"/>
      <c r="I163" s="17" t="n"/>
      <c r="J163" s="15" t="n"/>
    </row>
    <row r="164">
      <c r="A164" s="16" t="n"/>
      <c r="B164" s="15" t="n"/>
      <c r="C164" s="15" t="n"/>
      <c r="D164" s="15" t="n"/>
      <c r="E164" s="15" t="n"/>
      <c r="F164" s="15" t="n"/>
      <c r="G164" s="15" t="n"/>
      <c r="H164" s="17" t="n"/>
      <c r="I164" s="17" t="n"/>
      <c r="J164" s="15" t="n"/>
    </row>
    <row r="165">
      <c r="A165" s="16" t="n"/>
      <c r="B165" s="15" t="n"/>
      <c r="C165" s="15" t="n"/>
      <c r="D165" s="15" t="n"/>
      <c r="E165" s="15" t="n"/>
      <c r="F165" s="15" t="n"/>
      <c r="G165" s="15" t="n"/>
      <c r="H165" s="17" t="n"/>
      <c r="I165" s="17" t="n"/>
      <c r="J165" s="15" t="n"/>
    </row>
    <row r="166">
      <c r="A166" s="16" t="n"/>
      <c r="B166" s="15" t="n"/>
      <c r="C166" s="15" t="n"/>
      <c r="D166" s="15" t="n"/>
      <c r="E166" s="15" t="n"/>
      <c r="F166" s="15" t="n"/>
      <c r="G166" s="15" t="n"/>
      <c r="H166" s="17" t="n"/>
      <c r="I166" s="17" t="n"/>
      <c r="J166" s="15" t="n"/>
    </row>
    <row r="167">
      <c r="A167" s="16" t="n"/>
      <c r="B167" s="15" t="n"/>
      <c r="C167" s="15" t="n"/>
      <c r="D167" s="15" t="n"/>
      <c r="E167" s="15" t="n"/>
      <c r="F167" s="15" t="n"/>
      <c r="G167" s="15" t="n"/>
      <c r="H167" s="17" t="n"/>
      <c r="I167" s="17" t="n"/>
      <c r="J167" s="15" t="n"/>
    </row>
    <row r="168">
      <c r="A168" s="16" t="n"/>
      <c r="B168" s="15" t="n"/>
      <c r="C168" s="15" t="n"/>
      <c r="D168" s="15" t="n"/>
      <c r="E168" s="15" t="n"/>
      <c r="F168" s="15" t="n"/>
      <c r="G168" s="15" t="n"/>
      <c r="H168" s="17" t="n"/>
      <c r="I168" s="17" t="n"/>
      <c r="J168" s="15" t="n"/>
    </row>
    <row r="169">
      <c r="A169" s="16" t="n"/>
      <c r="B169" s="15" t="n"/>
      <c r="C169" s="15" t="n"/>
      <c r="D169" s="15" t="n"/>
      <c r="E169" s="15" t="n"/>
      <c r="F169" s="15" t="n"/>
      <c r="G169" s="15" t="n"/>
      <c r="H169" s="17" t="n"/>
      <c r="I169" s="17" t="n"/>
      <c r="J169" s="15" t="n"/>
    </row>
    <row r="170">
      <c r="A170" s="16" t="n"/>
      <c r="B170" s="15" t="n"/>
      <c r="C170" s="15" t="n"/>
      <c r="D170" s="15" t="n"/>
      <c r="E170" s="15" t="n"/>
      <c r="F170" s="15" t="n"/>
      <c r="G170" s="15" t="n"/>
      <c r="H170" s="17" t="n"/>
      <c r="I170" s="17" t="n"/>
      <c r="J170" s="15" t="n"/>
    </row>
    <row r="171">
      <c r="A171" s="16" t="n"/>
      <c r="B171" s="15" t="n"/>
      <c r="C171" s="15" t="n"/>
      <c r="D171" s="15" t="n"/>
      <c r="E171" s="15" t="n"/>
      <c r="F171" s="15" t="n"/>
      <c r="G171" s="15" t="n"/>
      <c r="H171" s="17" t="n"/>
      <c r="I171" s="17" t="n"/>
      <c r="J171" s="15" t="n"/>
    </row>
    <row r="172">
      <c r="A172" s="16" t="n"/>
      <c r="B172" s="15" t="n"/>
      <c r="C172" s="15" t="n"/>
      <c r="D172" s="15" t="n"/>
      <c r="E172" s="15" t="n"/>
      <c r="F172" s="15" t="n"/>
      <c r="G172" s="15" t="n"/>
      <c r="H172" s="17" t="n"/>
      <c r="I172" s="17" t="n"/>
      <c r="J172" s="15" t="n"/>
    </row>
    <row r="173">
      <c r="A173" s="16" t="n"/>
      <c r="B173" s="15" t="n"/>
      <c r="C173" s="15" t="n"/>
      <c r="D173" s="15" t="n"/>
      <c r="E173" s="15" t="n"/>
      <c r="F173" s="15" t="n"/>
      <c r="G173" s="15" t="n"/>
      <c r="H173" s="17" t="n"/>
      <c r="I173" s="17" t="n"/>
      <c r="J173" s="15" t="n"/>
    </row>
    <row r="174">
      <c r="A174" s="16" t="n"/>
      <c r="B174" s="15" t="n"/>
      <c r="C174" s="15" t="n"/>
      <c r="D174" s="15" t="n"/>
      <c r="E174" s="15" t="n"/>
      <c r="F174" s="15" t="n"/>
      <c r="G174" s="15" t="n"/>
      <c r="H174" s="17" t="n"/>
      <c r="I174" s="17" t="n"/>
      <c r="J174" s="15" t="n"/>
    </row>
    <row r="175">
      <c r="A175" s="16" t="n"/>
      <c r="B175" s="15" t="n"/>
      <c r="C175" s="15" t="n"/>
      <c r="D175" s="15" t="n"/>
      <c r="E175" s="15" t="n"/>
      <c r="F175" s="15" t="n"/>
      <c r="G175" s="15" t="n"/>
      <c r="H175" s="17" t="n"/>
      <c r="I175" s="17" t="n"/>
      <c r="J175" s="15" t="n"/>
    </row>
    <row r="176">
      <c r="A176" s="16" t="n"/>
      <c r="B176" s="15" t="n"/>
      <c r="C176" s="15" t="n"/>
      <c r="D176" s="15" t="n"/>
      <c r="E176" s="15" t="n"/>
      <c r="F176" s="15" t="n"/>
      <c r="G176" s="15" t="n"/>
      <c r="H176" s="17" t="n"/>
      <c r="I176" s="17" t="n"/>
      <c r="J176" s="15" t="n"/>
    </row>
    <row r="177">
      <c r="A177" s="16" t="n"/>
      <c r="B177" s="15" t="n"/>
      <c r="C177" s="15" t="n"/>
      <c r="D177" s="15" t="n"/>
      <c r="E177" s="15" t="n"/>
      <c r="F177" s="15" t="n"/>
      <c r="G177" s="15" t="n"/>
      <c r="H177" s="17" t="n"/>
      <c r="I177" s="17" t="n"/>
      <c r="J177" s="15" t="n"/>
    </row>
    <row r="178">
      <c r="A178" s="16" t="n"/>
      <c r="B178" s="15" t="n"/>
      <c r="C178" s="15" t="n"/>
      <c r="D178" s="15" t="n"/>
      <c r="E178" s="15" t="n"/>
      <c r="F178" s="15" t="n"/>
      <c r="G178" s="15" t="n"/>
      <c r="H178" s="17" t="n"/>
      <c r="I178" s="17" t="n"/>
      <c r="J178" s="15" t="n"/>
    </row>
    <row r="179">
      <c r="A179" s="16" t="n"/>
      <c r="B179" s="15" t="n"/>
      <c r="C179" s="15" t="n"/>
      <c r="D179" s="15" t="n"/>
      <c r="E179" s="15" t="n"/>
      <c r="F179" s="15" t="n"/>
      <c r="G179" s="15" t="n"/>
      <c r="H179" s="17" t="n"/>
      <c r="I179" s="17" t="n"/>
      <c r="J179" s="15" t="n"/>
    </row>
    <row r="180">
      <c r="A180" s="16" t="n"/>
      <c r="B180" s="15" t="n"/>
      <c r="C180" s="15" t="n"/>
      <c r="D180" s="15" t="n"/>
      <c r="E180" s="15" t="n"/>
      <c r="F180" s="15" t="n"/>
      <c r="G180" s="15" t="n"/>
      <c r="H180" s="17" t="n"/>
      <c r="I180" s="17" t="n"/>
      <c r="J180" s="15" t="n"/>
    </row>
    <row r="181">
      <c r="A181" s="16" t="n"/>
      <c r="B181" s="15" t="n"/>
      <c r="C181" s="15" t="n"/>
      <c r="D181" s="15" t="n"/>
      <c r="E181" s="15" t="n"/>
      <c r="F181" s="15" t="n"/>
      <c r="G181" s="15" t="n"/>
      <c r="H181" s="17" t="n"/>
      <c r="I181" s="17" t="n"/>
      <c r="J181" s="15" t="n"/>
    </row>
    <row r="182">
      <c r="A182" s="16" t="n"/>
      <c r="B182" s="15" t="n"/>
      <c r="C182" s="15" t="n"/>
      <c r="D182" s="15" t="n"/>
      <c r="E182" s="15" t="n"/>
      <c r="F182" s="15" t="n"/>
      <c r="G182" s="15" t="n"/>
      <c r="H182" s="17" t="n"/>
      <c r="I182" s="17" t="n"/>
      <c r="J182" s="15" t="n"/>
    </row>
    <row r="183">
      <c r="A183" s="16" t="n"/>
      <c r="B183" s="15" t="n"/>
      <c r="C183" s="15" t="n"/>
      <c r="D183" s="15" t="n"/>
      <c r="E183" s="15" t="n"/>
      <c r="F183" s="15" t="n"/>
      <c r="G183" s="15" t="n"/>
      <c r="H183" s="17" t="n"/>
      <c r="I183" s="17" t="n"/>
      <c r="J183" s="15" t="n"/>
    </row>
    <row r="184">
      <c r="A184" s="16" t="n"/>
      <c r="B184" s="15" t="n"/>
      <c r="C184" s="15" t="n"/>
      <c r="D184" s="15" t="n"/>
      <c r="E184" s="15" t="n"/>
      <c r="F184" s="15" t="n"/>
      <c r="G184" s="15" t="n"/>
      <c r="H184" s="17" t="n"/>
      <c r="I184" s="17" t="n"/>
      <c r="J184" s="15" t="n"/>
    </row>
    <row r="185">
      <c r="A185" s="16" t="n"/>
      <c r="B185" s="15" t="n"/>
      <c r="C185" s="15" t="n"/>
      <c r="D185" s="15" t="n"/>
      <c r="E185" s="15" t="n"/>
      <c r="F185" s="15" t="n"/>
      <c r="G185" s="15" t="n"/>
      <c r="H185" s="17" t="n"/>
      <c r="I185" s="17" t="n"/>
      <c r="J185" s="15" t="n"/>
    </row>
    <row r="186">
      <c r="A186" s="16" t="n"/>
      <c r="B186" s="15" t="n"/>
      <c r="C186" s="15" t="n"/>
      <c r="D186" s="15" t="n"/>
      <c r="E186" s="15" t="n"/>
      <c r="F186" s="15" t="n"/>
      <c r="G186" s="15" t="n"/>
      <c r="H186" s="17" t="n"/>
      <c r="I186" s="17" t="n"/>
      <c r="J186" s="15" t="n"/>
    </row>
    <row r="187">
      <c r="A187" s="16" t="n"/>
      <c r="B187" s="15" t="n"/>
      <c r="C187" s="15" t="n"/>
      <c r="D187" s="15" t="n"/>
      <c r="E187" s="15" t="n"/>
      <c r="F187" s="15" t="n"/>
      <c r="G187" s="15" t="n"/>
      <c r="H187" s="17" t="n"/>
      <c r="I187" s="17" t="n"/>
      <c r="J187" s="15" t="n"/>
    </row>
    <row r="188">
      <c r="A188" s="16" t="n"/>
      <c r="B188" s="15" t="n"/>
      <c r="C188" s="15" t="n"/>
      <c r="D188" s="15" t="n"/>
      <c r="E188" s="15" t="n"/>
      <c r="F188" s="15" t="n"/>
      <c r="G188" s="15" t="n"/>
      <c r="H188" s="17" t="n"/>
      <c r="I188" s="17" t="n"/>
      <c r="J188" s="15" t="n"/>
    </row>
    <row r="189">
      <c r="A189" s="16" t="n"/>
      <c r="B189" s="15" t="n"/>
      <c r="C189" s="15" t="n"/>
      <c r="D189" s="15" t="n"/>
      <c r="E189" s="15" t="n"/>
      <c r="F189" s="15" t="n"/>
      <c r="G189" s="15" t="n"/>
      <c r="H189" s="17" t="n"/>
      <c r="I189" s="17" t="n"/>
      <c r="J189" s="15" t="n"/>
    </row>
    <row r="190">
      <c r="A190" s="16" t="n"/>
      <c r="B190" s="15" t="n"/>
      <c r="C190" s="15" t="n"/>
      <c r="D190" s="15" t="n"/>
      <c r="E190" s="15" t="n"/>
      <c r="F190" s="15" t="n"/>
      <c r="G190" s="15" t="n"/>
      <c r="H190" s="17" t="n"/>
      <c r="I190" s="17" t="n"/>
      <c r="J190" s="15" t="n"/>
    </row>
    <row r="191">
      <c r="A191" s="16" t="n"/>
      <c r="B191" s="15" t="n"/>
      <c r="C191" s="15" t="n"/>
      <c r="D191" s="15" t="n"/>
      <c r="E191" s="15" t="n"/>
      <c r="F191" s="15" t="n"/>
      <c r="G191" s="15" t="n"/>
      <c r="H191" s="17" t="n"/>
      <c r="I191" s="17" t="n"/>
      <c r="J191" s="15" t="n"/>
    </row>
    <row r="192">
      <c r="A192" s="16" t="n"/>
      <c r="B192" s="15" t="n"/>
      <c r="C192" s="15" t="n"/>
      <c r="D192" s="15" t="n"/>
      <c r="E192" s="15" t="n"/>
      <c r="F192" s="15" t="n"/>
      <c r="G192" s="15" t="n"/>
      <c r="H192" s="17" t="n"/>
      <c r="I192" s="17" t="n"/>
      <c r="J192" s="15" t="n"/>
    </row>
    <row r="193">
      <c r="A193" s="16" t="n"/>
      <c r="B193" s="15" t="n"/>
      <c r="C193" s="15" t="n"/>
      <c r="D193" s="15" t="n"/>
      <c r="E193" s="15" t="n"/>
      <c r="F193" s="15" t="n"/>
      <c r="G193" s="15" t="n"/>
      <c r="H193" s="17" t="n"/>
      <c r="I193" s="17" t="n"/>
      <c r="J193" s="15" t="n"/>
    </row>
    <row r="194">
      <c r="A194" s="16" t="n"/>
      <c r="B194" s="15" t="n"/>
      <c r="C194" s="15" t="n"/>
      <c r="D194" s="15" t="n"/>
      <c r="E194" s="15" t="n"/>
      <c r="F194" s="15" t="n"/>
      <c r="G194" s="15" t="n"/>
      <c r="H194" s="17" t="n"/>
      <c r="I194" s="17" t="n"/>
      <c r="J194" s="15" t="n"/>
    </row>
    <row r="195">
      <c r="A195" s="16" t="n"/>
      <c r="B195" s="15" t="n"/>
      <c r="C195" s="15" t="n"/>
      <c r="D195" s="15" t="n"/>
      <c r="E195" s="15" t="n"/>
      <c r="F195" s="15" t="n"/>
      <c r="G195" s="15" t="n"/>
      <c r="H195" s="17" t="n"/>
      <c r="I195" s="17" t="n"/>
      <c r="J195" s="15" t="n"/>
    </row>
    <row r="196">
      <c r="A196" s="16" t="n"/>
      <c r="B196" s="15" t="n"/>
      <c r="C196" s="15" t="n"/>
      <c r="D196" s="15" t="n"/>
      <c r="E196" s="15" t="n"/>
      <c r="F196" s="15" t="n"/>
      <c r="G196" s="15" t="n"/>
      <c r="H196" s="17" t="n"/>
      <c r="I196" s="17" t="n"/>
      <c r="J196" s="15" t="n"/>
    </row>
    <row r="197">
      <c r="A197" s="16" t="n"/>
      <c r="B197" s="15" t="n"/>
      <c r="C197" s="15" t="n"/>
      <c r="D197" s="15" t="n"/>
      <c r="E197" s="15" t="n"/>
      <c r="F197" s="15" t="n"/>
      <c r="G197" s="15" t="n"/>
      <c r="H197" s="17" t="n"/>
      <c r="I197" s="17" t="n"/>
      <c r="J197" s="15" t="n"/>
    </row>
    <row r="198">
      <c r="A198" s="16" t="n"/>
      <c r="B198" s="15" t="n"/>
      <c r="C198" s="15" t="n"/>
      <c r="D198" s="15" t="n"/>
      <c r="E198" s="15" t="n"/>
      <c r="F198" s="15" t="n"/>
      <c r="G198" s="15" t="n"/>
      <c r="H198" s="17" t="n"/>
      <c r="I198" s="17" t="n"/>
      <c r="J198" s="15" t="n"/>
    </row>
    <row r="199">
      <c r="A199" s="16" t="n"/>
      <c r="B199" s="15" t="n"/>
      <c r="C199" s="15" t="n"/>
      <c r="D199" s="15" t="n"/>
      <c r="E199" s="15" t="n"/>
      <c r="F199" s="15" t="n"/>
      <c r="G199" s="15" t="n"/>
      <c r="H199" s="17" t="n"/>
      <c r="I199" s="17" t="n"/>
      <c r="J199" s="15" t="n"/>
    </row>
    <row r="200">
      <c r="A200" s="16" t="n"/>
      <c r="B200" s="15" t="n"/>
      <c r="C200" s="15" t="n"/>
      <c r="D200" s="15" t="n"/>
      <c r="E200" s="15" t="n"/>
      <c r="F200" s="15" t="n"/>
      <c r="G200" s="15" t="n"/>
      <c r="H200" s="17" t="n"/>
      <c r="I200" s="17" t="n"/>
      <c r="J200" s="15" t="n"/>
    </row>
  </sheetData>
  <mergeCells count="1">
    <mergeCell ref="A2:J2"/>
  </mergeCells>
  <dataValidations count="5">
    <dataValidation sqref="B4:B200" showDropDown="0" showInputMessage="0" showErrorMessage="1" allowBlank="1" errorTitle="Pick from the list" error="Pick one of the answers in the list." type="list">
      <formula1>='UAT · Lists'!$E$2:$E$4</formula1>
    </dataValidation>
    <dataValidation sqref="C4:C200" showDropDown="0" showInputMessage="0" showErrorMessage="1" allowBlank="1" errorTitle="Pick from the list" error="Pick one of the answers in the list." type="list">
      <formula1>='UAT · Lists'!$D$2:$D$5</formula1>
    </dataValidation>
    <dataValidation sqref="D4:D200" showDropDown="0" showInputMessage="0" showErrorMessage="1" allowBlank="1" errorTitle="Pick from the list" error="Pick one of the answers in the list." type="list">
      <formula1>='UAT · Lists'!$F$2:$F$16</formula1>
    </dataValidation>
    <dataValidation sqref="I4:I200" showDropDown="0" showInputMessage="0" showErrorMessage="1" allowBlank="1" errorTitle="Pick from the list" error="Pick one of the answers in the list." type="list">
      <formula1>='UAT · Lists'!$B$2:$B$6</formula1>
    </dataValidation>
    <dataValidation sqref="J4:J200" showDropDown="0" showInputMessage="0" showErrorMessage="1" allowBlank="1" errorTitle="Pick from the list" error="Pick one of the answers in the list." type="list">
      <formula1>='UAT · Lists'!$C$2:$C$3</formula1>
    </dataValidation>
  </dataValidations>
  <pageMargins left="0.75" right="0.75" top="1" bottom="1" header="0.5" footer="0.5"/>
</worksheet>
</file>

<file path=xl/worksheets/sheet6.xml><?xml version="1.0" encoding="utf-8"?>
<worksheet xmlns="http://schemas.openxmlformats.org/spreadsheetml/2006/main">
  <sheetPr>
    <tabColor rgb="003E9B63"/>
    <outlinePr summaryBelow="1" summaryRight="1"/>
    <pageSetUpPr/>
  </sheetPr>
  <dimension ref="A1:T4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s>
  <sheetData>
    <row r="1">
      <c r="A1" s="6" t="inlineStr">
        <is>
          <t>Where we are</t>
        </is>
      </c>
    </row>
    <row r="2">
      <c r="A2" s="19" t="inlineStr">
        <is>
          <t>Counts fill in by themselves from each tester’s tab. “Open” = ❌ or 🔍 not yet marked Fixed or Won’t change.</t>
        </is>
      </c>
    </row>
    <row r="4">
      <c r="A4" s="20" t="inlineStr">
        <is>
          <t>By chapter</t>
        </is>
      </c>
    </row>
    <row r="5">
      <c r="C5" s="21" t="inlineStr">
        <is>
          <t>Dane</t>
        </is>
      </c>
      <c r="I5" s="21" t="inlineStr">
        <is>
          <t>Oliva</t>
        </is>
      </c>
      <c r="O5" s="21" t="inlineStr">
        <is>
          <t>Swati</t>
        </is>
      </c>
    </row>
    <row r="6">
      <c r="A6" s="22" t="inlineStr">
        <is>
          <t>Chapter</t>
        </is>
      </c>
      <c r="B6" s="22" t="inlineStr">
        <is>
          <t>Steps</t>
        </is>
      </c>
      <c r="C6" s="23" t="inlineStr">
        <is>
          <t>Done</t>
        </is>
      </c>
      <c r="D6" s="23" t="inlineStr">
        <is>
          <t>✅</t>
        </is>
      </c>
      <c r="E6" s="23" t="inlineStr">
        <is>
          <t>🟡</t>
        </is>
      </c>
      <c r="F6" s="23" t="inlineStr">
        <is>
          <t>❌</t>
        </is>
      </c>
      <c r="G6" s="23" t="inlineStr">
        <is>
          <t>🔍</t>
        </is>
      </c>
      <c r="H6" s="23" t="inlineStr">
        <is>
          <t>Open</t>
        </is>
      </c>
      <c r="I6" s="23" t="inlineStr">
        <is>
          <t>Done</t>
        </is>
      </c>
      <c r="J6" s="23" t="inlineStr">
        <is>
          <t>✅</t>
        </is>
      </c>
      <c r="K6" s="23" t="inlineStr">
        <is>
          <t>🟡</t>
        </is>
      </c>
      <c r="L6" s="23" t="inlineStr">
        <is>
          <t>❌</t>
        </is>
      </c>
      <c r="M6" s="23" t="inlineStr">
        <is>
          <t>🔍</t>
        </is>
      </c>
      <c r="N6" s="23" t="inlineStr">
        <is>
          <t>Open</t>
        </is>
      </c>
      <c r="O6" s="23" t="inlineStr">
        <is>
          <t>Done</t>
        </is>
      </c>
      <c r="P6" s="23" t="inlineStr">
        <is>
          <t>✅</t>
        </is>
      </c>
      <c r="Q6" s="23" t="inlineStr">
        <is>
          <t>🟡</t>
        </is>
      </c>
      <c r="R6" s="23" t="inlineStr">
        <is>
          <t>❌</t>
        </is>
      </c>
      <c r="S6" s="23" t="inlineStr">
        <is>
          <t>🔍</t>
        </is>
      </c>
      <c r="T6" s="23" t="inlineStr">
        <is>
          <t>Open</t>
        </is>
      </c>
    </row>
    <row r="7">
      <c r="A7" s="24" t="inlineStr">
        <is>
          <t>1 · First login</t>
        </is>
      </c>
      <c r="B7" s="24">
        <f>COUNTIF('UAT · Dane'!$A:$A,1)</f>
        <v/>
      </c>
      <c r="C7" s="25">
        <f>COUNTIFS('UAT · Dane'!$A:$A,1,'UAT · Dane'!$J:$J,"&lt;&gt;")</f>
        <v/>
      </c>
      <c r="D7" s="25">
        <f>COUNTIFS('UAT · Dane'!$A:$A,1,'UAT · Dane'!$J:$J,"✅ Works")</f>
        <v/>
      </c>
      <c r="E7" s="25">
        <f>COUNTIFS('UAT · Dane'!$A:$A,1,'UAT · Dane'!$J:$J,"🟡 Works, but…")</f>
        <v/>
      </c>
      <c r="F7" s="25">
        <f>COUNTIFS('UAT · Dane'!$A:$A,1,'UAT · Dane'!$J:$J,"❌ Doesn’t work")</f>
        <v/>
      </c>
      <c r="G7" s="25">
        <f>COUNTIFS('UAT · Dane'!$A:$A,1,'UAT · Dane'!$J:$J,"🔍 Couldn’t find it")</f>
        <v/>
      </c>
      <c r="H7" s="25">
        <f>COUNTIFS('UAT · Dane'!$A:$A,1,'UAT · Dane'!$J:$J,"❌ Doesn’t work",'UAT · Dane'!$O:$O,"&lt;&gt;Fixed – please re-test",'UAT · Dane'!$O:$O,"&lt;&gt;Won’t change")+COUNTIFS('UAT · Dane'!$A:$A,1,'UAT · Dane'!$J:$J,"🔍 Couldn’t find it",'UAT · Dane'!$O:$O,"&lt;&gt;Fixed – please re-test",'UAT · Dane'!$O:$O,"&lt;&gt;Won’t change")</f>
        <v/>
      </c>
      <c r="I7" s="25">
        <f>COUNTIFS('UAT · Oliva'!$A:$A,1,'UAT · Oliva'!$J:$J,"&lt;&gt;")</f>
        <v/>
      </c>
      <c r="J7" s="25">
        <f>COUNTIFS('UAT · Oliva'!$A:$A,1,'UAT · Oliva'!$J:$J,"✅ Works")</f>
        <v/>
      </c>
      <c r="K7" s="25">
        <f>COUNTIFS('UAT · Oliva'!$A:$A,1,'UAT · Oliva'!$J:$J,"🟡 Works, but…")</f>
        <v/>
      </c>
      <c r="L7" s="25">
        <f>COUNTIFS('UAT · Oliva'!$A:$A,1,'UAT · Oliva'!$J:$J,"❌ Doesn’t work")</f>
        <v/>
      </c>
      <c r="M7" s="25">
        <f>COUNTIFS('UAT · Oliva'!$A:$A,1,'UAT · Oliva'!$J:$J,"🔍 Couldn’t find it")</f>
        <v/>
      </c>
      <c r="N7" s="25">
        <f>COUNTIFS('UAT · Oliva'!$A:$A,1,'UAT · Oliva'!$J:$J,"❌ Doesn’t work",'UAT · Oliva'!$O:$O,"&lt;&gt;Fixed – please re-test",'UAT · Oliva'!$O:$O,"&lt;&gt;Won’t change")+COUNTIFS('UAT · Oliva'!$A:$A,1,'UAT · Oliva'!$J:$J,"🔍 Couldn’t find it",'UAT · Oliva'!$O:$O,"&lt;&gt;Fixed – please re-test",'UAT · Oliva'!$O:$O,"&lt;&gt;Won’t change")</f>
        <v/>
      </c>
      <c r="O7" s="25">
        <f>COUNTIFS('UAT · Swati'!$A:$A,1,'UAT · Swati'!$J:$J,"&lt;&gt;")</f>
        <v/>
      </c>
      <c r="P7" s="25">
        <f>COUNTIFS('UAT · Swati'!$A:$A,1,'UAT · Swati'!$J:$J,"✅ Works")</f>
        <v/>
      </c>
      <c r="Q7" s="25">
        <f>COUNTIFS('UAT · Swati'!$A:$A,1,'UAT · Swati'!$J:$J,"🟡 Works, but…")</f>
        <v/>
      </c>
      <c r="R7" s="25">
        <f>COUNTIFS('UAT · Swati'!$A:$A,1,'UAT · Swati'!$J:$J,"❌ Doesn’t work")</f>
        <v/>
      </c>
      <c r="S7" s="25">
        <f>COUNTIFS('UAT · Swati'!$A:$A,1,'UAT · Swati'!$J:$J,"🔍 Couldn’t find it")</f>
        <v/>
      </c>
      <c r="T7" s="25">
        <f>COUNTIFS('UAT · Swati'!$A:$A,1,'UAT · Swati'!$J:$J,"❌ Doesn’t work",'UAT · Swati'!$O:$O,"&lt;&gt;Fixed – please re-test",'UAT · Swati'!$O:$O,"&lt;&gt;Won’t change")+COUNTIFS('UAT · Swati'!$A:$A,1,'UAT · Swati'!$J:$J,"🔍 Couldn’t find it",'UAT · Swati'!$O:$O,"&lt;&gt;Fixed – please re-test",'UAT · Swati'!$O:$O,"&lt;&gt;Won’t change")</f>
        <v/>
      </c>
    </row>
    <row r="8">
      <c r="A8" s="24" t="inlineStr">
        <is>
          <t>2 · Set up your studio</t>
        </is>
      </c>
      <c r="B8" s="24">
        <f>COUNTIF('UAT · Dane'!$A:$A,2)</f>
        <v/>
      </c>
      <c r="C8" s="25">
        <f>COUNTIFS('UAT · Dane'!$A:$A,2,'UAT · Dane'!$J:$J,"&lt;&gt;")</f>
        <v/>
      </c>
      <c r="D8" s="25">
        <f>COUNTIFS('UAT · Dane'!$A:$A,2,'UAT · Dane'!$J:$J,"✅ Works")</f>
        <v/>
      </c>
      <c r="E8" s="25">
        <f>COUNTIFS('UAT · Dane'!$A:$A,2,'UAT · Dane'!$J:$J,"🟡 Works, but…")</f>
        <v/>
      </c>
      <c r="F8" s="25">
        <f>COUNTIFS('UAT · Dane'!$A:$A,2,'UAT · Dane'!$J:$J,"❌ Doesn’t work")</f>
        <v/>
      </c>
      <c r="G8" s="25">
        <f>COUNTIFS('UAT · Dane'!$A:$A,2,'UAT · Dane'!$J:$J,"🔍 Couldn’t find it")</f>
        <v/>
      </c>
      <c r="H8" s="25">
        <f>COUNTIFS('UAT · Dane'!$A:$A,2,'UAT · Dane'!$J:$J,"❌ Doesn’t work",'UAT · Dane'!$O:$O,"&lt;&gt;Fixed – please re-test",'UAT · Dane'!$O:$O,"&lt;&gt;Won’t change")+COUNTIFS('UAT · Dane'!$A:$A,2,'UAT · Dane'!$J:$J,"🔍 Couldn’t find it",'UAT · Dane'!$O:$O,"&lt;&gt;Fixed – please re-test",'UAT · Dane'!$O:$O,"&lt;&gt;Won’t change")</f>
        <v/>
      </c>
      <c r="I8" s="25">
        <f>COUNTIFS('UAT · Oliva'!$A:$A,2,'UAT · Oliva'!$J:$J,"&lt;&gt;")</f>
        <v/>
      </c>
      <c r="J8" s="25">
        <f>COUNTIFS('UAT · Oliva'!$A:$A,2,'UAT · Oliva'!$J:$J,"✅ Works")</f>
        <v/>
      </c>
      <c r="K8" s="25">
        <f>COUNTIFS('UAT · Oliva'!$A:$A,2,'UAT · Oliva'!$J:$J,"🟡 Works, but…")</f>
        <v/>
      </c>
      <c r="L8" s="25">
        <f>COUNTIFS('UAT · Oliva'!$A:$A,2,'UAT · Oliva'!$J:$J,"❌ Doesn’t work")</f>
        <v/>
      </c>
      <c r="M8" s="25">
        <f>COUNTIFS('UAT · Oliva'!$A:$A,2,'UAT · Oliva'!$J:$J,"🔍 Couldn’t find it")</f>
        <v/>
      </c>
      <c r="N8" s="25">
        <f>COUNTIFS('UAT · Oliva'!$A:$A,2,'UAT · Oliva'!$J:$J,"❌ Doesn’t work",'UAT · Oliva'!$O:$O,"&lt;&gt;Fixed – please re-test",'UAT · Oliva'!$O:$O,"&lt;&gt;Won’t change")+COUNTIFS('UAT · Oliva'!$A:$A,2,'UAT · Oliva'!$J:$J,"🔍 Couldn’t find it",'UAT · Oliva'!$O:$O,"&lt;&gt;Fixed – please re-test",'UAT · Oliva'!$O:$O,"&lt;&gt;Won’t change")</f>
        <v/>
      </c>
      <c r="O8" s="25">
        <f>COUNTIFS('UAT · Swati'!$A:$A,2,'UAT · Swati'!$J:$J,"&lt;&gt;")</f>
        <v/>
      </c>
      <c r="P8" s="25">
        <f>COUNTIFS('UAT · Swati'!$A:$A,2,'UAT · Swati'!$J:$J,"✅ Works")</f>
        <v/>
      </c>
      <c r="Q8" s="25">
        <f>COUNTIFS('UAT · Swati'!$A:$A,2,'UAT · Swati'!$J:$J,"🟡 Works, but…")</f>
        <v/>
      </c>
      <c r="R8" s="25">
        <f>COUNTIFS('UAT · Swati'!$A:$A,2,'UAT · Swati'!$J:$J,"❌ Doesn’t work")</f>
        <v/>
      </c>
      <c r="S8" s="25">
        <f>COUNTIFS('UAT · Swati'!$A:$A,2,'UAT · Swati'!$J:$J,"🔍 Couldn’t find it")</f>
        <v/>
      </c>
      <c r="T8" s="25">
        <f>COUNTIFS('UAT · Swati'!$A:$A,2,'UAT · Swati'!$J:$J,"❌ Doesn’t work",'UAT · Swati'!$O:$O,"&lt;&gt;Fixed – please re-test",'UAT · Swati'!$O:$O,"&lt;&gt;Won’t change")+COUNTIFS('UAT · Swati'!$A:$A,2,'UAT · Swati'!$J:$J,"🔍 Couldn’t find it",'UAT · Swati'!$O:$O,"&lt;&gt;Fixed – please re-test",'UAT · Swati'!$O:$O,"&lt;&gt;Won’t change")</f>
        <v/>
      </c>
    </row>
    <row r="9">
      <c r="A9" s="24" t="inlineStr">
        <is>
          <t>3 · Build your library</t>
        </is>
      </c>
      <c r="B9" s="24">
        <f>COUNTIF('UAT · Dane'!$A:$A,3)</f>
        <v/>
      </c>
      <c r="C9" s="25">
        <f>COUNTIFS('UAT · Dane'!$A:$A,3,'UAT · Dane'!$J:$J,"&lt;&gt;")</f>
        <v/>
      </c>
      <c r="D9" s="25">
        <f>COUNTIFS('UAT · Dane'!$A:$A,3,'UAT · Dane'!$J:$J,"✅ Works")</f>
        <v/>
      </c>
      <c r="E9" s="25">
        <f>COUNTIFS('UAT · Dane'!$A:$A,3,'UAT · Dane'!$J:$J,"🟡 Works, but…")</f>
        <v/>
      </c>
      <c r="F9" s="25">
        <f>COUNTIFS('UAT · Dane'!$A:$A,3,'UAT · Dane'!$J:$J,"❌ Doesn’t work")</f>
        <v/>
      </c>
      <c r="G9" s="25">
        <f>COUNTIFS('UAT · Dane'!$A:$A,3,'UAT · Dane'!$J:$J,"🔍 Couldn’t find it")</f>
        <v/>
      </c>
      <c r="H9" s="25">
        <f>COUNTIFS('UAT · Dane'!$A:$A,3,'UAT · Dane'!$J:$J,"❌ Doesn’t work",'UAT · Dane'!$O:$O,"&lt;&gt;Fixed – please re-test",'UAT · Dane'!$O:$O,"&lt;&gt;Won’t change")+COUNTIFS('UAT · Dane'!$A:$A,3,'UAT · Dane'!$J:$J,"🔍 Couldn’t find it",'UAT · Dane'!$O:$O,"&lt;&gt;Fixed – please re-test",'UAT · Dane'!$O:$O,"&lt;&gt;Won’t change")</f>
        <v/>
      </c>
      <c r="I9" s="25">
        <f>COUNTIFS('UAT · Oliva'!$A:$A,3,'UAT · Oliva'!$J:$J,"&lt;&gt;")</f>
        <v/>
      </c>
      <c r="J9" s="25">
        <f>COUNTIFS('UAT · Oliva'!$A:$A,3,'UAT · Oliva'!$J:$J,"✅ Works")</f>
        <v/>
      </c>
      <c r="K9" s="25">
        <f>COUNTIFS('UAT · Oliva'!$A:$A,3,'UAT · Oliva'!$J:$J,"🟡 Works, but…")</f>
        <v/>
      </c>
      <c r="L9" s="25">
        <f>COUNTIFS('UAT · Oliva'!$A:$A,3,'UAT · Oliva'!$J:$J,"❌ Doesn’t work")</f>
        <v/>
      </c>
      <c r="M9" s="25">
        <f>COUNTIFS('UAT · Oliva'!$A:$A,3,'UAT · Oliva'!$J:$J,"🔍 Couldn’t find it")</f>
        <v/>
      </c>
      <c r="N9" s="25">
        <f>COUNTIFS('UAT · Oliva'!$A:$A,3,'UAT · Oliva'!$J:$J,"❌ Doesn’t work",'UAT · Oliva'!$O:$O,"&lt;&gt;Fixed – please re-test",'UAT · Oliva'!$O:$O,"&lt;&gt;Won’t change")+COUNTIFS('UAT · Oliva'!$A:$A,3,'UAT · Oliva'!$J:$J,"🔍 Couldn’t find it",'UAT · Oliva'!$O:$O,"&lt;&gt;Fixed – please re-test",'UAT · Oliva'!$O:$O,"&lt;&gt;Won’t change")</f>
        <v/>
      </c>
      <c r="O9" s="25">
        <f>COUNTIFS('UAT · Swati'!$A:$A,3,'UAT · Swati'!$J:$J,"&lt;&gt;")</f>
        <v/>
      </c>
      <c r="P9" s="25">
        <f>COUNTIFS('UAT · Swati'!$A:$A,3,'UAT · Swati'!$J:$J,"✅ Works")</f>
        <v/>
      </c>
      <c r="Q9" s="25">
        <f>COUNTIFS('UAT · Swati'!$A:$A,3,'UAT · Swati'!$J:$J,"🟡 Works, but…")</f>
        <v/>
      </c>
      <c r="R9" s="25">
        <f>COUNTIFS('UAT · Swati'!$A:$A,3,'UAT · Swati'!$J:$J,"❌ Doesn’t work")</f>
        <v/>
      </c>
      <c r="S9" s="25">
        <f>COUNTIFS('UAT · Swati'!$A:$A,3,'UAT · Swati'!$J:$J,"🔍 Couldn’t find it")</f>
        <v/>
      </c>
      <c r="T9" s="25">
        <f>COUNTIFS('UAT · Swati'!$A:$A,3,'UAT · Swati'!$J:$J,"❌ Doesn’t work",'UAT · Swati'!$O:$O,"&lt;&gt;Fixed – please re-test",'UAT · Swati'!$O:$O,"&lt;&gt;Won’t change")+COUNTIFS('UAT · Swati'!$A:$A,3,'UAT · Swati'!$J:$J,"🔍 Couldn’t find it",'UAT · Swati'!$O:$O,"&lt;&gt;Fixed – please re-test",'UAT · Swati'!$O:$O,"&lt;&gt;Won’t change")</f>
        <v/>
      </c>
    </row>
    <row r="10">
      <c r="A10" s="24" t="inlineStr">
        <is>
          <t>4 · Leads arrive</t>
        </is>
      </c>
      <c r="B10" s="24">
        <f>COUNTIF('UAT · Dane'!$A:$A,4)</f>
        <v/>
      </c>
      <c r="C10" s="25">
        <f>COUNTIFS('UAT · Dane'!$A:$A,4,'UAT · Dane'!$J:$J,"&lt;&gt;")</f>
        <v/>
      </c>
      <c r="D10" s="25">
        <f>COUNTIFS('UAT · Dane'!$A:$A,4,'UAT · Dane'!$J:$J,"✅ Works")</f>
        <v/>
      </c>
      <c r="E10" s="25">
        <f>COUNTIFS('UAT · Dane'!$A:$A,4,'UAT · Dane'!$J:$J,"🟡 Works, but…")</f>
        <v/>
      </c>
      <c r="F10" s="25">
        <f>COUNTIFS('UAT · Dane'!$A:$A,4,'UAT · Dane'!$J:$J,"❌ Doesn’t work")</f>
        <v/>
      </c>
      <c r="G10" s="25">
        <f>COUNTIFS('UAT · Dane'!$A:$A,4,'UAT · Dane'!$J:$J,"🔍 Couldn’t find it")</f>
        <v/>
      </c>
      <c r="H10" s="25">
        <f>COUNTIFS('UAT · Dane'!$A:$A,4,'UAT · Dane'!$J:$J,"❌ Doesn’t work",'UAT · Dane'!$O:$O,"&lt;&gt;Fixed – please re-test",'UAT · Dane'!$O:$O,"&lt;&gt;Won’t change")+COUNTIFS('UAT · Dane'!$A:$A,4,'UAT · Dane'!$J:$J,"🔍 Couldn’t find it",'UAT · Dane'!$O:$O,"&lt;&gt;Fixed – please re-test",'UAT · Dane'!$O:$O,"&lt;&gt;Won’t change")</f>
        <v/>
      </c>
      <c r="I10" s="25">
        <f>COUNTIFS('UAT · Oliva'!$A:$A,4,'UAT · Oliva'!$J:$J,"&lt;&gt;")</f>
        <v/>
      </c>
      <c r="J10" s="25">
        <f>COUNTIFS('UAT · Oliva'!$A:$A,4,'UAT · Oliva'!$J:$J,"✅ Works")</f>
        <v/>
      </c>
      <c r="K10" s="25">
        <f>COUNTIFS('UAT · Oliva'!$A:$A,4,'UAT · Oliva'!$J:$J,"🟡 Works, but…")</f>
        <v/>
      </c>
      <c r="L10" s="25">
        <f>COUNTIFS('UAT · Oliva'!$A:$A,4,'UAT · Oliva'!$J:$J,"❌ Doesn’t work")</f>
        <v/>
      </c>
      <c r="M10" s="25">
        <f>COUNTIFS('UAT · Oliva'!$A:$A,4,'UAT · Oliva'!$J:$J,"🔍 Couldn’t find it")</f>
        <v/>
      </c>
      <c r="N10" s="25">
        <f>COUNTIFS('UAT · Oliva'!$A:$A,4,'UAT · Oliva'!$J:$J,"❌ Doesn’t work",'UAT · Oliva'!$O:$O,"&lt;&gt;Fixed – please re-test",'UAT · Oliva'!$O:$O,"&lt;&gt;Won’t change")+COUNTIFS('UAT · Oliva'!$A:$A,4,'UAT · Oliva'!$J:$J,"🔍 Couldn’t find it",'UAT · Oliva'!$O:$O,"&lt;&gt;Fixed – please re-test",'UAT · Oliva'!$O:$O,"&lt;&gt;Won’t change")</f>
        <v/>
      </c>
      <c r="O10" s="25">
        <f>COUNTIFS('UAT · Swati'!$A:$A,4,'UAT · Swati'!$J:$J,"&lt;&gt;")</f>
        <v/>
      </c>
      <c r="P10" s="25">
        <f>COUNTIFS('UAT · Swati'!$A:$A,4,'UAT · Swati'!$J:$J,"✅ Works")</f>
        <v/>
      </c>
      <c r="Q10" s="25">
        <f>COUNTIFS('UAT · Swati'!$A:$A,4,'UAT · Swati'!$J:$J,"🟡 Works, but…")</f>
        <v/>
      </c>
      <c r="R10" s="25">
        <f>COUNTIFS('UAT · Swati'!$A:$A,4,'UAT · Swati'!$J:$J,"❌ Doesn’t work")</f>
        <v/>
      </c>
      <c r="S10" s="25">
        <f>COUNTIFS('UAT · Swati'!$A:$A,4,'UAT · Swati'!$J:$J,"🔍 Couldn’t find it")</f>
        <v/>
      </c>
      <c r="T10" s="25">
        <f>COUNTIFS('UAT · Swati'!$A:$A,4,'UAT · Swati'!$J:$J,"❌ Doesn’t work",'UAT · Swati'!$O:$O,"&lt;&gt;Fixed – please re-test",'UAT · Swati'!$O:$O,"&lt;&gt;Won’t change")+COUNTIFS('UAT · Swati'!$A:$A,4,'UAT · Swati'!$J:$J,"🔍 Couldn’t find it",'UAT · Swati'!$O:$O,"&lt;&gt;Fixed – please re-test",'UAT · Swati'!$O:$O,"&lt;&gt;Won’t change")</f>
        <v/>
      </c>
    </row>
    <row r="11">
      <c r="A11" s="24" t="inlineStr">
        <is>
          <t>5 · Work your lead</t>
        </is>
      </c>
      <c r="B11" s="24">
        <f>COUNTIF('UAT · Dane'!$A:$A,5)</f>
        <v/>
      </c>
      <c r="C11" s="25">
        <f>COUNTIFS('UAT · Dane'!$A:$A,5,'UAT · Dane'!$J:$J,"&lt;&gt;")</f>
        <v/>
      </c>
      <c r="D11" s="25">
        <f>COUNTIFS('UAT · Dane'!$A:$A,5,'UAT · Dane'!$J:$J,"✅ Works")</f>
        <v/>
      </c>
      <c r="E11" s="25">
        <f>COUNTIFS('UAT · Dane'!$A:$A,5,'UAT · Dane'!$J:$J,"🟡 Works, but…")</f>
        <v/>
      </c>
      <c r="F11" s="25">
        <f>COUNTIFS('UAT · Dane'!$A:$A,5,'UAT · Dane'!$J:$J,"❌ Doesn’t work")</f>
        <v/>
      </c>
      <c r="G11" s="25">
        <f>COUNTIFS('UAT · Dane'!$A:$A,5,'UAT · Dane'!$J:$J,"🔍 Couldn’t find it")</f>
        <v/>
      </c>
      <c r="H11" s="25">
        <f>COUNTIFS('UAT · Dane'!$A:$A,5,'UAT · Dane'!$J:$J,"❌ Doesn’t work",'UAT · Dane'!$O:$O,"&lt;&gt;Fixed – please re-test",'UAT · Dane'!$O:$O,"&lt;&gt;Won’t change")+COUNTIFS('UAT · Dane'!$A:$A,5,'UAT · Dane'!$J:$J,"🔍 Couldn’t find it",'UAT · Dane'!$O:$O,"&lt;&gt;Fixed – please re-test",'UAT · Dane'!$O:$O,"&lt;&gt;Won’t change")</f>
        <v/>
      </c>
      <c r="I11" s="25">
        <f>COUNTIFS('UAT · Oliva'!$A:$A,5,'UAT · Oliva'!$J:$J,"&lt;&gt;")</f>
        <v/>
      </c>
      <c r="J11" s="25">
        <f>COUNTIFS('UAT · Oliva'!$A:$A,5,'UAT · Oliva'!$J:$J,"✅ Works")</f>
        <v/>
      </c>
      <c r="K11" s="25">
        <f>COUNTIFS('UAT · Oliva'!$A:$A,5,'UAT · Oliva'!$J:$J,"🟡 Works, but…")</f>
        <v/>
      </c>
      <c r="L11" s="25">
        <f>COUNTIFS('UAT · Oliva'!$A:$A,5,'UAT · Oliva'!$J:$J,"❌ Doesn’t work")</f>
        <v/>
      </c>
      <c r="M11" s="25">
        <f>COUNTIFS('UAT · Oliva'!$A:$A,5,'UAT · Oliva'!$J:$J,"🔍 Couldn’t find it")</f>
        <v/>
      </c>
      <c r="N11" s="25">
        <f>COUNTIFS('UAT · Oliva'!$A:$A,5,'UAT · Oliva'!$J:$J,"❌ Doesn’t work",'UAT · Oliva'!$O:$O,"&lt;&gt;Fixed – please re-test",'UAT · Oliva'!$O:$O,"&lt;&gt;Won’t change")+COUNTIFS('UAT · Oliva'!$A:$A,5,'UAT · Oliva'!$J:$J,"🔍 Couldn’t find it",'UAT · Oliva'!$O:$O,"&lt;&gt;Fixed – please re-test",'UAT · Oliva'!$O:$O,"&lt;&gt;Won’t change")</f>
        <v/>
      </c>
      <c r="O11" s="25">
        <f>COUNTIFS('UAT · Swati'!$A:$A,5,'UAT · Swati'!$J:$J,"&lt;&gt;")</f>
        <v/>
      </c>
      <c r="P11" s="25">
        <f>COUNTIFS('UAT · Swati'!$A:$A,5,'UAT · Swati'!$J:$J,"✅ Works")</f>
        <v/>
      </c>
      <c r="Q11" s="25">
        <f>COUNTIFS('UAT · Swati'!$A:$A,5,'UAT · Swati'!$J:$J,"🟡 Works, but…")</f>
        <v/>
      </c>
      <c r="R11" s="25">
        <f>COUNTIFS('UAT · Swati'!$A:$A,5,'UAT · Swati'!$J:$J,"❌ Doesn’t work")</f>
        <v/>
      </c>
      <c r="S11" s="25">
        <f>COUNTIFS('UAT · Swati'!$A:$A,5,'UAT · Swati'!$J:$J,"🔍 Couldn’t find it")</f>
        <v/>
      </c>
      <c r="T11" s="25">
        <f>COUNTIFS('UAT · Swati'!$A:$A,5,'UAT · Swati'!$J:$J,"❌ Doesn’t work",'UAT · Swati'!$O:$O,"&lt;&gt;Fixed – please re-test",'UAT · Swati'!$O:$O,"&lt;&gt;Won’t change")+COUNTIFS('UAT · Swati'!$A:$A,5,'UAT · Swati'!$J:$J,"🔍 Couldn’t find it",'UAT · Swati'!$O:$O,"&lt;&gt;Fixed – please re-test",'UAT · Swati'!$O:$O,"&lt;&gt;Won’t change")</f>
        <v/>
      </c>
    </row>
    <row r="12">
      <c r="A12" s="24" t="inlineStr">
        <is>
          <t>6 · Quote it</t>
        </is>
      </c>
      <c r="B12" s="24">
        <f>COUNTIF('UAT · Dane'!$A:$A,6)</f>
        <v/>
      </c>
      <c r="C12" s="25">
        <f>COUNTIFS('UAT · Dane'!$A:$A,6,'UAT · Dane'!$J:$J,"&lt;&gt;")</f>
        <v/>
      </c>
      <c r="D12" s="25">
        <f>COUNTIFS('UAT · Dane'!$A:$A,6,'UAT · Dane'!$J:$J,"✅ Works")</f>
        <v/>
      </c>
      <c r="E12" s="25">
        <f>COUNTIFS('UAT · Dane'!$A:$A,6,'UAT · Dane'!$J:$J,"🟡 Works, but…")</f>
        <v/>
      </c>
      <c r="F12" s="25">
        <f>COUNTIFS('UAT · Dane'!$A:$A,6,'UAT · Dane'!$J:$J,"❌ Doesn’t work")</f>
        <v/>
      </c>
      <c r="G12" s="25">
        <f>COUNTIFS('UAT · Dane'!$A:$A,6,'UAT · Dane'!$J:$J,"🔍 Couldn’t find it")</f>
        <v/>
      </c>
      <c r="H12" s="25">
        <f>COUNTIFS('UAT · Dane'!$A:$A,6,'UAT · Dane'!$J:$J,"❌ Doesn’t work",'UAT · Dane'!$O:$O,"&lt;&gt;Fixed – please re-test",'UAT · Dane'!$O:$O,"&lt;&gt;Won’t change")+COUNTIFS('UAT · Dane'!$A:$A,6,'UAT · Dane'!$J:$J,"🔍 Couldn’t find it",'UAT · Dane'!$O:$O,"&lt;&gt;Fixed – please re-test",'UAT · Dane'!$O:$O,"&lt;&gt;Won’t change")</f>
        <v/>
      </c>
      <c r="I12" s="25">
        <f>COUNTIFS('UAT · Oliva'!$A:$A,6,'UAT · Oliva'!$J:$J,"&lt;&gt;")</f>
        <v/>
      </c>
      <c r="J12" s="25">
        <f>COUNTIFS('UAT · Oliva'!$A:$A,6,'UAT · Oliva'!$J:$J,"✅ Works")</f>
        <v/>
      </c>
      <c r="K12" s="25">
        <f>COUNTIFS('UAT · Oliva'!$A:$A,6,'UAT · Oliva'!$J:$J,"🟡 Works, but…")</f>
        <v/>
      </c>
      <c r="L12" s="25">
        <f>COUNTIFS('UAT · Oliva'!$A:$A,6,'UAT · Oliva'!$J:$J,"❌ Doesn’t work")</f>
        <v/>
      </c>
      <c r="M12" s="25">
        <f>COUNTIFS('UAT · Oliva'!$A:$A,6,'UAT · Oliva'!$J:$J,"🔍 Couldn’t find it")</f>
        <v/>
      </c>
      <c r="N12" s="25">
        <f>COUNTIFS('UAT · Oliva'!$A:$A,6,'UAT · Oliva'!$J:$J,"❌ Doesn’t work",'UAT · Oliva'!$O:$O,"&lt;&gt;Fixed – please re-test",'UAT · Oliva'!$O:$O,"&lt;&gt;Won’t change")+COUNTIFS('UAT · Oliva'!$A:$A,6,'UAT · Oliva'!$J:$J,"🔍 Couldn’t find it",'UAT · Oliva'!$O:$O,"&lt;&gt;Fixed – please re-test",'UAT · Oliva'!$O:$O,"&lt;&gt;Won’t change")</f>
        <v/>
      </c>
      <c r="O12" s="25">
        <f>COUNTIFS('UAT · Swati'!$A:$A,6,'UAT · Swati'!$J:$J,"&lt;&gt;")</f>
        <v/>
      </c>
      <c r="P12" s="25">
        <f>COUNTIFS('UAT · Swati'!$A:$A,6,'UAT · Swati'!$J:$J,"✅ Works")</f>
        <v/>
      </c>
      <c r="Q12" s="25">
        <f>COUNTIFS('UAT · Swati'!$A:$A,6,'UAT · Swati'!$J:$J,"🟡 Works, but…")</f>
        <v/>
      </c>
      <c r="R12" s="25">
        <f>COUNTIFS('UAT · Swati'!$A:$A,6,'UAT · Swati'!$J:$J,"❌ Doesn’t work")</f>
        <v/>
      </c>
      <c r="S12" s="25">
        <f>COUNTIFS('UAT · Swati'!$A:$A,6,'UAT · Swati'!$J:$J,"🔍 Couldn’t find it")</f>
        <v/>
      </c>
      <c r="T12" s="25">
        <f>COUNTIFS('UAT · Swati'!$A:$A,6,'UAT · Swati'!$J:$J,"❌ Doesn’t work",'UAT · Swati'!$O:$O,"&lt;&gt;Fixed – please re-test",'UAT · Swati'!$O:$O,"&lt;&gt;Won’t change")+COUNTIFS('UAT · Swati'!$A:$A,6,'UAT · Swati'!$J:$J,"🔍 Couldn’t find it",'UAT · Swati'!$O:$O,"&lt;&gt;Fixed – please re-test",'UAT · Swati'!$O:$O,"&lt;&gt;Won’t change")</f>
        <v/>
      </c>
    </row>
    <row r="13">
      <c r="A13" s="24" t="inlineStr">
        <is>
          <t>7 · A rival quote</t>
        </is>
      </c>
      <c r="B13" s="24">
        <f>COUNTIF('UAT · Dane'!$A:$A,7)</f>
        <v/>
      </c>
      <c r="C13" s="25">
        <f>COUNTIFS('UAT · Dane'!$A:$A,7,'UAT · Dane'!$J:$J,"&lt;&gt;")</f>
        <v/>
      </c>
      <c r="D13" s="25">
        <f>COUNTIFS('UAT · Dane'!$A:$A,7,'UAT · Dane'!$J:$J,"✅ Works")</f>
        <v/>
      </c>
      <c r="E13" s="25">
        <f>COUNTIFS('UAT · Dane'!$A:$A,7,'UAT · Dane'!$J:$J,"🟡 Works, but…")</f>
        <v/>
      </c>
      <c r="F13" s="25">
        <f>COUNTIFS('UAT · Dane'!$A:$A,7,'UAT · Dane'!$J:$J,"❌ Doesn’t work")</f>
        <v/>
      </c>
      <c r="G13" s="25">
        <f>COUNTIFS('UAT · Dane'!$A:$A,7,'UAT · Dane'!$J:$J,"🔍 Couldn’t find it")</f>
        <v/>
      </c>
      <c r="H13" s="25">
        <f>COUNTIFS('UAT · Dane'!$A:$A,7,'UAT · Dane'!$J:$J,"❌ Doesn’t work",'UAT · Dane'!$O:$O,"&lt;&gt;Fixed – please re-test",'UAT · Dane'!$O:$O,"&lt;&gt;Won’t change")+COUNTIFS('UAT · Dane'!$A:$A,7,'UAT · Dane'!$J:$J,"🔍 Couldn’t find it",'UAT · Dane'!$O:$O,"&lt;&gt;Fixed – please re-test",'UAT · Dane'!$O:$O,"&lt;&gt;Won’t change")</f>
        <v/>
      </c>
      <c r="I13" s="25">
        <f>COUNTIFS('UAT · Oliva'!$A:$A,7,'UAT · Oliva'!$J:$J,"&lt;&gt;")</f>
        <v/>
      </c>
      <c r="J13" s="25">
        <f>COUNTIFS('UAT · Oliva'!$A:$A,7,'UAT · Oliva'!$J:$J,"✅ Works")</f>
        <v/>
      </c>
      <c r="K13" s="25">
        <f>COUNTIFS('UAT · Oliva'!$A:$A,7,'UAT · Oliva'!$J:$J,"🟡 Works, but…")</f>
        <v/>
      </c>
      <c r="L13" s="25">
        <f>COUNTIFS('UAT · Oliva'!$A:$A,7,'UAT · Oliva'!$J:$J,"❌ Doesn’t work")</f>
        <v/>
      </c>
      <c r="M13" s="25">
        <f>COUNTIFS('UAT · Oliva'!$A:$A,7,'UAT · Oliva'!$J:$J,"🔍 Couldn’t find it")</f>
        <v/>
      </c>
      <c r="N13" s="25">
        <f>COUNTIFS('UAT · Oliva'!$A:$A,7,'UAT · Oliva'!$J:$J,"❌ Doesn’t work",'UAT · Oliva'!$O:$O,"&lt;&gt;Fixed – please re-test",'UAT · Oliva'!$O:$O,"&lt;&gt;Won’t change")+COUNTIFS('UAT · Oliva'!$A:$A,7,'UAT · Oliva'!$J:$J,"🔍 Couldn’t find it",'UAT · Oliva'!$O:$O,"&lt;&gt;Fixed – please re-test",'UAT · Oliva'!$O:$O,"&lt;&gt;Won’t change")</f>
        <v/>
      </c>
      <c r="O13" s="25">
        <f>COUNTIFS('UAT · Swati'!$A:$A,7,'UAT · Swati'!$J:$J,"&lt;&gt;")</f>
        <v/>
      </c>
      <c r="P13" s="25">
        <f>COUNTIFS('UAT · Swati'!$A:$A,7,'UAT · Swati'!$J:$J,"✅ Works")</f>
        <v/>
      </c>
      <c r="Q13" s="25">
        <f>COUNTIFS('UAT · Swati'!$A:$A,7,'UAT · Swati'!$J:$J,"🟡 Works, but…")</f>
        <v/>
      </c>
      <c r="R13" s="25">
        <f>COUNTIFS('UAT · Swati'!$A:$A,7,'UAT · Swati'!$J:$J,"❌ Doesn’t work")</f>
        <v/>
      </c>
      <c r="S13" s="25">
        <f>COUNTIFS('UAT · Swati'!$A:$A,7,'UAT · Swati'!$J:$J,"🔍 Couldn’t find it")</f>
        <v/>
      </c>
      <c r="T13" s="25">
        <f>COUNTIFS('UAT · Swati'!$A:$A,7,'UAT · Swati'!$J:$J,"❌ Doesn’t work",'UAT · Swati'!$O:$O,"&lt;&gt;Fixed – please re-test",'UAT · Swati'!$O:$O,"&lt;&gt;Won’t change")+COUNTIFS('UAT · Swati'!$A:$A,7,'UAT · Swati'!$J:$J,"🔍 Couldn’t find it",'UAT · Swati'!$O:$O,"&lt;&gt;Fixed – please re-test",'UAT · Swati'!$O:$O,"&lt;&gt;Won’t change")</f>
        <v/>
      </c>
    </row>
    <row r="14">
      <c r="A14" s="24" t="inlineStr">
        <is>
          <t>8 · Sign the deal</t>
        </is>
      </c>
      <c r="B14" s="24">
        <f>COUNTIF('UAT · Dane'!$A:$A,8)</f>
        <v/>
      </c>
      <c r="C14" s="25">
        <f>COUNTIFS('UAT · Dane'!$A:$A,8,'UAT · Dane'!$J:$J,"&lt;&gt;")</f>
        <v/>
      </c>
      <c r="D14" s="25">
        <f>COUNTIFS('UAT · Dane'!$A:$A,8,'UAT · Dane'!$J:$J,"✅ Works")</f>
        <v/>
      </c>
      <c r="E14" s="25">
        <f>COUNTIFS('UAT · Dane'!$A:$A,8,'UAT · Dane'!$J:$J,"🟡 Works, but…")</f>
        <v/>
      </c>
      <c r="F14" s="25">
        <f>COUNTIFS('UAT · Dane'!$A:$A,8,'UAT · Dane'!$J:$J,"❌ Doesn’t work")</f>
        <v/>
      </c>
      <c r="G14" s="25">
        <f>COUNTIFS('UAT · Dane'!$A:$A,8,'UAT · Dane'!$J:$J,"🔍 Couldn’t find it")</f>
        <v/>
      </c>
      <c r="H14" s="25">
        <f>COUNTIFS('UAT · Dane'!$A:$A,8,'UAT · Dane'!$J:$J,"❌ Doesn’t work",'UAT · Dane'!$O:$O,"&lt;&gt;Fixed – please re-test",'UAT · Dane'!$O:$O,"&lt;&gt;Won’t change")+COUNTIFS('UAT · Dane'!$A:$A,8,'UAT · Dane'!$J:$J,"🔍 Couldn’t find it",'UAT · Dane'!$O:$O,"&lt;&gt;Fixed – please re-test",'UAT · Dane'!$O:$O,"&lt;&gt;Won’t change")</f>
        <v/>
      </c>
      <c r="I14" s="25">
        <f>COUNTIFS('UAT · Oliva'!$A:$A,8,'UAT · Oliva'!$J:$J,"&lt;&gt;")</f>
        <v/>
      </c>
      <c r="J14" s="25">
        <f>COUNTIFS('UAT · Oliva'!$A:$A,8,'UAT · Oliva'!$J:$J,"✅ Works")</f>
        <v/>
      </c>
      <c r="K14" s="25">
        <f>COUNTIFS('UAT · Oliva'!$A:$A,8,'UAT · Oliva'!$J:$J,"🟡 Works, but…")</f>
        <v/>
      </c>
      <c r="L14" s="25">
        <f>COUNTIFS('UAT · Oliva'!$A:$A,8,'UAT · Oliva'!$J:$J,"❌ Doesn’t work")</f>
        <v/>
      </c>
      <c r="M14" s="25">
        <f>COUNTIFS('UAT · Oliva'!$A:$A,8,'UAT · Oliva'!$J:$J,"🔍 Couldn’t find it")</f>
        <v/>
      </c>
      <c r="N14" s="25">
        <f>COUNTIFS('UAT · Oliva'!$A:$A,8,'UAT · Oliva'!$J:$J,"❌ Doesn’t work",'UAT · Oliva'!$O:$O,"&lt;&gt;Fixed – please re-test",'UAT · Oliva'!$O:$O,"&lt;&gt;Won’t change")+COUNTIFS('UAT · Oliva'!$A:$A,8,'UAT · Oliva'!$J:$J,"🔍 Couldn’t find it",'UAT · Oliva'!$O:$O,"&lt;&gt;Fixed – please re-test",'UAT · Oliva'!$O:$O,"&lt;&gt;Won’t change")</f>
        <v/>
      </c>
      <c r="O14" s="25">
        <f>COUNTIFS('UAT · Swati'!$A:$A,8,'UAT · Swati'!$J:$J,"&lt;&gt;")</f>
        <v/>
      </c>
      <c r="P14" s="25">
        <f>COUNTIFS('UAT · Swati'!$A:$A,8,'UAT · Swati'!$J:$J,"✅ Works")</f>
        <v/>
      </c>
      <c r="Q14" s="25">
        <f>COUNTIFS('UAT · Swati'!$A:$A,8,'UAT · Swati'!$J:$J,"🟡 Works, but…")</f>
        <v/>
      </c>
      <c r="R14" s="25">
        <f>COUNTIFS('UAT · Swati'!$A:$A,8,'UAT · Swati'!$J:$J,"❌ Doesn’t work")</f>
        <v/>
      </c>
      <c r="S14" s="25">
        <f>COUNTIFS('UAT · Swati'!$A:$A,8,'UAT · Swati'!$J:$J,"🔍 Couldn’t find it")</f>
        <v/>
      </c>
      <c r="T14" s="25">
        <f>COUNTIFS('UAT · Swati'!$A:$A,8,'UAT · Swati'!$J:$J,"❌ Doesn’t work",'UAT · Swati'!$O:$O,"&lt;&gt;Fixed – please re-test",'UAT · Swati'!$O:$O,"&lt;&gt;Won’t change")+COUNTIFS('UAT · Swati'!$A:$A,8,'UAT · Swati'!$J:$J,"🔍 Couldn’t find it",'UAT · Swati'!$O:$O,"&lt;&gt;Fixed – please re-test",'UAT · Swati'!$O:$O,"&lt;&gt;Won’t change")</f>
        <v/>
      </c>
    </row>
    <row r="15">
      <c r="A15" s="24" t="inlineStr">
        <is>
          <t>9 · Win, park or lose</t>
        </is>
      </c>
      <c r="B15" s="24">
        <f>COUNTIF('UAT · Dane'!$A:$A,9)</f>
        <v/>
      </c>
      <c r="C15" s="25">
        <f>COUNTIFS('UAT · Dane'!$A:$A,9,'UAT · Dane'!$J:$J,"&lt;&gt;")</f>
        <v/>
      </c>
      <c r="D15" s="25">
        <f>COUNTIFS('UAT · Dane'!$A:$A,9,'UAT · Dane'!$J:$J,"✅ Works")</f>
        <v/>
      </c>
      <c r="E15" s="25">
        <f>COUNTIFS('UAT · Dane'!$A:$A,9,'UAT · Dane'!$J:$J,"🟡 Works, but…")</f>
        <v/>
      </c>
      <c r="F15" s="25">
        <f>COUNTIFS('UAT · Dane'!$A:$A,9,'UAT · Dane'!$J:$J,"❌ Doesn’t work")</f>
        <v/>
      </c>
      <c r="G15" s="25">
        <f>COUNTIFS('UAT · Dane'!$A:$A,9,'UAT · Dane'!$J:$J,"🔍 Couldn’t find it")</f>
        <v/>
      </c>
      <c r="H15" s="25">
        <f>COUNTIFS('UAT · Dane'!$A:$A,9,'UAT · Dane'!$J:$J,"❌ Doesn’t work",'UAT · Dane'!$O:$O,"&lt;&gt;Fixed – please re-test",'UAT · Dane'!$O:$O,"&lt;&gt;Won’t change")+COUNTIFS('UAT · Dane'!$A:$A,9,'UAT · Dane'!$J:$J,"🔍 Couldn’t find it",'UAT · Dane'!$O:$O,"&lt;&gt;Fixed – please re-test",'UAT · Dane'!$O:$O,"&lt;&gt;Won’t change")</f>
        <v/>
      </c>
      <c r="I15" s="25">
        <f>COUNTIFS('UAT · Oliva'!$A:$A,9,'UAT · Oliva'!$J:$J,"&lt;&gt;")</f>
        <v/>
      </c>
      <c r="J15" s="25">
        <f>COUNTIFS('UAT · Oliva'!$A:$A,9,'UAT · Oliva'!$J:$J,"✅ Works")</f>
        <v/>
      </c>
      <c r="K15" s="25">
        <f>COUNTIFS('UAT · Oliva'!$A:$A,9,'UAT · Oliva'!$J:$J,"🟡 Works, but…")</f>
        <v/>
      </c>
      <c r="L15" s="25">
        <f>COUNTIFS('UAT · Oliva'!$A:$A,9,'UAT · Oliva'!$J:$J,"❌ Doesn’t work")</f>
        <v/>
      </c>
      <c r="M15" s="25">
        <f>COUNTIFS('UAT · Oliva'!$A:$A,9,'UAT · Oliva'!$J:$J,"🔍 Couldn’t find it")</f>
        <v/>
      </c>
      <c r="N15" s="25">
        <f>COUNTIFS('UAT · Oliva'!$A:$A,9,'UAT · Oliva'!$J:$J,"❌ Doesn’t work",'UAT · Oliva'!$O:$O,"&lt;&gt;Fixed – please re-test",'UAT · Oliva'!$O:$O,"&lt;&gt;Won’t change")+COUNTIFS('UAT · Oliva'!$A:$A,9,'UAT · Oliva'!$J:$J,"🔍 Couldn’t find it",'UAT · Oliva'!$O:$O,"&lt;&gt;Fixed – please re-test",'UAT · Oliva'!$O:$O,"&lt;&gt;Won’t change")</f>
        <v/>
      </c>
      <c r="O15" s="25">
        <f>COUNTIFS('UAT · Swati'!$A:$A,9,'UAT · Swati'!$J:$J,"&lt;&gt;")</f>
        <v/>
      </c>
      <c r="P15" s="25">
        <f>COUNTIFS('UAT · Swati'!$A:$A,9,'UAT · Swati'!$J:$J,"✅ Works")</f>
        <v/>
      </c>
      <c r="Q15" s="25">
        <f>COUNTIFS('UAT · Swati'!$A:$A,9,'UAT · Swati'!$J:$J,"🟡 Works, but…")</f>
        <v/>
      </c>
      <c r="R15" s="25">
        <f>COUNTIFS('UAT · Swati'!$A:$A,9,'UAT · Swati'!$J:$J,"❌ Doesn’t work")</f>
        <v/>
      </c>
      <c r="S15" s="25">
        <f>COUNTIFS('UAT · Swati'!$A:$A,9,'UAT · Swati'!$J:$J,"🔍 Couldn’t find it")</f>
        <v/>
      </c>
      <c r="T15" s="25">
        <f>COUNTIFS('UAT · Swati'!$A:$A,9,'UAT · Swati'!$J:$J,"❌ Doesn’t work",'UAT · Swati'!$O:$O,"&lt;&gt;Fixed – please re-test",'UAT · Swati'!$O:$O,"&lt;&gt;Won’t change")+COUNTIFS('UAT · Swati'!$A:$A,9,'UAT · Swati'!$J:$J,"🔍 Couldn’t find it",'UAT · Swati'!$O:$O,"&lt;&gt;Fixed – please re-test",'UAT · Swati'!$O:$O,"&lt;&gt;Won’t change")</f>
        <v/>
      </c>
    </row>
    <row r="16">
      <c r="A16" s="24" t="inlineStr">
        <is>
          <t>10 · A designer’s day</t>
        </is>
      </c>
      <c r="B16" s="24">
        <f>COUNTIF('UAT · Dane'!$A:$A,10)</f>
        <v/>
      </c>
      <c r="C16" s="25">
        <f>COUNTIFS('UAT · Dane'!$A:$A,10,'UAT · Dane'!$J:$J,"&lt;&gt;")</f>
        <v/>
      </c>
      <c r="D16" s="25">
        <f>COUNTIFS('UAT · Dane'!$A:$A,10,'UAT · Dane'!$J:$J,"✅ Works")</f>
        <v/>
      </c>
      <c r="E16" s="25">
        <f>COUNTIFS('UAT · Dane'!$A:$A,10,'UAT · Dane'!$J:$J,"🟡 Works, but…")</f>
        <v/>
      </c>
      <c r="F16" s="25">
        <f>COUNTIFS('UAT · Dane'!$A:$A,10,'UAT · Dane'!$J:$J,"❌ Doesn’t work")</f>
        <v/>
      </c>
      <c r="G16" s="25">
        <f>COUNTIFS('UAT · Dane'!$A:$A,10,'UAT · Dane'!$J:$J,"🔍 Couldn’t find it")</f>
        <v/>
      </c>
      <c r="H16" s="25">
        <f>COUNTIFS('UAT · Dane'!$A:$A,10,'UAT · Dane'!$J:$J,"❌ Doesn’t work",'UAT · Dane'!$O:$O,"&lt;&gt;Fixed – please re-test",'UAT · Dane'!$O:$O,"&lt;&gt;Won’t change")+COUNTIFS('UAT · Dane'!$A:$A,10,'UAT · Dane'!$J:$J,"🔍 Couldn’t find it",'UAT · Dane'!$O:$O,"&lt;&gt;Fixed – please re-test",'UAT · Dane'!$O:$O,"&lt;&gt;Won’t change")</f>
        <v/>
      </c>
      <c r="I16" s="25">
        <f>COUNTIFS('UAT · Oliva'!$A:$A,10,'UAT · Oliva'!$J:$J,"&lt;&gt;")</f>
        <v/>
      </c>
      <c r="J16" s="25">
        <f>COUNTIFS('UAT · Oliva'!$A:$A,10,'UAT · Oliva'!$J:$J,"✅ Works")</f>
        <v/>
      </c>
      <c r="K16" s="25">
        <f>COUNTIFS('UAT · Oliva'!$A:$A,10,'UAT · Oliva'!$J:$J,"🟡 Works, but…")</f>
        <v/>
      </c>
      <c r="L16" s="25">
        <f>COUNTIFS('UAT · Oliva'!$A:$A,10,'UAT · Oliva'!$J:$J,"❌ Doesn’t work")</f>
        <v/>
      </c>
      <c r="M16" s="25">
        <f>COUNTIFS('UAT · Oliva'!$A:$A,10,'UAT · Oliva'!$J:$J,"🔍 Couldn’t find it")</f>
        <v/>
      </c>
      <c r="N16" s="25">
        <f>COUNTIFS('UAT · Oliva'!$A:$A,10,'UAT · Oliva'!$J:$J,"❌ Doesn’t work",'UAT · Oliva'!$O:$O,"&lt;&gt;Fixed – please re-test",'UAT · Oliva'!$O:$O,"&lt;&gt;Won’t change")+COUNTIFS('UAT · Oliva'!$A:$A,10,'UAT · Oliva'!$J:$J,"🔍 Couldn’t find it",'UAT · Oliva'!$O:$O,"&lt;&gt;Fixed – please re-test",'UAT · Oliva'!$O:$O,"&lt;&gt;Won’t change")</f>
        <v/>
      </c>
      <c r="O16" s="25">
        <f>COUNTIFS('UAT · Swati'!$A:$A,10,'UAT · Swati'!$J:$J,"&lt;&gt;")</f>
        <v/>
      </c>
      <c r="P16" s="25">
        <f>COUNTIFS('UAT · Swati'!$A:$A,10,'UAT · Swati'!$J:$J,"✅ Works")</f>
        <v/>
      </c>
      <c r="Q16" s="25">
        <f>COUNTIFS('UAT · Swati'!$A:$A,10,'UAT · Swati'!$J:$J,"🟡 Works, but…")</f>
        <v/>
      </c>
      <c r="R16" s="25">
        <f>COUNTIFS('UAT · Swati'!$A:$A,10,'UAT · Swati'!$J:$J,"❌ Doesn’t work")</f>
        <v/>
      </c>
      <c r="S16" s="25">
        <f>COUNTIFS('UAT · Swati'!$A:$A,10,'UAT · Swati'!$J:$J,"🔍 Couldn’t find it")</f>
        <v/>
      </c>
      <c r="T16" s="25">
        <f>COUNTIFS('UAT · Swati'!$A:$A,10,'UAT · Swati'!$J:$J,"❌ Doesn’t work",'UAT · Swati'!$O:$O,"&lt;&gt;Fixed – please re-test",'UAT · Swati'!$O:$O,"&lt;&gt;Won’t change")+COUNTIFS('UAT · Swati'!$A:$A,10,'UAT · Swati'!$J:$J,"🔍 Couldn’t find it",'UAT · Swati'!$O:$O,"&lt;&gt;Fixed – please re-test",'UAT · Swati'!$O:$O,"&lt;&gt;Won’t change")</f>
        <v/>
      </c>
    </row>
    <row r="17">
      <c r="A17" s="24" t="inlineStr">
        <is>
          <t>11 · The owner’s week</t>
        </is>
      </c>
      <c r="B17" s="24">
        <f>COUNTIF('UAT · Dane'!$A:$A,11)</f>
        <v/>
      </c>
      <c r="C17" s="25">
        <f>COUNTIFS('UAT · Dane'!$A:$A,11,'UAT · Dane'!$J:$J,"&lt;&gt;")</f>
        <v/>
      </c>
      <c r="D17" s="25">
        <f>COUNTIFS('UAT · Dane'!$A:$A,11,'UAT · Dane'!$J:$J,"✅ Works")</f>
        <v/>
      </c>
      <c r="E17" s="25">
        <f>COUNTIFS('UAT · Dane'!$A:$A,11,'UAT · Dane'!$J:$J,"🟡 Works, but…")</f>
        <v/>
      </c>
      <c r="F17" s="25">
        <f>COUNTIFS('UAT · Dane'!$A:$A,11,'UAT · Dane'!$J:$J,"❌ Doesn’t work")</f>
        <v/>
      </c>
      <c r="G17" s="25">
        <f>COUNTIFS('UAT · Dane'!$A:$A,11,'UAT · Dane'!$J:$J,"🔍 Couldn’t find it")</f>
        <v/>
      </c>
      <c r="H17" s="25">
        <f>COUNTIFS('UAT · Dane'!$A:$A,11,'UAT · Dane'!$J:$J,"❌ Doesn’t work",'UAT · Dane'!$O:$O,"&lt;&gt;Fixed – please re-test",'UAT · Dane'!$O:$O,"&lt;&gt;Won’t change")+COUNTIFS('UAT · Dane'!$A:$A,11,'UAT · Dane'!$J:$J,"🔍 Couldn’t find it",'UAT · Dane'!$O:$O,"&lt;&gt;Fixed – please re-test",'UAT · Dane'!$O:$O,"&lt;&gt;Won’t change")</f>
        <v/>
      </c>
      <c r="I17" s="25">
        <f>COUNTIFS('UAT · Oliva'!$A:$A,11,'UAT · Oliva'!$J:$J,"&lt;&gt;")</f>
        <v/>
      </c>
      <c r="J17" s="25">
        <f>COUNTIFS('UAT · Oliva'!$A:$A,11,'UAT · Oliva'!$J:$J,"✅ Works")</f>
        <v/>
      </c>
      <c r="K17" s="25">
        <f>COUNTIFS('UAT · Oliva'!$A:$A,11,'UAT · Oliva'!$J:$J,"🟡 Works, but…")</f>
        <v/>
      </c>
      <c r="L17" s="25">
        <f>COUNTIFS('UAT · Oliva'!$A:$A,11,'UAT · Oliva'!$J:$J,"❌ Doesn’t work")</f>
        <v/>
      </c>
      <c r="M17" s="25">
        <f>COUNTIFS('UAT · Oliva'!$A:$A,11,'UAT · Oliva'!$J:$J,"🔍 Couldn’t find it")</f>
        <v/>
      </c>
      <c r="N17" s="25">
        <f>COUNTIFS('UAT · Oliva'!$A:$A,11,'UAT · Oliva'!$J:$J,"❌ Doesn’t work",'UAT · Oliva'!$O:$O,"&lt;&gt;Fixed – please re-test",'UAT · Oliva'!$O:$O,"&lt;&gt;Won’t change")+COUNTIFS('UAT · Oliva'!$A:$A,11,'UAT · Oliva'!$J:$J,"🔍 Couldn’t find it",'UAT · Oliva'!$O:$O,"&lt;&gt;Fixed – please re-test",'UAT · Oliva'!$O:$O,"&lt;&gt;Won’t change")</f>
        <v/>
      </c>
      <c r="O17" s="25">
        <f>COUNTIFS('UAT · Swati'!$A:$A,11,'UAT · Swati'!$J:$J,"&lt;&gt;")</f>
        <v/>
      </c>
      <c r="P17" s="25">
        <f>COUNTIFS('UAT · Swati'!$A:$A,11,'UAT · Swati'!$J:$J,"✅ Works")</f>
        <v/>
      </c>
      <c r="Q17" s="25">
        <f>COUNTIFS('UAT · Swati'!$A:$A,11,'UAT · Swati'!$J:$J,"🟡 Works, but…")</f>
        <v/>
      </c>
      <c r="R17" s="25">
        <f>COUNTIFS('UAT · Swati'!$A:$A,11,'UAT · Swati'!$J:$J,"❌ Doesn’t work")</f>
        <v/>
      </c>
      <c r="S17" s="25">
        <f>COUNTIFS('UAT · Swati'!$A:$A,11,'UAT · Swati'!$J:$J,"🔍 Couldn’t find it")</f>
        <v/>
      </c>
      <c r="T17" s="25">
        <f>COUNTIFS('UAT · Swati'!$A:$A,11,'UAT · Swati'!$J:$J,"❌ Doesn’t work",'UAT · Swati'!$O:$O,"&lt;&gt;Fixed – please re-test",'UAT · Swati'!$O:$O,"&lt;&gt;Won’t change")+COUNTIFS('UAT · Swati'!$A:$A,11,'UAT · Swati'!$J:$J,"🔍 Couldn’t find it",'UAT · Swati'!$O:$O,"&lt;&gt;Fixed – please re-test",'UAT · Swati'!$O:$O,"&lt;&gt;Won’t change")</f>
        <v/>
      </c>
    </row>
    <row r="18">
      <c r="A18" s="24" t="inlineStr">
        <is>
          <t>12 · On your phone</t>
        </is>
      </c>
      <c r="B18" s="24">
        <f>COUNTIF('UAT · Dane'!$A:$A,12)</f>
        <v/>
      </c>
      <c r="C18" s="25">
        <f>COUNTIFS('UAT · Dane'!$A:$A,12,'UAT · Dane'!$J:$J,"&lt;&gt;")</f>
        <v/>
      </c>
      <c r="D18" s="25">
        <f>COUNTIFS('UAT · Dane'!$A:$A,12,'UAT · Dane'!$J:$J,"✅ Works")</f>
        <v/>
      </c>
      <c r="E18" s="25">
        <f>COUNTIFS('UAT · Dane'!$A:$A,12,'UAT · Dane'!$J:$J,"🟡 Works, but…")</f>
        <v/>
      </c>
      <c r="F18" s="25">
        <f>COUNTIFS('UAT · Dane'!$A:$A,12,'UAT · Dane'!$J:$J,"❌ Doesn’t work")</f>
        <v/>
      </c>
      <c r="G18" s="25">
        <f>COUNTIFS('UAT · Dane'!$A:$A,12,'UAT · Dane'!$J:$J,"🔍 Couldn’t find it")</f>
        <v/>
      </c>
      <c r="H18" s="25">
        <f>COUNTIFS('UAT · Dane'!$A:$A,12,'UAT · Dane'!$J:$J,"❌ Doesn’t work",'UAT · Dane'!$O:$O,"&lt;&gt;Fixed – please re-test",'UAT · Dane'!$O:$O,"&lt;&gt;Won’t change")+COUNTIFS('UAT · Dane'!$A:$A,12,'UAT · Dane'!$J:$J,"🔍 Couldn’t find it",'UAT · Dane'!$O:$O,"&lt;&gt;Fixed – please re-test",'UAT · Dane'!$O:$O,"&lt;&gt;Won’t change")</f>
        <v/>
      </c>
      <c r="I18" s="25">
        <f>COUNTIFS('UAT · Oliva'!$A:$A,12,'UAT · Oliva'!$J:$J,"&lt;&gt;")</f>
        <v/>
      </c>
      <c r="J18" s="25">
        <f>COUNTIFS('UAT · Oliva'!$A:$A,12,'UAT · Oliva'!$J:$J,"✅ Works")</f>
        <v/>
      </c>
      <c r="K18" s="25">
        <f>COUNTIFS('UAT · Oliva'!$A:$A,12,'UAT · Oliva'!$J:$J,"🟡 Works, but…")</f>
        <v/>
      </c>
      <c r="L18" s="25">
        <f>COUNTIFS('UAT · Oliva'!$A:$A,12,'UAT · Oliva'!$J:$J,"❌ Doesn’t work")</f>
        <v/>
      </c>
      <c r="M18" s="25">
        <f>COUNTIFS('UAT · Oliva'!$A:$A,12,'UAT · Oliva'!$J:$J,"🔍 Couldn’t find it")</f>
        <v/>
      </c>
      <c r="N18" s="25">
        <f>COUNTIFS('UAT · Oliva'!$A:$A,12,'UAT · Oliva'!$J:$J,"❌ Doesn’t work",'UAT · Oliva'!$O:$O,"&lt;&gt;Fixed – please re-test",'UAT · Oliva'!$O:$O,"&lt;&gt;Won’t change")+COUNTIFS('UAT · Oliva'!$A:$A,12,'UAT · Oliva'!$J:$J,"🔍 Couldn’t find it",'UAT · Oliva'!$O:$O,"&lt;&gt;Fixed – please re-test",'UAT · Oliva'!$O:$O,"&lt;&gt;Won’t change")</f>
        <v/>
      </c>
      <c r="O18" s="25">
        <f>COUNTIFS('UAT · Swati'!$A:$A,12,'UAT · Swati'!$J:$J,"&lt;&gt;")</f>
        <v/>
      </c>
      <c r="P18" s="25">
        <f>COUNTIFS('UAT · Swati'!$A:$A,12,'UAT · Swati'!$J:$J,"✅ Works")</f>
        <v/>
      </c>
      <c r="Q18" s="25">
        <f>COUNTIFS('UAT · Swati'!$A:$A,12,'UAT · Swati'!$J:$J,"🟡 Works, but…")</f>
        <v/>
      </c>
      <c r="R18" s="25">
        <f>COUNTIFS('UAT · Swati'!$A:$A,12,'UAT · Swati'!$J:$J,"❌ Doesn’t work")</f>
        <v/>
      </c>
      <c r="S18" s="25">
        <f>COUNTIFS('UAT · Swati'!$A:$A,12,'UAT · Swati'!$J:$J,"🔍 Couldn’t find it")</f>
        <v/>
      </c>
      <c r="T18" s="25">
        <f>COUNTIFS('UAT · Swati'!$A:$A,12,'UAT · Swati'!$J:$J,"❌ Doesn’t work",'UAT · Swati'!$O:$O,"&lt;&gt;Fixed – please re-test",'UAT · Swati'!$O:$O,"&lt;&gt;Won’t change")+COUNTIFS('UAT · Swati'!$A:$A,12,'UAT · Swati'!$J:$J,"🔍 Couldn’t find it",'UAT · Swati'!$O:$O,"&lt;&gt;Fixed – please re-test",'UAT · Swati'!$O:$O,"&lt;&gt;Won’t change")</f>
        <v/>
      </c>
    </row>
    <row r="19">
      <c r="A19" s="24" t="inlineStr">
        <is>
          <t>13 · Design her room</t>
        </is>
      </c>
      <c r="B19" s="24">
        <f>COUNTIF('UAT · Dane'!$A:$A,13)</f>
        <v/>
      </c>
      <c r="C19" s="25">
        <f>COUNTIFS('UAT · Dane'!$A:$A,13,'UAT · Dane'!$J:$J,"&lt;&gt;")</f>
        <v/>
      </c>
      <c r="D19" s="25">
        <f>COUNTIFS('UAT · Dane'!$A:$A,13,'UAT · Dane'!$J:$J,"✅ Works")</f>
        <v/>
      </c>
      <c r="E19" s="25">
        <f>COUNTIFS('UAT · Dane'!$A:$A,13,'UAT · Dane'!$J:$J,"🟡 Works, but…")</f>
        <v/>
      </c>
      <c r="F19" s="25">
        <f>COUNTIFS('UAT · Dane'!$A:$A,13,'UAT · Dane'!$J:$J,"❌ Doesn’t work")</f>
        <v/>
      </c>
      <c r="G19" s="25">
        <f>COUNTIFS('UAT · Dane'!$A:$A,13,'UAT · Dane'!$J:$J,"🔍 Couldn’t find it")</f>
        <v/>
      </c>
      <c r="H19" s="25">
        <f>COUNTIFS('UAT · Dane'!$A:$A,13,'UAT · Dane'!$J:$J,"❌ Doesn’t work",'UAT · Dane'!$O:$O,"&lt;&gt;Fixed – please re-test",'UAT · Dane'!$O:$O,"&lt;&gt;Won’t change")+COUNTIFS('UAT · Dane'!$A:$A,13,'UAT · Dane'!$J:$J,"🔍 Couldn’t find it",'UAT · Dane'!$O:$O,"&lt;&gt;Fixed – please re-test",'UAT · Dane'!$O:$O,"&lt;&gt;Won’t change")</f>
        <v/>
      </c>
      <c r="I19" s="25">
        <f>COUNTIFS('UAT · Oliva'!$A:$A,13,'UAT · Oliva'!$J:$J,"&lt;&gt;")</f>
        <v/>
      </c>
      <c r="J19" s="25">
        <f>COUNTIFS('UAT · Oliva'!$A:$A,13,'UAT · Oliva'!$J:$J,"✅ Works")</f>
        <v/>
      </c>
      <c r="K19" s="25">
        <f>COUNTIFS('UAT · Oliva'!$A:$A,13,'UAT · Oliva'!$J:$J,"🟡 Works, but…")</f>
        <v/>
      </c>
      <c r="L19" s="25">
        <f>COUNTIFS('UAT · Oliva'!$A:$A,13,'UAT · Oliva'!$J:$J,"❌ Doesn’t work")</f>
        <v/>
      </c>
      <c r="M19" s="25">
        <f>COUNTIFS('UAT · Oliva'!$A:$A,13,'UAT · Oliva'!$J:$J,"🔍 Couldn’t find it")</f>
        <v/>
      </c>
      <c r="N19" s="25">
        <f>COUNTIFS('UAT · Oliva'!$A:$A,13,'UAT · Oliva'!$J:$J,"❌ Doesn’t work",'UAT · Oliva'!$O:$O,"&lt;&gt;Fixed – please re-test",'UAT · Oliva'!$O:$O,"&lt;&gt;Won’t change")+COUNTIFS('UAT · Oliva'!$A:$A,13,'UAT · Oliva'!$J:$J,"🔍 Couldn’t find it",'UAT · Oliva'!$O:$O,"&lt;&gt;Fixed – please re-test",'UAT · Oliva'!$O:$O,"&lt;&gt;Won’t change")</f>
        <v/>
      </c>
      <c r="O19" s="25">
        <f>COUNTIFS('UAT · Swati'!$A:$A,13,'UAT · Swati'!$J:$J,"&lt;&gt;")</f>
        <v/>
      </c>
      <c r="P19" s="25">
        <f>COUNTIFS('UAT · Swati'!$A:$A,13,'UAT · Swati'!$J:$J,"✅ Works")</f>
        <v/>
      </c>
      <c r="Q19" s="25">
        <f>COUNTIFS('UAT · Swati'!$A:$A,13,'UAT · Swati'!$J:$J,"🟡 Works, but…")</f>
        <v/>
      </c>
      <c r="R19" s="25">
        <f>COUNTIFS('UAT · Swati'!$A:$A,13,'UAT · Swati'!$J:$J,"❌ Doesn’t work")</f>
        <v/>
      </c>
      <c r="S19" s="25">
        <f>COUNTIFS('UAT · Swati'!$A:$A,13,'UAT · Swati'!$J:$J,"🔍 Couldn’t find it")</f>
        <v/>
      </c>
      <c r="T19" s="25">
        <f>COUNTIFS('UAT · Swati'!$A:$A,13,'UAT · Swati'!$J:$J,"❌ Doesn’t work",'UAT · Swati'!$O:$O,"&lt;&gt;Fixed – please re-test",'UAT · Swati'!$O:$O,"&lt;&gt;Won’t change")+COUNTIFS('UAT · Swati'!$A:$A,13,'UAT · Swati'!$J:$J,"🔍 Couldn’t find it",'UAT · Swati'!$O:$O,"&lt;&gt;Fixed – please re-test",'UAT · Swati'!$O:$O,"&lt;&gt;Won’t change")</f>
        <v/>
      </c>
    </row>
    <row r="20">
      <c r="A20" s="22" t="inlineStr">
        <is>
          <t>Total</t>
        </is>
      </c>
      <c r="B20" s="26">
        <f>SUM(B7:B19)</f>
        <v/>
      </c>
      <c r="C20" s="26">
        <f>SUM(C7:C19)</f>
        <v/>
      </c>
      <c r="D20" s="26">
        <f>SUM(D7:D19)</f>
        <v/>
      </c>
      <c r="E20" s="26">
        <f>SUM(E7:E19)</f>
        <v/>
      </c>
      <c r="F20" s="26">
        <f>SUM(F7:F19)</f>
        <v/>
      </c>
      <c r="G20" s="26">
        <f>SUM(G7:G19)</f>
        <v/>
      </c>
      <c r="H20" s="26">
        <f>SUM(H7:H19)</f>
        <v/>
      </c>
      <c r="I20" s="26">
        <f>SUM(I7:I19)</f>
        <v/>
      </c>
      <c r="J20" s="26">
        <f>SUM(J7:J19)</f>
        <v/>
      </c>
      <c r="K20" s="26">
        <f>SUM(K7:K19)</f>
        <v/>
      </c>
      <c r="L20" s="26">
        <f>SUM(L7:L19)</f>
        <v/>
      </c>
      <c r="M20" s="26">
        <f>SUM(M7:M19)</f>
        <v/>
      </c>
      <c r="N20" s="26">
        <f>SUM(N7:N19)</f>
        <v/>
      </c>
      <c r="O20" s="26">
        <f>SUM(O7:O19)</f>
        <v/>
      </c>
      <c r="P20" s="26">
        <f>SUM(P7:P19)</f>
        <v/>
      </c>
      <c r="Q20" s="26">
        <f>SUM(Q7:Q19)</f>
        <v/>
      </c>
      <c r="R20" s="26">
        <f>SUM(R7:R19)</f>
        <v/>
      </c>
      <c r="S20" s="26">
        <f>SUM(S7:S19)</f>
        <v/>
      </c>
      <c r="T20" s="26">
        <f>SUM(T7:T19)</f>
        <v/>
      </c>
    </row>
    <row r="22">
      <c r="A22" s="20" t="inlineStr">
        <is>
          <t>By module</t>
        </is>
      </c>
    </row>
    <row r="23">
      <c r="C23" s="21" t="inlineStr">
        <is>
          <t>Dane</t>
        </is>
      </c>
      <c r="I23" s="21" t="inlineStr">
        <is>
          <t>Oliva</t>
        </is>
      </c>
      <c r="O23" s="21" t="inlineStr">
        <is>
          <t>Swati</t>
        </is>
      </c>
    </row>
    <row r="24">
      <c r="A24" s="22" t="inlineStr">
        <is>
          <t>Module</t>
        </is>
      </c>
      <c r="B24" s="22" t="inlineStr">
        <is>
          <t>Steps</t>
        </is>
      </c>
      <c r="C24" s="23" t="inlineStr">
        <is>
          <t>Done</t>
        </is>
      </c>
      <c r="D24" s="23" t="inlineStr">
        <is>
          <t>✅</t>
        </is>
      </c>
      <c r="E24" s="23" t="inlineStr">
        <is>
          <t>🟡</t>
        </is>
      </c>
      <c r="F24" s="23" t="inlineStr">
        <is>
          <t>❌</t>
        </is>
      </c>
      <c r="G24" s="23" t="inlineStr">
        <is>
          <t>🔍</t>
        </is>
      </c>
      <c r="H24" s="23" t="inlineStr">
        <is>
          <t>Open</t>
        </is>
      </c>
      <c r="I24" s="23" t="inlineStr">
        <is>
          <t>Done</t>
        </is>
      </c>
      <c r="J24" s="23" t="inlineStr">
        <is>
          <t>✅</t>
        </is>
      </c>
      <c r="K24" s="23" t="inlineStr">
        <is>
          <t>🟡</t>
        </is>
      </c>
      <c r="L24" s="23" t="inlineStr">
        <is>
          <t>❌</t>
        </is>
      </c>
      <c r="M24" s="23" t="inlineStr">
        <is>
          <t>🔍</t>
        </is>
      </c>
      <c r="N24" s="23" t="inlineStr">
        <is>
          <t>Open</t>
        </is>
      </c>
      <c r="O24" s="23" t="inlineStr">
        <is>
          <t>Done</t>
        </is>
      </c>
      <c r="P24" s="23" t="inlineStr">
        <is>
          <t>✅</t>
        </is>
      </c>
      <c r="Q24" s="23" t="inlineStr">
        <is>
          <t>🟡</t>
        </is>
      </c>
      <c r="R24" s="23" t="inlineStr">
        <is>
          <t>❌</t>
        </is>
      </c>
      <c r="S24" s="23" t="inlineStr">
        <is>
          <t>🔍</t>
        </is>
      </c>
      <c r="T24" s="23" t="inlineStr">
        <is>
          <t>Open</t>
        </is>
      </c>
    </row>
    <row r="25">
      <c r="A25" s="24" t="inlineStr">
        <is>
          <t>Shell</t>
        </is>
      </c>
      <c r="B25" s="24">
        <f>COUNTIF('UAT · Dane'!$D:$D,"Shell")</f>
        <v/>
      </c>
      <c r="C25" s="25">
        <f>COUNTIFS('UAT · Dane'!$D:$D,"Shell",'UAT · Dane'!$J:$J,"&lt;&gt;")</f>
        <v/>
      </c>
      <c r="D25" s="25">
        <f>COUNTIFS('UAT · Dane'!$D:$D,"Shell",'UAT · Dane'!$J:$J,"✅ Works")</f>
        <v/>
      </c>
      <c r="E25" s="25">
        <f>COUNTIFS('UAT · Dane'!$D:$D,"Shell",'UAT · Dane'!$J:$J,"🟡 Works, but…")</f>
        <v/>
      </c>
      <c r="F25" s="25">
        <f>COUNTIFS('UAT · Dane'!$D:$D,"Shell",'UAT · Dane'!$J:$J,"❌ Doesn’t work")</f>
        <v/>
      </c>
      <c r="G25" s="25">
        <f>COUNTIFS('UAT · Dane'!$D:$D,"Shell",'UAT · Dane'!$J:$J,"🔍 Couldn’t find it")</f>
        <v/>
      </c>
      <c r="H25" s="25">
        <f>COUNTIFS('UAT · Dane'!$D:$D,"Shell",'UAT · Dane'!$J:$J,"❌ Doesn’t work",'UAT · Dane'!$O:$O,"&lt;&gt;Fixed – please re-test",'UAT · Dane'!$O:$O,"&lt;&gt;Won’t change")+COUNTIFS('UAT · Dane'!$D:$D,"Shell",'UAT · Dane'!$J:$J,"🔍 Couldn’t find it",'UAT · Dane'!$O:$O,"&lt;&gt;Fixed – please re-test",'UAT · Dane'!$O:$O,"&lt;&gt;Won’t change")</f>
        <v/>
      </c>
      <c r="I25" s="25">
        <f>COUNTIFS('UAT · Oliva'!$D:$D,"Shell",'UAT · Oliva'!$J:$J,"&lt;&gt;")</f>
        <v/>
      </c>
      <c r="J25" s="25">
        <f>COUNTIFS('UAT · Oliva'!$D:$D,"Shell",'UAT · Oliva'!$J:$J,"✅ Works")</f>
        <v/>
      </c>
      <c r="K25" s="25">
        <f>COUNTIFS('UAT · Oliva'!$D:$D,"Shell",'UAT · Oliva'!$J:$J,"🟡 Works, but…")</f>
        <v/>
      </c>
      <c r="L25" s="25">
        <f>COUNTIFS('UAT · Oliva'!$D:$D,"Shell",'UAT · Oliva'!$J:$J,"❌ Doesn’t work")</f>
        <v/>
      </c>
      <c r="M25" s="25">
        <f>COUNTIFS('UAT · Oliva'!$D:$D,"Shell",'UAT · Oliva'!$J:$J,"🔍 Couldn’t find it")</f>
        <v/>
      </c>
      <c r="N25" s="25">
        <f>COUNTIFS('UAT · Oliva'!$D:$D,"Shell",'UAT · Oliva'!$J:$J,"❌ Doesn’t work",'UAT · Oliva'!$O:$O,"&lt;&gt;Fixed – please re-test",'UAT · Oliva'!$O:$O,"&lt;&gt;Won’t change")+COUNTIFS('UAT · Oliva'!$D:$D,"Shell",'UAT · Oliva'!$J:$J,"🔍 Couldn’t find it",'UAT · Oliva'!$O:$O,"&lt;&gt;Fixed – please re-test",'UAT · Oliva'!$O:$O,"&lt;&gt;Won’t change")</f>
        <v/>
      </c>
      <c r="O25" s="25">
        <f>COUNTIFS('UAT · Swati'!$D:$D,"Shell",'UAT · Swati'!$J:$J,"&lt;&gt;")</f>
        <v/>
      </c>
      <c r="P25" s="25">
        <f>COUNTIFS('UAT · Swati'!$D:$D,"Shell",'UAT · Swati'!$J:$J,"✅ Works")</f>
        <v/>
      </c>
      <c r="Q25" s="25">
        <f>COUNTIFS('UAT · Swati'!$D:$D,"Shell",'UAT · Swati'!$J:$J,"🟡 Works, but…")</f>
        <v/>
      </c>
      <c r="R25" s="25">
        <f>COUNTIFS('UAT · Swati'!$D:$D,"Shell",'UAT · Swati'!$J:$J,"❌ Doesn’t work")</f>
        <v/>
      </c>
      <c r="S25" s="25">
        <f>COUNTIFS('UAT · Swati'!$D:$D,"Shell",'UAT · Swati'!$J:$J,"🔍 Couldn’t find it")</f>
        <v/>
      </c>
      <c r="T25" s="25">
        <f>COUNTIFS('UAT · Swati'!$D:$D,"Shell",'UAT · Swati'!$J:$J,"❌ Doesn’t work",'UAT · Swati'!$O:$O,"&lt;&gt;Fixed – please re-test",'UAT · Swati'!$O:$O,"&lt;&gt;Won’t change")+COUNTIFS('UAT · Swati'!$D:$D,"Shell",'UAT · Swati'!$J:$J,"🔍 Couldn’t find it",'UAT · Swati'!$O:$O,"&lt;&gt;Fixed – please re-test",'UAT · Swati'!$O:$O,"&lt;&gt;Won’t change")</f>
        <v/>
      </c>
    </row>
    <row r="26">
      <c r="A26" s="24" t="inlineStr">
        <is>
          <t>Company</t>
        </is>
      </c>
      <c r="B26" s="24">
        <f>COUNTIF('UAT · Dane'!$D:$D,"Company")</f>
        <v/>
      </c>
      <c r="C26" s="25">
        <f>COUNTIFS('UAT · Dane'!$D:$D,"Company",'UAT · Dane'!$J:$J,"&lt;&gt;")</f>
        <v/>
      </c>
      <c r="D26" s="25">
        <f>COUNTIFS('UAT · Dane'!$D:$D,"Company",'UAT · Dane'!$J:$J,"✅ Works")</f>
        <v/>
      </c>
      <c r="E26" s="25">
        <f>COUNTIFS('UAT · Dane'!$D:$D,"Company",'UAT · Dane'!$J:$J,"🟡 Works, but…")</f>
        <v/>
      </c>
      <c r="F26" s="25">
        <f>COUNTIFS('UAT · Dane'!$D:$D,"Company",'UAT · Dane'!$J:$J,"❌ Doesn’t work")</f>
        <v/>
      </c>
      <c r="G26" s="25">
        <f>COUNTIFS('UAT · Dane'!$D:$D,"Company",'UAT · Dane'!$J:$J,"🔍 Couldn’t find it")</f>
        <v/>
      </c>
      <c r="H26" s="25">
        <f>COUNTIFS('UAT · Dane'!$D:$D,"Company",'UAT · Dane'!$J:$J,"❌ Doesn’t work",'UAT · Dane'!$O:$O,"&lt;&gt;Fixed – please re-test",'UAT · Dane'!$O:$O,"&lt;&gt;Won’t change")+COUNTIFS('UAT · Dane'!$D:$D,"Company",'UAT · Dane'!$J:$J,"🔍 Couldn’t find it",'UAT · Dane'!$O:$O,"&lt;&gt;Fixed – please re-test",'UAT · Dane'!$O:$O,"&lt;&gt;Won’t change")</f>
        <v/>
      </c>
      <c r="I26" s="25">
        <f>COUNTIFS('UAT · Oliva'!$D:$D,"Company",'UAT · Oliva'!$J:$J,"&lt;&gt;")</f>
        <v/>
      </c>
      <c r="J26" s="25">
        <f>COUNTIFS('UAT · Oliva'!$D:$D,"Company",'UAT · Oliva'!$J:$J,"✅ Works")</f>
        <v/>
      </c>
      <c r="K26" s="25">
        <f>COUNTIFS('UAT · Oliva'!$D:$D,"Company",'UAT · Oliva'!$J:$J,"🟡 Works, but…")</f>
        <v/>
      </c>
      <c r="L26" s="25">
        <f>COUNTIFS('UAT · Oliva'!$D:$D,"Company",'UAT · Oliva'!$J:$J,"❌ Doesn’t work")</f>
        <v/>
      </c>
      <c r="M26" s="25">
        <f>COUNTIFS('UAT · Oliva'!$D:$D,"Company",'UAT · Oliva'!$J:$J,"🔍 Couldn’t find it")</f>
        <v/>
      </c>
      <c r="N26" s="25">
        <f>COUNTIFS('UAT · Oliva'!$D:$D,"Company",'UAT · Oliva'!$J:$J,"❌ Doesn’t work",'UAT · Oliva'!$O:$O,"&lt;&gt;Fixed – please re-test",'UAT · Oliva'!$O:$O,"&lt;&gt;Won’t change")+COUNTIFS('UAT · Oliva'!$D:$D,"Company",'UAT · Oliva'!$J:$J,"🔍 Couldn’t find it",'UAT · Oliva'!$O:$O,"&lt;&gt;Fixed – please re-test",'UAT · Oliva'!$O:$O,"&lt;&gt;Won’t change")</f>
        <v/>
      </c>
      <c r="O26" s="25">
        <f>COUNTIFS('UAT · Swati'!$D:$D,"Company",'UAT · Swati'!$J:$J,"&lt;&gt;")</f>
        <v/>
      </c>
      <c r="P26" s="25">
        <f>COUNTIFS('UAT · Swati'!$D:$D,"Company",'UAT · Swati'!$J:$J,"✅ Works")</f>
        <v/>
      </c>
      <c r="Q26" s="25">
        <f>COUNTIFS('UAT · Swati'!$D:$D,"Company",'UAT · Swati'!$J:$J,"🟡 Works, but…")</f>
        <v/>
      </c>
      <c r="R26" s="25">
        <f>COUNTIFS('UAT · Swati'!$D:$D,"Company",'UAT · Swati'!$J:$J,"❌ Doesn’t work")</f>
        <v/>
      </c>
      <c r="S26" s="25">
        <f>COUNTIFS('UAT · Swati'!$D:$D,"Company",'UAT · Swati'!$J:$J,"🔍 Couldn’t find it")</f>
        <v/>
      </c>
      <c r="T26" s="25">
        <f>COUNTIFS('UAT · Swati'!$D:$D,"Company",'UAT · Swati'!$J:$J,"❌ Doesn’t work",'UAT · Swati'!$O:$O,"&lt;&gt;Fixed – please re-test",'UAT · Swati'!$O:$O,"&lt;&gt;Won’t change")+COUNTIFS('UAT · Swati'!$D:$D,"Company",'UAT · Swati'!$J:$J,"🔍 Couldn’t find it",'UAT · Swati'!$O:$O,"&lt;&gt;Fixed – please re-test",'UAT · Swati'!$O:$O,"&lt;&gt;Won’t change")</f>
        <v/>
      </c>
    </row>
    <row r="27">
      <c r="A27" s="24" t="inlineStr">
        <is>
          <t>Settings</t>
        </is>
      </c>
      <c r="B27" s="24">
        <f>COUNTIF('UAT · Dane'!$D:$D,"Settings")</f>
        <v/>
      </c>
      <c r="C27" s="25">
        <f>COUNTIFS('UAT · Dane'!$D:$D,"Settings",'UAT · Dane'!$J:$J,"&lt;&gt;")</f>
        <v/>
      </c>
      <c r="D27" s="25">
        <f>COUNTIFS('UAT · Dane'!$D:$D,"Settings",'UAT · Dane'!$J:$J,"✅ Works")</f>
        <v/>
      </c>
      <c r="E27" s="25">
        <f>COUNTIFS('UAT · Dane'!$D:$D,"Settings",'UAT · Dane'!$J:$J,"🟡 Works, but…")</f>
        <v/>
      </c>
      <c r="F27" s="25">
        <f>COUNTIFS('UAT · Dane'!$D:$D,"Settings",'UAT · Dane'!$J:$J,"❌ Doesn’t work")</f>
        <v/>
      </c>
      <c r="G27" s="25">
        <f>COUNTIFS('UAT · Dane'!$D:$D,"Settings",'UAT · Dane'!$J:$J,"🔍 Couldn’t find it")</f>
        <v/>
      </c>
      <c r="H27" s="25">
        <f>COUNTIFS('UAT · Dane'!$D:$D,"Settings",'UAT · Dane'!$J:$J,"❌ Doesn’t work",'UAT · Dane'!$O:$O,"&lt;&gt;Fixed – please re-test",'UAT · Dane'!$O:$O,"&lt;&gt;Won’t change")+COUNTIFS('UAT · Dane'!$D:$D,"Settings",'UAT · Dane'!$J:$J,"🔍 Couldn’t find it",'UAT · Dane'!$O:$O,"&lt;&gt;Fixed – please re-test",'UAT · Dane'!$O:$O,"&lt;&gt;Won’t change")</f>
        <v/>
      </c>
      <c r="I27" s="25">
        <f>COUNTIFS('UAT · Oliva'!$D:$D,"Settings",'UAT · Oliva'!$J:$J,"&lt;&gt;")</f>
        <v/>
      </c>
      <c r="J27" s="25">
        <f>COUNTIFS('UAT · Oliva'!$D:$D,"Settings",'UAT · Oliva'!$J:$J,"✅ Works")</f>
        <v/>
      </c>
      <c r="K27" s="25">
        <f>COUNTIFS('UAT · Oliva'!$D:$D,"Settings",'UAT · Oliva'!$J:$J,"🟡 Works, but…")</f>
        <v/>
      </c>
      <c r="L27" s="25">
        <f>COUNTIFS('UAT · Oliva'!$D:$D,"Settings",'UAT · Oliva'!$J:$J,"❌ Doesn’t work")</f>
        <v/>
      </c>
      <c r="M27" s="25">
        <f>COUNTIFS('UAT · Oliva'!$D:$D,"Settings",'UAT · Oliva'!$J:$J,"🔍 Couldn’t find it")</f>
        <v/>
      </c>
      <c r="N27" s="25">
        <f>COUNTIFS('UAT · Oliva'!$D:$D,"Settings",'UAT · Oliva'!$J:$J,"❌ Doesn’t work",'UAT · Oliva'!$O:$O,"&lt;&gt;Fixed – please re-test",'UAT · Oliva'!$O:$O,"&lt;&gt;Won’t change")+COUNTIFS('UAT · Oliva'!$D:$D,"Settings",'UAT · Oliva'!$J:$J,"🔍 Couldn’t find it",'UAT · Oliva'!$O:$O,"&lt;&gt;Fixed – please re-test",'UAT · Oliva'!$O:$O,"&lt;&gt;Won’t change")</f>
        <v/>
      </c>
      <c r="O27" s="25">
        <f>COUNTIFS('UAT · Swati'!$D:$D,"Settings",'UAT · Swati'!$J:$J,"&lt;&gt;")</f>
        <v/>
      </c>
      <c r="P27" s="25">
        <f>COUNTIFS('UAT · Swati'!$D:$D,"Settings",'UAT · Swati'!$J:$J,"✅ Works")</f>
        <v/>
      </c>
      <c r="Q27" s="25">
        <f>COUNTIFS('UAT · Swati'!$D:$D,"Settings",'UAT · Swati'!$J:$J,"🟡 Works, but…")</f>
        <v/>
      </c>
      <c r="R27" s="25">
        <f>COUNTIFS('UAT · Swati'!$D:$D,"Settings",'UAT · Swati'!$J:$J,"❌ Doesn’t work")</f>
        <v/>
      </c>
      <c r="S27" s="25">
        <f>COUNTIFS('UAT · Swati'!$D:$D,"Settings",'UAT · Swati'!$J:$J,"🔍 Couldn’t find it")</f>
        <v/>
      </c>
      <c r="T27" s="25">
        <f>COUNTIFS('UAT · Swati'!$D:$D,"Settings",'UAT · Swati'!$J:$J,"❌ Doesn’t work",'UAT · Swati'!$O:$O,"&lt;&gt;Fixed – please re-test",'UAT · Swati'!$O:$O,"&lt;&gt;Won’t change")+COUNTIFS('UAT · Swati'!$D:$D,"Settings",'UAT · Swati'!$J:$J,"🔍 Couldn’t find it",'UAT · Swati'!$O:$O,"&lt;&gt;Fixed – please re-test",'UAT · Swati'!$O:$O,"&lt;&gt;Won’t change")</f>
        <v/>
      </c>
    </row>
    <row r="28">
      <c r="A28" s="24" t="inlineStr">
        <is>
          <t>Price book</t>
        </is>
      </c>
      <c r="B28" s="24">
        <f>COUNTIF('UAT · Dane'!$D:$D,"Price book")</f>
        <v/>
      </c>
      <c r="C28" s="25">
        <f>COUNTIFS('UAT · Dane'!$D:$D,"Price book",'UAT · Dane'!$J:$J,"&lt;&gt;")</f>
        <v/>
      </c>
      <c r="D28" s="25">
        <f>COUNTIFS('UAT · Dane'!$D:$D,"Price book",'UAT · Dane'!$J:$J,"✅ Works")</f>
        <v/>
      </c>
      <c r="E28" s="25">
        <f>COUNTIFS('UAT · Dane'!$D:$D,"Price book",'UAT · Dane'!$J:$J,"🟡 Works, but…")</f>
        <v/>
      </c>
      <c r="F28" s="25">
        <f>COUNTIFS('UAT · Dane'!$D:$D,"Price book",'UAT · Dane'!$J:$J,"❌ Doesn’t work")</f>
        <v/>
      </c>
      <c r="G28" s="25">
        <f>COUNTIFS('UAT · Dane'!$D:$D,"Price book",'UAT · Dane'!$J:$J,"🔍 Couldn’t find it")</f>
        <v/>
      </c>
      <c r="H28" s="25">
        <f>COUNTIFS('UAT · Dane'!$D:$D,"Price book",'UAT · Dane'!$J:$J,"❌ Doesn’t work",'UAT · Dane'!$O:$O,"&lt;&gt;Fixed – please re-test",'UAT · Dane'!$O:$O,"&lt;&gt;Won’t change")+COUNTIFS('UAT · Dane'!$D:$D,"Price book",'UAT · Dane'!$J:$J,"🔍 Couldn’t find it",'UAT · Dane'!$O:$O,"&lt;&gt;Fixed – please re-test",'UAT · Dane'!$O:$O,"&lt;&gt;Won’t change")</f>
        <v/>
      </c>
      <c r="I28" s="25">
        <f>COUNTIFS('UAT · Oliva'!$D:$D,"Price book",'UAT · Oliva'!$J:$J,"&lt;&gt;")</f>
        <v/>
      </c>
      <c r="J28" s="25">
        <f>COUNTIFS('UAT · Oliva'!$D:$D,"Price book",'UAT · Oliva'!$J:$J,"✅ Works")</f>
        <v/>
      </c>
      <c r="K28" s="25">
        <f>COUNTIFS('UAT · Oliva'!$D:$D,"Price book",'UAT · Oliva'!$J:$J,"🟡 Works, but…")</f>
        <v/>
      </c>
      <c r="L28" s="25">
        <f>COUNTIFS('UAT · Oliva'!$D:$D,"Price book",'UAT · Oliva'!$J:$J,"❌ Doesn’t work")</f>
        <v/>
      </c>
      <c r="M28" s="25">
        <f>COUNTIFS('UAT · Oliva'!$D:$D,"Price book",'UAT · Oliva'!$J:$J,"🔍 Couldn’t find it")</f>
        <v/>
      </c>
      <c r="N28" s="25">
        <f>COUNTIFS('UAT · Oliva'!$D:$D,"Price book",'UAT · Oliva'!$J:$J,"❌ Doesn’t work",'UAT · Oliva'!$O:$O,"&lt;&gt;Fixed – please re-test",'UAT · Oliva'!$O:$O,"&lt;&gt;Won’t change")+COUNTIFS('UAT · Oliva'!$D:$D,"Price book",'UAT · Oliva'!$J:$J,"🔍 Couldn’t find it",'UAT · Oliva'!$O:$O,"&lt;&gt;Fixed – please re-test",'UAT · Oliva'!$O:$O,"&lt;&gt;Won’t change")</f>
        <v/>
      </c>
      <c r="O28" s="25">
        <f>COUNTIFS('UAT · Swati'!$D:$D,"Price book",'UAT · Swati'!$J:$J,"&lt;&gt;")</f>
        <v/>
      </c>
      <c r="P28" s="25">
        <f>COUNTIFS('UAT · Swati'!$D:$D,"Price book",'UAT · Swati'!$J:$J,"✅ Works")</f>
        <v/>
      </c>
      <c r="Q28" s="25">
        <f>COUNTIFS('UAT · Swati'!$D:$D,"Price book",'UAT · Swati'!$J:$J,"🟡 Works, but…")</f>
        <v/>
      </c>
      <c r="R28" s="25">
        <f>COUNTIFS('UAT · Swati'!$D:$D,"Price book",'UAT · Swati'!$J:$J,"❌ Doesn’t work")</f>
        <v/>
      </c>
      <c r="S28" s="25">
        <f>COUNTIFS('UAT · Swati'!$D:$D,"Price book",'UAT · Swati'!$J:$J,"🔍 Couldn’t find it")</f>
        <v/>
      </c>
      <c r="T28" s="25">
        <f>COUNTIFS('UAT · Swati'!$D:$D,"Price book",'UAT · Swati'!$J:$J,"❌ Doesn’t work",'UAT · Swati'!$O:$O,"&lt;&gt;Fixed – please re-test",'UAT · Swati'!$O:$O,"&lt;&gt;Won’t change")+COUNTIFS('UAT · Swati'!$D:$D,"Price book",'UAT · Swati'!$J:$J,"🔍 Couldn’t find it",'UAT · Swati'!$O:$O,"&lt;&gt;Fixed – please re-test",'UAT · Swati'!$O:$O,"&lt;&gt;Won’t change")</f>
        <v/>
      </c>
    </row>
    <row r="29">
      <c r="A29" s="24" t="inlineStr">
        <is>
          <t>Templates</t>
        </is>
      </c>
      <c r="B29" s="24">
        <f>COUNTIF('UAT · Dane'!$D:$D,"Templates")</f>
        <v/>
      </c>
      <c r="C29" s="25">
        <f>COUNTIFS('UAT · Dane'!$D:$D,"Templates",'UAT · Dane'!$J:$J,"&lt;&gt;")</f>
        <v/>
      </c>
      <c r="D29" s="25">
        <f>COUNTIFS('UAT · Dane'!$D:$D,"Templates",'UAT · Dane'!$J:$J,"✅ Works")</f>
        <v/>
      </c>
      <c r="E29" s="25">
        <f>COUNTIFS('UAT · Dane'!$D:$D,"Templates",'UAT · Dane'!$J:$J,"🟡 Works, but…")</f>
        <v/>
      </c>
      <c r="F29" s="25">
        <f>COUNTIFS('UAT · Dane'!$D:$D,"Templates",'UAT · Dane'!$J:$J,"❌ Doesn’t work")</f>
        <v/>
      </c>
      <c r="G29" s="25">
        <f>COUNTIFS('UAT · Dane'!$D:$D,"Templates",'UAT · Dane'!$J:$J,"🔍 Couldn’t find it")</f>
        <v/>
      </c>
      <c r="H29" s="25">
        <f>COUNTIFS('UAT · Dane'!$D:$D,"Templates",'UAT · Dane'!$J:$J,"❌ Doesn’t work",'UAT · Dane'!$O:$O,"&lt;&gt;Fixed – please re-test",'UAT · Dane'!$O:$O,"&lt;&gt;Won’t change")+COUNTIFS('UAT · Dane'!$D:$D,"Templates",'UAT · Dane'!$J:$J,"🔍 Couldn’t find it",'UAT · Dane'!$O:$O,"&lt;&gt;Fixed – please re-test",'UAT · Dane'!$O:$O,"&lt;&gt;Won’t change")</f>
        <v/>
      </c>
      <c r="I29" s="25">
        <f>COUNTIFS('UAT · Oliva'!$D:$D,"Templates",'UAT · Oliva'!$J:$J,"&lt;&gt;")</f>
        <v/>
      </c>
      <c r="J29" s="25">
        <f>COUNTIFS('UAT · Oliva'!$D:$D,"Templates",'UAT · Oliva'!$J:$J,"✅ Works")</f>
        <v/>
      </c>
      <c r="K29" s="25">
        <f>COUNTIFS('UAT · Oliva'!$D:$D,"Templates",'UAT · Oliva'!$J:$J,"🟡 Works, but…")</f>
        <v/>
      </c>
      <c r="L29" s="25">
        <f>COUNTIFS('UAT · Oliva'!$D:$D,"Templates",'UAT · Oliva'!$J:$J,"❌ Doesn’t work")</f>
        <v/>
      </c>
      <c r="M29" s="25">
        <f>COUNTIFS('UAT · Oliva'!$D:$D,"Templates",'UAT · Oliva'!$J:$J,"🔍 Couldn’t find it")</f>
        <v/>
      </c>
      <c r="N29" s="25">
        <f>COUNTIFS('UAT · Oliva'!$D:$D,"Templates",'UAT · Oliva'!$J:$J,"❌ Doesn’t work",'UAT · Oliva'!$O:$O,"&lt;&gt;Fixed – please re-test",'UAT · Oliva'!$O:$O,"&lt;&gt;Won’t change")+COUNTIFS('UAT · Oliva'!$D:$D,"Templates",'UAT · Oliva'!$J:$J,"🔍 Couldn’t find it",'UAT · Oliva'!$O:$O,"&lt;&gt;Fixed – please re-test",'UAT · Oliva'!$O:$O,"&lt;&gt;Won’t change")</f>
        <v/>
      </c>
      <c r="O29" s="25">
        <f>COUNTIFS('UAT · Swati'!$D:$D,"Templates",'UAT · Swati'!$J:$J,"&lt;&gt;")</f>
        <v/>
      </c>
      <c r="P29" s="25">
        <f>COUNTIFS('UAT · Swati'!$D:$D,"Templates",'UAT · Swati'!$J:$J,"✅ Works")</f>
        <v/>
      </c>
      <c r="Q29" s="25">
        <f>COUNTIFS('UAT · Swati'!$D:$D,"Templates",'UAT · Swati'!$J:$J,"🟡 Works, but…")</f>
        <v/>
      </c>
      <c r="R29" s="25">
        <f>COUNTIFS('UAT · Swati'!$D:$D,"Templates",'UAT · Swati'!$J:$J,"❌ Doesn’t work")</f>
        <v/>
      </c>
      <c r="S29" s="25">
        <f>COUNTIFS('UAT · Swati'!$D:$D,"Templates",'UAT · Swati'!$J:$J,"🔍 Couldn’t find it")</f>
        <v/>
      </c>
      <c r="T29" s="25">
        <f>COUNTIFS('UAT · Swati'!$D:$D,"Templates",'UAT · Swati'!$J:$J,"❌ Doesn’t work",'UAT · Swati'!$O:$O,"&lt;&gt;Fixed – please re-test",'UAT · Swati'!$O:$O,"&lt;&gt;Won’t change")+COUNTIFS('UAT · Swati'!$D:$D,"Templates",'UAT · Swati'!$J:$J,"🔍 Couldn’t find it",'UAT · Swati'!$O:$O,"&lt;&gt;Fixed – please re-test",'UAT · Swati'!$O:$O,"&lt;&gt;Won’t change")</f>
        <v/>
      </c>
    </row>
    <row r="30">
      <c r="A30" s="24" t="inlineStr">
        <is>
          <t>Leads</t>
        </is>
      </c>
      <c r="B30" s="24">
        <f>COUNTIF('UAT · Dane'!$D:$D,"Leads")</f>
        <v/>
      </c>
      <c r="C30" s="25">
        <f>COUNTIFS('UAT · Dane'!$D:$D,"Leads",'UAT · Dane'!$J:$J,"&lt;&gt;")</f>
        <v/>
      </c>
      <c r="D30" s="25">
        <f>COUNTIFS('UAT · Dane'!$D:$D,"Leads",'UAT · Dane'!$J:$J,"✅ Works")</f>
        <v/>
      </c>
      <c r="E30" s="25">
        <f>COUNTIFS('UAT · Dane'!$D:$D,"Leads",'UAT · Dane'!$J:$J,"🟡 Works, but…")</f>
        <v/>
      </c>
      <c r="F30" s="25">
        <f>COUNTIFS('UAT · Dane'!$D:$D,"Leads",'UAT · Dane'!$J:$J,"❌ Doesn’t work")</f>
        <v/>
      </c>
      <c r="G30" s="25">
        <f>COUNTIFS('UAT · Dane'!$D:$D,"Leads",'UAT · Dane'!$J:$J,"🔍 Couldn’t find it")</f>
        <v/>
      </c>
      <c r="H30" s="25">
        <f>COUNTIFS('UAT · Dane'!$D:$D,"Leads",'UAT · Dane'!$J:$J,"❌ Doesn’t work",'UAT · Dane'!$O:$O,"&lt;&gt;Fixed – please re-test",'UAT · Dane'!$O:$O,"&lt;&gt;Won’t change")+COUNTIFS('UAT · Dane'!$D:$D,"Leads",'UAT · Dane'!$J:$J,"🔍 Couldn’t find it",'UAT · Dane'!$O:$O,"&lt;&gt;Fixed – please re-test",'UAT · Dane'!$O:$O,"&lt;&gt;Won’t change")</f>
        <v/>
      </c>
      <c r="I30" s="25">
        <f>COUNTIFS('UAT · Oliva'!$D:$D,"Leads",'UAT · Oliva'!$J:$J,"&lt;&gt;")</f>
        <v/>
      </c>
      <c r="J30" s="25">
        <f>COUNTIFS('UAT · Oliva'!$D:$D,"Leads",'UAT · Oliva'!$J:$J,"✅ Works")</f>
        <v/>
      </c>
      <c r="K30" s="25">
        <f>COUNTIFS('UAT · Oliva'!$D:$D,"Leads",'UAT · Oliva'!$J:$J,"🟡 Works, but…")</f>
        <v/>
      </c>
      <c r="L30" s="25">
        <f>COUNTIFS('UAT · Oliva'!$D:$D,"Leads",'UAT · Oliva'!$J:$J,"❌ Doesn’t work")</f>
        <v/>
      </c>
      <c r="M30" s="25">
        <f>COUNTIFS('UAT · Oliva'!$D:$D,"Leads",'UAT · Oliva'!$J:$J,"🔍 Couldn’t find it")</f>
        <v/>
      </c>
      <c r="N30" s="25">
        <f>COUNTIFS('UAT · Oliva'!$D:$D,"Leads",'UAT · Oliva'!$J:$J,"❌ Doesn’t work",'UAT · Oliva'!$O:$O,"&lt;&gt;Fixed – please re-test",'UAT · Oliva'!$O:$O,"&lt;&gt;Won’t change")+COUNTIFS('UAT · Oliva'!$D:$D,"Leads",'UAT · Oliva'!$J:$J,"🔍 Couldn’t find it",'UAT · Oliva'!$O:$O,"&lt;&gt;Fixed – please re-test",'UAT · Oliva'!$O:$O,"&lt;&gt;Won’t change")</f>
        <v/>
      </c>
      <c r="O30" s="25">
        <f>COUNTIFS('UAT · Swati'!$D:$D,"Leads",'UAT · Swati'!$J:$J,"&lt;&gt;")</f>
        <v/>
      </c>
      <c r="P30" s="25">
        <f>COUNTIFS('UAT · Swati'!$D:$D,"Leads",'UAT · Swati'!$J:$J,"✅ Works")</f>
        <v/>
      </c>
      <c r="Q30" s="25">
        <f>COUNTIFS('UAT · Swati'!$D:$D,"Leads",'UAT · Swati'!$J:$J,"🟡 Works, but…")</f>
        <v/>
      </c>
      <c r="R30" s="25">
        <f>COUNTIFS('UAT · Swati'!$D:$D,"Leads",'UAT · Swati'!$J:$J,"❌ Doesn’t work")</f>
        <v/>
      </c>
      <c r="S30" s="25">
        <f>COUNTIFS('UAT · Swati'!$D:$D,"Leads",'UAT · Swati'!$J:$J,"🔍 Couldn’t find it")</f>
        <v/>
      </c>
      <c r="T30" s="25">
        <f>COUNTIFS('UAT · Swati'!$D:$D,"Leads",'UAT · Swati'!$J:$J,"❌ Doesn’t work",'UAT · Swati'!$O:$O,"&lt;&gt;Fixed – please re-test",'UAT · Swati'!$O:$O,"&lt;&gt;Won’t change")+COUNTIFS('UAT · Swati'!$D:$D,"Leads",'UAT · Swati'!$J:$J,"🔍 Couldn’t find it",'UAT · Swati'!$O:$O,"&lt;&gt;Fixed – please re-test",'UAT · Swati'!$O:$O,"&lt;&gt;Won’t change")</f>
        <v/>
      </c>
    </row>
    <row r="31">
      <c r="A31" s="24" t="inlineStr">
        <is>
          <t>Lead details</t>
        </is>
      </c>
      <c r="B31" s="24">
        <f>COUNTIF('UAT · Dane'!$D:$D,"Lead details")</f>
        <v/>
      </c>
      <c r="C31" s="25">
        <f>COUNTIFS('UAT · Dane'!$D:$D,"Lead details",'UAT · Dane'!$J:$J,"&lt;&gt;")</f>
        <v/>
      </c>
      <c r="D31" s="25">
        <f>COUNTIFS('UAT · Dane'!$D:$D,"Lead details",'UAT · Dane'!$J:$J,"✅ Works")</f>
        <v/>
      </c>
      <c r="E31" s="25">
        <f>COUNTIFS('UAT · Dane'!$D:$D,"Lead details",'UAT · Dane'!$J:$J,"🟡 Works, but…")</f>
        <v/>
      </c>
      <c r="F31" s="25">
        <f>COUNTIFS('UAT · Dane'!$D:$D,"Lead details",'UAT · Dane'!$J:$J,"❌ Doesn’t work")</f>
        <v/>
      </c>
      <c r="G31" s="25">
        <f>COUNTIFS('UAT · Dane'!$D:$D,"Lead details",'UAT · Dane'!$J:$J,"🔍 Couldn’t find it")</f>
        <v/>
      </c>
      <c r="H31" s="25">
        <f>COUNTIFS('UAT · Dane'!$D:$D,"Lead details",'UAT · Dane'!$J:$J,"❌ Doesn’t work",'UAT · Dane'!$O:$O,"&lt;&gt;Fixed – please re-test",'UAT · Dane'!$O:$O,"&lt;&gt;Won’t change")+COUNTIFS('UAT · Dane'!$D:$D,"Lead details",'UAT · Dane'!$J:$J,"🔍 Couldn’t find it",'UAT · Dane'!$O:$O,"&lt;&gt;Fixed – please re-test",'UAT · Dane'!$O:$O,"&lt;&gt;Won’t change")</f>
        <v/>
      </c>
      <c r="I31" s="25">
        <f>COUNTIFS('UAT · Oliva'!$D:$D,"Lead details",'UAT · Oliva'!$J:$J,"&lt;&gt;")</f>
        <v/>
      </c>
      <c r="J31" s="25">
        <f>COUNTIFS('UAT · Oliva'!$D:$D,"Lead details",'UAT · Oliva'!$J:$J,"✅ Works")</f>
        <v/>
      </c>
      <c r="K31" s="25">
        <f>COUNTIFS('UAT · Oliva'!$D:$D,"Lead details",'UAT · Oliva'!$J:$J,"🟡 Works, but…")</f>
        <v/>
      </c>
      <c r="L31" s="25">
        <f>COUNTIFS('UAT · Oliva'!$D:$D,"Lead details",'UAT · Oliva'!$J:$J,"❌ Doesn’t work")</f>
        <v/>
      </c>
      <c r="M31" s="25">
        <f>COUNTIFS('UAT · Oliva'!$D:$D,"Lead details",'UAT · Oliva'!$J:$J,"🔍 Couldn’t find it")</f>
        <v/>
      </c>
      <c r="N31" s="25">
        <f>COUNTIFS('UAT · Oliva'!$D:$D,"Lead details",'UAT · Oliva'!$J:$J,"❌ Doesn’t work",'UAT · Oliva'!$O:$O,"&lt;&gt;Fixed – please re-test",'UAT · Oliva'!$O:$O,"&lt;&gt;Won’t change")+COUNTIFS('UAT · Oliva'!$D:$D,"Lead details",'UAT · Oliva'!$J:$J,"🔍 Couldn’t find it",'UAT · Oliva'!$O:$O,"&lt;&gt;Fixed – please re-test",'UAT · Oliva'!$O:$O,"&lt;&gt;Won’t change")</f>
        <v/>
      </c>
      <c r="O31" s="25">
        <f>COUNTIFS('UAT · Swati'!$D:$D,"Lead details",'UAT · Swati'!$J:$J,"&lt;&gt;")</f>
        <v/>
      </c>
      <c r="P31" s="25">
        <f>COUNTIFS('UAT · Swati'!$D:$D,"Lead details",'UAT · Swati'!$J:$J,"✅ Works")</f>
        <v/>
      </c>
      <c r="Q31" s="25">
        <f>COUNTIFS('UAT · Swati'!$D:$D,"Lead details",'UAT · Swati'!$J:$J,"🟡 Works, but…")</f>
        <v/>
      </c>
      <c r="R31" s="25">
        <f>COUNTIFS('UAT · Swati'!$D:$D,"Lead details",'UAT · Swati'!$J:$J,"❌ Doesn’t work")</f>
        <v/>
      </c>
      <c r="S31" s="25">
        <f>COUNTIFS('UAT · Swati'!$D:$D,"Lead details",'UAT · Swati'!$J:$J,"🔍 Couldn’t find it")</f>
        <v/>
      </c>
      <c r="T31" s="25">
        <f>COUNTIFS('UAT · Swati'!$D:$D,"Lead details",'UAT · Swati'!$J:$J,"❌ Doesn’t work",'UAT · Swati'!$O:$O,"&lt;&gt;Fixed – please re-test",'UAT · Swati'!$O:$O,"&lt;&gt;Won’t change")+COUNTIFS('UAT · Swati'!$D:$D,"Lead details",'UAT · Swati'!$J:$J,"🔍 Couldn’t find it",'UAT · Swati'!$O:$O,"&lt;&gt;Fixed – please re-test",'UAT · Swati'!$O:$O,"&lt;&gt;Won’t change")</f>
        <v/>
      </c>
    </row>
    <row r="32">
      <c r="A32" s="24" t="inlineStr">
        <is>
          <t>Tasks</t>
        </is>
      </c>
      <c r="B32" s="24">
        <f>COUNTIF('UAT · Dane'!$D:$D,"Tasks")</f>
        <v/>
      </c>
      <c r="C32" s="25">
        <f>COUNTIFS('UAT · Dane'!$D:$D,"Tasks",'UAT · Dane'!$J:$J,"&lt;&gt;")</f>
        <v/>
      </c>
      <c r="D32" s="25">
        <f>COUNTIFS('UAT · Dane'!$D:$D,"Tasks",'UAT · Dane'!$J:$J,"✅ Works")</f>
        <v/>
      </c>
      <c r="E32" s="25">
        <f>COUNTIFS('UAT · Dane'!$D:$D,"Tasks",'UAT · Dane'!$J:$J,"🟡 Works, but…")</f>
        <v/>
      </c>
      <c r="F32" s="25">
        <f>COUNTIFS('UAT · Dane'!$D:$D,"Tasks",'UAT · Dane'!$J:$J,"❌ Doesn’t work")</f>
        <v/>
      </c>
      <c r="G32" s="25">
        <f>COUNTIFS('UAT · Dane'!$D:$D,"Tasks",'UAT · Dane'!$J:$J,"🔍 Couldn’t find it")</f>
        <v/>
      </c>
      <c r="H32" s="25">
        <f>COUNTIFS('UAT · Dane'!$D:$D,"Tasks",'UAT · Dane'!$J:$J,"❌ Doesn’t work",'UAT · Dane'!$O:$O,"&lt;&gt;Fixed – please re-test",'UAT · Dane'!$O:$O,"&lt;&gt;Won’t change")+COUNTIFS('UAT · Dane'!$D:$D,"Tasks",'UAT · Dane'!$J:$J,"🔍 Couldn’t find it",'UAT · Dane'!$O:$O,"&lt;&gt;Fixed – please re-test",'UAT · Dane'!$O:$O,"&lt;&gt;Won’t change")</f>
        <v/>
      </c>
      <c r="I32" s="25">
        <f>COUNTIFS('UAT · Oliva'!$D:$D,"Tasks",'UAT · Oliva'!$J:$J,"&lt;&gt;")</f>
        <v/>
      </c>
      <c r="J32" s="25">
        <f>COUNTIFS('UAT · Oliva'!$D:$D,"Tasks",'UAT · Oliva'!$J:$J,"✅ Works")</f>
        <v/>
      </c>
      <c r="K32" s="25">
        <f>COUNTIFS('UAT · Oliva'!$D:$D,"Tasks",'UAT · Oliva'!$J:$J,"🟡 Works, but…")</f>
        <v/>
      </c>
      <c r="L32" s="25">
        <f>COUNTIFS('UAT · Oliva'!$D:$D,"Tasks",'UAT · Oliva'!$J:$J,"❌ Doesn’t work")</f>
        <v/>
      </c>
      <c r="M32" s="25">
        <f>COUNTIFS('UAT · Oliva'!$D:$D,"Tasks",'UAT · Oliva'!$J:$J,"🔍 Couldn’t find it")</f>
        <v/>
      </c>
      <c r="N32" s="25">
        <f>COUNTIFS('UAT · Oliva'!$D:$D,"Tasks",'UAT · Oliva'!$J:$J,"❌ Doesn’t work",'UAT · Oliva'!$O:$O,"&lt;&gt;Fixed – please re-test",'UAT · Oliva'!$O:$O,"&lt;&gt;Won’t change")+COUNTIFS('UAT · Oliva'!$D:$D,"Tasks",'UAT · Oliva'!$J:$J,"🔍 Couldn’t find it",'UAT · Oliva'!$O:$O,"&lt;&gt;Fixed – please re-test",'UAT · Oliva'!$O:$O,"&lt;&gt;Won’t change")</f>
        <v/>
      </c>
      <c r="O32" s="25">
        <f>COUNTIFS('UAT · Swati'!$D:$D,"Tasks",'UAT · Swati'!$J:$J,"&lt;&gt;")</f>
        <v/>
      </c>
      <c r="P32" s="25">
        <f>COUNTIFS('UAT · Swati'!$D:$D,"Tasks",'UAT · Swati'!$J:$J,"✅ Works")</f>
        <v/>
      </c>
      <c r="Q32" s="25">
        <f>COUNTIFS('UAT · Swati'!$D:$D,"Tasks",'UAT · Swati'!$J:$J,"🟡 Works, but…")</f>
        <v/>
      </c>
      <c r="R32" s="25">
        <f>COUNTIFS('UAT · Swati'!$D:$D,"Tasks",'UAT · Swati'!$J:$J,"❌ Doesn’t work")</f>
        <v/>
      </c>
      <c r="S32" s="25">
        <f>COUNTIFS('UAT · Swati'!$D:$D,"Tasks",'UAT · Swati'!$J:$J,"🔍 Couldn’t find it")</f>
        <v/>
      </c>
      <c r="T32" s="25">
        <f>COUNTIFS('UAT · Swati'!$D:$D,"Tasks",'UAT · Swati'!$J:$J,"❌ Doesn’t work",'UAT · Swati'!$O:$O,"&lt;&gt;Fixed – please re-test",'UAT · Swati'!$O:$O,"&lt;&gt;Won’t change")+COUNTIFS('UAT · Swati'!$D:$D,"Tasks",'UAT · Swati'!$J:$J,"🔍 Couldn’t find it",'UAT · Swati'!$O:$O,"&lt;&gt;Fixed – please re-test",'UAT · Swati'!$O:$O,"&lt;&gt;Won’t change")</f>
        <v/>
      </c>
    </row>
    <row r="33">
      <c r="A33" s="24" t="inlineStr">
        <is>
          <t>Quotes</t>
        </is>
      </c>
      <c r="B33" s="24">
        <f>COUNTIF('UAT · Dane'!$D:$D,"Quotes")</f>
        <v/>
      </c>
      <c r="C33" s="25">
        <f>COUNTIFS('UAT · Dane'!$D:$D,"Quotes",'UAT · Dane'!$J:$J,"&lt;&gt;")</f>
        <v/>
      </c>
      <c r="D33" s="25">
        <f>COUNTIFS('UAT · Dane'!$D:$D,"Quotes",'UAT · Dane'!$J:$J,"✅ Works")</f>
        <v/>
      </c>
      <c r="E33" s="25">
        <f>COUNTIFS('UAT · Dane'!$D:$D,"Quotes",'UAT · Dane'!$J:$J,"🟡 Works, but…")</f>
        <v/>
      </c>
      <c r="F33" s="25">
        <f>COUNTIFS('UAT · Dane'!$D:$D,"Quotes",'UAT · Dane'!$J:$J,"❌ Doesn’t work")</f>
        <v/>
      </c>
      <c r="G33" s="25">
        <f>COUNTIFS('UAT · Dane'!$D:$D,"Quotes",'UAT · Dane'!$J:$J,"🔍 Couldn’t find it")</f>
        <v/>
      </c>
      <c r="H33" s="25">
        <f>COUNTIFS('UAT · Dane'!$D:$D,"Quotes",'UAT · Dane'!$J:$J,"❌ Doesn’t work",'UAT · Dane'!$O:$O,"&lt;&gt;Fixed – please re-test",'UAT · Dane'!$O:$O,"&lt;&gt;Won’t change")+COUNTIFS('UAT · Dane'!$D:$D,"Quotes",'UAT · Dane'!$J:$J,"🔍 Couldn’t find it",'UAT · Dane'!$O:$O,"&lt;&gt;Fixed – please re-test",'UAT · Dane'!$O:$O,"&lt;&gt;Won’t change")</f>
        <v/>
      </c>
      <c r="I33" s="25">
        <f>COUNTIFS('UAT · Oliva'!$D:$D,"Quotes",'UAT · Oliva'!$J:$J,"&lt;&gt;")</f>
        <v/>
      </c>
      <c r="J33" s="25">
        <f>COUNTIFS('UAT · Oliva'!$D:$D,"Quotes",'UAT · Oliva'!$J:$J,"✅ Works")</f>
        <v/>
      </c>
      <c r="K33" s="25">
        <f>COUNTIFS('UAT · Oliva'!$D:$D,"Quotes",'UAT · Oliva'!$J:$J,"🟡 Works, but…")</f>
        <v/>
      </c>
      <c r="L33" s="25">
        <f>COUNTIFS('UAT · Oliva'!$D:$D,"Quotes",'UAT · Oliva'!$J:$J,"❌ Doesn’t work")</f>
        <v/>
      </c>
      <c r="M33" s="25">
        <f>COUNTIFS('UAT · Oliva'!$D:$D,"Quotes",'UAT · Oliva'!$J:$J,"🔍 Couldn’t find it")</f>
        <v/>
      </c>
      <c r="N33" s="25">
        <f>COUNTIFS('UAT · Oliva'!$D:$D,"Quotes",'UAT · Oliva'!$J:$J,"❌ Doesn’t work",'UAT · Oliva'!$O:$O,"&lt;&gt;Fixed – please re-test",'UAT · Oliva'!$O:$O,"&lt;&gt;Won’t change")+COUNTIFS('UAT · Oliva'!$D:$D,"Quotes",'UAT · Oliva'!$J:$J,"🔍 Couldn’t find it",'UAT · Oliva'!$O:$O,"&lt;&gt;Fixed – please re-test",'UAT · Oliva'!$O:$O,"&lt;&gt;Won’t change")</f>
        <v/>
      </c>
      <c r="O33" s="25">
        <f>COUNTIFS('UAT · Swati'!$D:$D,"Quotes",'UAT · Swati'!$J:$J,"&lt;&gt;")</f>
        <v/>
      </c>
      <c r="P33" s="25">
        <f>COUNTIFS('UAT · Swati'!$D:$D,"Quotes",'UAT · Swati'!$J:$J,"✅ Works")</f>
        <v/>
      </c>
      <c r="Q33" s="25">
        <f>COUNTIFS('UAT · Swati'!$D:$D,"Quotes",'UAT · Swati'!$J:$J,"🟡 Works, but…")</f>
        <v/>
      </c>
      <c r="R33" s="25">
        <f>COUNTIFS('UAT · Swati'!$D:$D,"Quotes",'UAT · Swati'!$J:$J,"❌ Doesn’t work")</f>
        <v/>
      </c>
      <c r="S33" s="25">
        <f>COUNTIFS('UAT · Swati'!$D:$D,"Quotes",'UAT · Swati'!$J:$J,"🔍 Couldn’t find it")</f>
        <v/>
      </c>
      <c r="T33" s="25">
        <f>COUNTIFS('UAT · Swati'!$D:$D,"Quotes",'UAT · Swati'!$J:$J,"❌ Doesn’t work",'UAT · Swati'!$O:$O,"&lt;&gt;Fixed – please re-test",'UAT · Swati'!$O:$O,"&lt;&gt;Won’t change")+COUNTIFS('UAT · Swati'!$D:$D,"Quotes",'UAT · Swati'!$J:$J,"🔍 Couldn’t find it",'UAT · Swati'!$O:$O,"&lt;&gt;Fixed – please re-test",'UAT · Swati'!$O:$O,"&lt;&gt;Won’t change")</f>
        <v/>
      </c>
    </row>
    <row r="34">
      <c r="A34" s="24" t="inlineStr">
        <is>
          <t>Quote X-Ray</t>
        </is>
      </c>
      <c r="B34" s="24">
        <f>COUNTIF('UAT · Dane'!$D:$D,"Quote X-Ray")</f>
        <v/>
      </c>
      <c r="C34" s="25">
        <f>COUNTIFS('UAT · Dane'!$D:$D,"Quote X-Ray",'UAT · Dane'!$J:$J,"&lt;&gt;")</f>
        <v/>
      </c>
      <c r="D34" s="25">
        <f>COUNTIFS('UAT · Dane'!$D:$D,"Quote X-Ray",'UAT · Dane'!$J:$J,"✅ Works")</f>
        <v/>
      </c>
      <c r="E34" s="25">
        <f>COUNTIFS('UAT · Dane'!$D:$D,"Quote X-Ray",'UAT · Dane'!$J:$J,"🟡 Works, but…")</f>
        <v/>
      </c>
      <c r="F34" s="25">
        <f>COUNTIFS('UAT · Dane'!$D:$D,"Quote X-Ray",'UAT · Dane'!$J:$J,"❌ Doesn’t work")</f>
        <v/>
      </c>
      <c r="G34" s="25">
        <f>COUNTIFS('UAT · Dane'!$D:$D,"Quote X-Ray",'UAT · Dane'!$J:$J,"🔍 Couldn’t find it")</f>
        <v/>
      </c>
      <c r="H34" s="25">
        <f>COUNTIFS('UAT · Dane'!$D:$D,"Quote X-Ray",'UAT · Dane'!$J:$J,"❌ Doesn’t work",'UAT · Dane'!$O:$O,"&lt;&gt;Fixed – please re-test",'UAT · Dane'!$O:$O,"&lt;&gt;Won’t change")+COUNTIFS('UAT · Dane'!$D:$D,"Quote X-Ray",'UAT · Dane'!$J:$J,"🔍 Couldn’t find it",'UAT · Dane'!$O:$O,"&lt;&gt;Fixed – please re-test",'UAT · Dane'!$O:$O,"&lt;&gt;Won’t change")</f>
        <v/>
      </c>
      <c r="I34" s="25">
        <f>COUNTIFS('UAT · Oliva'!$D:$D,"Quote X-Ray",'UAT · Oliva'!$J:$J,"&lt;&gt;")</f>
        <v/>
      </c>
      <c r="J34" s="25">
        <f>COUNTIFS('UAT · Oliva'!$D:$D,"Quote X-Ray",'UAT · Oliva'!$J:$J,"✅ Works")</f>
        <v/>
      </c>
      <c r="K34" s="25">
        <f>COUNTIFS('UAT · Oliva'!$D:$D,"Quote X-Ray",'UAT · Oliva'!$J:$J,"🟡 Works, but…")</f>
        <v/>
      </c>
      <c r="L34" s="25">
        <f>COUNTIFS('UAT · Oliva'!$D:$D,"Quote X-Ray",'UAT · Oliva'!$J:$J,"❌ Doesn’t work")</f>
        <v/>
      </c>
      <c r="M34" s="25">
        <f>COUNTIFS('UAT · Oliva'!$D:$D,"Quote X-Ray",'UAT · Oliva'!$J:$J,"🔍 Couldn’t find it")</f>
        <v/>
      </c>
      <c r="N34" s="25">
        <f>COUNTIFS('UAT · Oliva'!$D:$D,"Quote X-Ray",'UAT · Oliva'!$J:$J,"❌ Doesn’t work",'UAT · Oliva'!$O:$O,"&lt;&gt;Fixed – please re-test",'UAT · Oliva'!$O:$O,"&lt;&gt;Won’t change")+COUNTIFS('UAT · Oliva'!$D:$D,"Quote X-Ray",'UAT · Oliva'!$J:$J,"🔍 Couldn’t find it",'UAT · Oliva'!$O:$O,"&lt;&gt;Fixed – please re-test",'UAT · Oliva'!$O:$O,"&lt;&gt;Won’t change")</f>
        <v/>
      </c>
      <c r="O34" s="25">
        <f>COUNTIFS('UAT · Swati'!$D:$D,"Quote X-Ray",'UAT · Swati'!$J:$J,"&lt;&gt;")</f>
        <v/>
      </c>
      <c r="P34" s="25">
        <f>COUNTIFS('UAT · Swati'!$D:$D,"Quote X-Ray",'UAT · Swati'!$J:$J,"✅ Works")</f>
        <v/>
      </c>
      <c r="Q34" s="25">
        <f>COUNTIFS('UAT · Swati'!$D:$D,"Quote X-Ray",'UAT · Swati'!$J:$J,"🟡 Works, but…")</f>
        <v/>
      </c>
      <c r="R34" s="25">
        <f>COUNTIFS('UAT · Swati'!$D:$D,"Quote X-Ray",'UAT · Swati'!$J:$J,"❌ Doesn’t work")</f>
        <v/>
      </c>
      <c r="S34" s="25">
        <f>COUNTIFS('UAT · Swati'!$D:$D,"Quote X-Ray",'UAT · Swati'!$J:$J,"🔍 Couldn’t find it")</f>
        <v/>
      </c>
      <c r="T34" s="25">
        <f>COUNTIFS('UAT · Swati'!$D:$D,"Quote X-Ray",'UAT · Swati'!$J:$J,"❌ Doesn’t work",'UAT · Swati'!$O:$O,"&lt;&gt;Fixed – please re-test",'UAT · Swati'!$O:$O,"&lt;&gt;Won’t change")+COUNTIFS('UAT · Swati'!$D:$D,"Quote X-Ray",'UAT · Swati'!$J:$J,"🔍 Couldn’t find it",'UAT · Swati'!$O:$O,"&lt;&gt;Fixed – please re-test",'UAT · Swati'!$O:$O,"&lt;&gt;Won’t change")</f>
        <v/>
      </c>
    </row>
    <row r="35">
      <c r="A35" s="24" t="inlineStr">
        <is>
          <t>Contracts</t>
        </is>
      </c>
      <c r="B35" s="24">
        <f>COUNTIF('UAT · Dane'!$D:$D,"Contracts")</f>
        <v/>
      </c>
      <c r="C35" s="25">
        <f>COUNTIFS('UAT · Dane'!$D:$D,"Contracts",'UAT · Dane'!$J:$J,"&lt;&gt;")</f>
        <v/>
      </c>
      <c r="D35" s="25">
        <f>COUNTIFS('UAT · Dane'!$D:$D,"Contracts",'UAT · Dane'!$J:$J,"✅ Works")</f>
        <v/>
      </c>
      <c r="E35" s="25">
        <f>COUNTIFS('UAT · Dane'!$D:$D,"Contracts",'UAT · Dane'!$J:$J,"🟡 Works, but…")</f>
        <v/>
      </c>
      <c r="F35" s="25">
        <f>COUNTIFS('UAT · Dane'!$D:$D,"Contracts",'UAT · Dane'!$J:$J,"❌ Doesn’t work")</f>
        <v/>
      </c>
      <c r="G35" s="25">
        <f>COUNTIFS('UAT · Dane'!$D:$D,"Contracts",'UAT · Dane'!$J:$J,"🔍 Couldn’t find it")</f>
        <v/>
      </c>
      <c r="H35" s="25">
        <f>COUNTIFS('UAT · Dane'!$D:$D,"Contracts",'UAT · Dane'!$J:$J,"❌ Doesn’t work",'UAT · Dane'!$O:$O,"&lt;&gt;Fixed – please re-test",'UAT · Dane'!$O:$O,"&lt;&gt;Won’t change")+COUNTIFS('UAT · Dane'!$D:$D,"Contracts",'UAT · Dane'!$J:$J,"🔍 Couldn’t find it",'UAT · Dane'!$O:$O,"&lt;&gt;Fixed – please re-test",'UAT · Dane'!$O:$O,"&lt;&gt;Won’t change")</f>
        <v/>
      </c>
      <c r="I35" s="25">
        <f>COUNTIFS('UAT · Oliva'!$D:$D,"Contracts",'UAT · Oliva'!$J:$J,"&lt;&gt;")</f>
        <v/>
      </c>
      <c r="J35" s="25">
        <f>COUNTIFS('UAT · Oliva'!$D:$D,"Contracts",'UAT · Oliva'!$J:$J,"✅ Works")</f>
        <v/>
      </c>
      <c r="K35" s="25">
        <f>COUNTIFS('UAT · Oliva'!$D:$D,"Contracts",'UAT · Oliva'!$J:$J,"🟡 Works, but…")</f>
        <v/>
      </c>
      <c r="L35" s="25">
        <f>COUNTIFS('UAT · Oliva'!$D:$D,"Contracts",'UAT · Oliva'!$J:$J,"❌ Doesn’t work")</f>
        <v/>
      </c>
      <c r="M35" s="25">
        <f>COUNTIFS('UAT · Oliva'!$D:$D,"Contracts",'UAT · Oliva'!$J:$J,"🔍 Couldn’t find it")</f>
        <v/>
      </c>
      <c r="N35" s="25">
        <f>COUNTIFS('UAT · Oliva'!$D:$D,"Contracts",'UAT · Oliva'!$J:$J,"❌ Doesn’t work",'UAT · Oliva'!$O:$O,"&lt;&gt;Fixed – please re-test",'UAT · Oliva'!$O:$O,"&lt;&gt;Won’t change")+COUNTIFS('UAT · Oliva'!$D:$D,"Contracts",'UAT · Oliva'!$J:$J,"🔍 Couldn’t find it",'UAT · Oliva'!$O:$O,"&lt;&gt;Fixed – please re-test",'UAT · Oliva'!$O:$O,"&lt;&gt;Won’t change")</f>
        <v/>
      </c>
      <c r="O35" s="25">
        <f>COUNTIFS('UAT · Swati'!$D:$D,"Contracts",'UAT · Swati'!$J:$J,"&lt;&gt;")</f>
        <v/>
      </c>
      <c r="P35" s="25">
        <f>COUNTIFS('UAT · Swati'!$D:$D,"Contracts",'UAT · Swati'!$J:$J,"✅ Works")</f>
        <v/>
      </c>
      <c r="Q35" s="25">
        <f>COUNTIFS('UAT · Swati'!$D:$D,"Contracts",'UAT · Swati'!$J:$J,"🟡 Works, but…")</f>
        <v/>
      </c>
      <c r="R35" s="25">
        <f>COUNTIFS('UAT · Swati'!$D:$D,"Contracts",'UAT · Swati'!$J:$J,"❌ Doesn’t work")</f>
        <v/>
      </c>
      <c r="S35" s="25">
        <f>COUNTIFS('UAT · Swati'!$D:$D,"Contracts",'UAT · Swati'!$J:$J,"🔍 Couldn’t find it")</f>
        <v/>
      </c>
      <c r="T35" s="25">
        <f>COUNTIFS('UAT · Swati'!$D:$D,"Contracts",'UAT · Swati'!$J:$J,"❌ Doesn’t work",'UAT · Swati'!$O:$O,"&lt;&gt;Fixed – please re-test",'UAT · Swati'!$O:$O,"&lt;&gt;Won’t change")+COUNTIFS('UAT · Swati'!$D:$D,"Contracts",'UAT · Swati'!$J:$J,"🔍 Couldn’t find it",'UAT · Swati'!$O:$O,"&lt;&gt;Fixed – please re-test",'UAT · Swati'!$O:$O,"&lt;&gt;Won’t change")</f>
        <v/>
      </c>
    </row>
    <row r="36">
      <c r="A36" s="24" t="inlineStr">
        <is>
          <t>Notifications</t>
        </is>
      </c>
      <c r="B36" s="24">
        <f>COUNTIF('UAT · Dane'!$D:$D,"Notifications")</f>
        <v/>
      </c>
      <c r="C36" s="25">
        <f>COUNTIFS('UAT · Dane'!$D:$D,"Notifications",'UAT · Dane'!$J:$J,"&lt;&gt;")</f>
        <v/>
      </c>
      <c r="D36" s="25">
        <f>COUNTIFS('UAT · Dane'!$D:$D,"Notifications",'UAT · Dane'!$J:$J,"✅ Works")</f>
        <v/>
      </c>
      <c r="E36" s="25">
        <f>COUNTIFS('UAT · Dane'!$D:$D,"Notifications",'UAT · Dane'!$J:$J,"🟡 Works, but…")</f>
        <v/>
      </c>
      <c r="F36" s="25">
        <f>COUNTIFS('UAT · Dane'!$D:$D,"Notifications",'UAT · Dane'!$J:$J,"❌ Doesn’t work")</f>
        <v/>
      </c>
      <c r="G36" s="25">
        <f>COUNTIFS('UAT · Dane'!$D:$D,"Notifications",'UAT · Dane'!$J:$J,"🔍 Couldn’t find it")</f>
        <v/>
      </c>
      <c r="H36" s="25">
        <f>COUNTIFS('UAT · Dane'!$D:$D,"Notifications",'UAT · Dane'!$J:$J,"❌ Doesn’t work",'UAT · Dane'!$O:$O,"&lt;&gt;Fixed – please re-test",'UAT · Dane'!$O:$O,"&lt;&gt;Won’t change")+COUNTIFS('UAT · Dane'!$D:$D,"Notifications",'UAT · Dane'!$J:$J,"🔍 Couldn’t find it",'UAT · Dane'!$O:$O,"&lt;&gt;Fixed – please re-test",'UAT · Dane'!$O:$O,"&lt;&gt;Won’t change")</f>
        <v/>
      </c>
      <c r="I36" s="25">
        <f>COUNTIFS('UAT · Oliva'!$D:$D,"Notifications",'UAT · Oliva'!$J:$J,"&lt;&gt;")</f>
        <v/>
      </c>
      <c r="J36" s="25">
        <f>COUNTIFS('UAT · Oliva'!$D:$D,"Notifications",'UAT · Oliva'!$J:$J,"✅ Works")</f>
        <v/>
      </c>
      <c r="K36" s="25">
        <f>COUNTIFS('UAT · Oliva'!$D:$D,"Notifications",'UAT · Oliva'!$J:$J,"🟡 Works, but…")</f>
        <v/>
      </c>
      <c r="L36" s="25">
        <f>COUNTIFS('UAT · Oliva'!$D:$D,"Notifications",'UAT · Oliva'!$J:$J,"❌ Doesn’t work")</f>
        <v/>
      </c>
      <c r="M36" s="25">
        <f>COUNTIFS('UAT · Oliva'!$D:$D,"Notifications",'UAT · Oliva'!$J:$J,"🔍 Couldn’t find it")</f>
        <v/>
      </c>
      <c r="N36" s="25">
        <f>COUNTIFS('UAT · Oliva'!$D:$D,"Notifications",'UAT · Oliva'!$J:$J,"❌ Doesn’t work",'UAT · Oliva'!$O:$O,"&lt;&gt;Fixed – please re-test",'UAT · Oliva'!$O:$O,"&lt;&gt;Won’t change")+COUNTIFS('UAT · Oliva'!$D:$D,"Notifications",'UAT · Oliva'!$J:$J,"🔍 Couldn’t find it",'UAT · Oliva'!$O:$O,"&lt;&gt;Fixed – please re-test",'UAT · Oliva'!$O:$O,"&lt;&gt;Won’t change")</f>
        <v/>
      </c>
      <c r="O36" s="25">
        <f>COUNTIFS('UAT · Swati'!$D:$D,"Notifications",'UAT · Swati'!$J:$J,"&lt;&gt;")</f>
        <v/>
      </c>
      <c r="P36" s="25">
        <f>COUNTIFS('UAT · Swati'!$D:$D,"Notifications",'UAT · Swati'!$J:$J,"✅ Works")</f>
        <v/>
      </c>
      <c r="Q36" s="25">
        <f>COUNTIFS('UAT · Swati'!$D:$D,"Notifications",'UAT · Swati'!$J:$J,"🟡 Works, but…")</f>
        <v/>
      </c>
      <c r="R36" s="25">
        <f>COUNTIFS('UAT · Swati'!$D:$D,"Notifications",'UAT · Swati'!$J:$J,"❌ Doesn’t work")</f>
        <v/>
      </c>
      <c r="S36" s="25">
        <f>COUNTIFS('UAT · Swati'!$D:$D,"Notifications",'UAT · Swati'!$J:$J,"🔍 Couldn’t find it")</f>
        <v/>
      </c>
      <c r="T36" s="25">
        <f>COUNTIFS('UAT · Swati'!$D:$D,"Notifications",'UAT · Swati'!$J:$J,"❌ Doesn’t work",'UAT · Swati'!$O:$O,"&lt;&gt;Fixed – please re-test",'UAT · Swati'!$O:$O,"&lt;&gt;Won’t change")+COUNTIFS('UAT · Swati'!$D:$D,"Notifications",'UAT · Swati'!$J:$J,"🔍 Couldn’t find it",'UAT · Swati'!$O:$O,"&lt;&gt;Fixed – please re-test",'UAT · Swati'!$O:$O,"&lt;&gt;Won’t change")</f>
        <v/>
      </c>
    </row>
    <row r="37">
      <c r="A37" s="24" t="inlineStr">
        <is>
          <t>Insights</t>
        </is>
      </c>
      <c r="B37" s="24">
        <f>COUNTIF('UAT · Dane'!$D:$D,"Insights")</f>
        <v/>
      </c>
      <c r="C37" s="25">
        <f>COUNTIFS('UAT · Dane'!$D:$D,"Insights",'UAT · Dane'!$J:$J,"&lt;&gt;")</f>
        <v/>
      </c>
      <c r="D37" s="25">
        <f>COUNTIFS('UAT · Dane'!$D:$D,"Insights",'UAT · Dane'!$J:$J,"✅ Works")</f>
        <v/>
      </c>
      <c r="E37" s="25">
        <f>COUNTIFS('UAT · Dane'!$D:$D,"Insights",'UAT · Dane'!$J:$J,"🟡 Works, but…")</f>
        <v/>
      </c>
      <c r="F37" s="25">
        <f>COUNTIFS('UAT · Dane'!$D:$D,"Insights",'UAT · Dane'!$J:$J,"❌ Doesn’t work")</f>
        <v/>
      </c>
      <c r="G37" s="25">
        <f>COUNTIFS('UAT · Dane'!$D:$D,"Insights",'UAT · Dane'!$J:$J,"🔍 Couldn’t find it")</f>
        <v/>
      </c>
      <c r="H37" s="25">
        <f>COUNTIFS('UAT · Dane'!$D:$D,"Insights",'UAT · Dane'!$J:$J,"❌ Doesn’t work",'UAT · Dane'!$O:$O,"&lt;&gt;Fixed – please re-test",'UAT · Dane'!$O:$O,"&lt;&gt;Won’t change")+COUNTIFS('UAT · Dane'!$D:$D,"Insights",'UAT · Dane'!$J:$J,"🔍 Couldn’t find it",'UAT · Dane'!$O:$O,"&lt;&gt;Fixed – please re-test",'UAT · Dane'!$O:$O,"&lt;&gt;Won’t change")</f>
        <v/>
      </c>
      <c r="I37" s="25">
        <f>COUNTIFS('UAT · Oliva'!$D:$D,"Insights",'UAT · Oliva'!$J:$J,"&lt;&gt;")</f>
        <v/>
      </c>
      <c r="J37" s="25">
        <f>COUNTIFS('UAT · Oliva'!$D:$D,"Insights",'UAT · Oliva'!$J:$J,"✅ Works")</f>
        <v/>
      </c>
      <c r="K37" s="25">
        <f>COUNTIFS('UAT · Oliva'!$D:$D,"Insights",'UAT · Oliva'!$J:$J,"🟡 Works, but…")</f>
        <v/>
      </c>
      <c r="L37" s="25">
        <f>COUNTIFS('UAT · Oliva'!$D:$D,"Insights",'UAT · Oliva'!$J:$J,"❌ Doesn’t work")</f>
        <v/>
      </c>
      <c r="M37" s="25">
        <f>COUNTIFS('UAT · Oliva'!$D:$D,"Insights",'UAT · Oliva'!$J:$J,"🔍 Couldn’t find it")</f>
        <v/>
      </c>
      <c r="N37" s="25">
        <f>COUNTIFS('UAT · Oliva'!$D:$D,"Insights",'UAT · Oliva'!$J:$J,"❌ Doesn’t work",'UAT · Oliva'!$O:$O,"&lt;&gt;Fixed – please re-test",'UAT · Oliva'!$O:$O,"&lt;&gt;Won’t change")+COUNTIFS('UAT · Oliva'!$D:$D,"Insights",'UAT · Oliva'!$J:$J,"🔍 Couldn’t find it",'UAT · Oliva'!$O:$O,"&lt;&gt;Fixed – please re-test",'UAT · Oliva'!$O:$O,"&lt;&gt;Won’t change")</f>
        <v/>
      </c>
      <c r="O37" s="25">
        <f>COUNTIFS('UAT · Swati'!$D:$D,"Insights",'UAT · Swati'!$J:$J,"&lt;&gt;")</f>
        <v/>
      </c>
      <c r="P37" s="25">
        <f>COUNTIFS('UAT · Swati'!$D:$D,"Insights",'UAT · Swati'!$J:$J,"✅ Works")</f>
        <v/>
      </c>
      <c r="Q37" s="25">
        <f>COUNTIFS('UAT · Swati'!$D:$D,"Insights",'UAT · Swati'!$J:$J,"🟡 Works, but…")</f>
        <v/>
      </c>
      <c r="R37" s="25">
        <f>COUNTIFS('UAT · Swati'!$D:$D,"Insights",'UAT · Swati'!$J:$J,"❌ Doesn’t work")</f>
        <v/>
      </c>
      <c r="S37" s="25">
        <f>COUNTIFS('UAT · Swati'!$D:$D,"Insights",'UAT · Swati'!$J:$J,"🔍 Couldn’t find it")</f>
        <v/>
      </c>
      <c r="T37" s="25">
        <f>COUNTIFS('UAT · Swati'!$D:$D,"Insights",'UAT · Swati'!$J:$J,"❌ Doesn’t work",'UAT · Swati'!$O:$O,"&lt;&gt;Fixed – please re-test",'UAT · Swati'!$O:$O,"&lt;&gt;Won’t change")+COUNTIFS('UAT · Swati'!$D:$D,"Insights",'UAT · Swati'!$J:$J,"🔍 Couldn’t find it",'UAT · Swati'!$O:$O,"&lt;&gt;Fixed – please re-test",'UAT · Swati'!$O:$O,"&lt;&gt;Won’t change")</f>
        <v/>
      </c>
    </row>
    <row r="38">
      <c r="A38" s="24" t="inlineStr">
        <is>
          <t>AI Visualizer</t>
        </is>
      </c>
      <c r="B38" s="24">
        <f>COUNTIF('UAT · Dane'!$D:$D,"AI Visualizer")</f>
        <v/>
      </c>
      <c r="C38" s="25">
        <f>COUNTIFS('UAT · Dane'!$D:$D,"AI Visualizer",'UAT · Dane'!$J:$J,"&lt;&gt;")</f>
        <v/>
      </c>
      <c r="D38" s="25">
        <f>COUNTIFS('UAT · Dane'!$D:$D,"AI Visualizer",'UAT · Dane'!$J:$J,"✅ Works")</f>
        <v/>
      </c>
      <c r="E38" s="25">
        <f>COUNTIFS('UAT · Dane'!$D:$D,"AI Visualizer",'UAT · Dane'!$J:$J,"🟡 Works, but…")</f>
        <v/>
      </c>
      <c r="F38" s="25">
        <f>COUNTIFS('UAT · Dane'!$D:$D,"AI Visualizer",'UAT · Dane'!$J:$J,"❌ Doesn’t work")</f>
        <v/>
      </c>
      <c r="G38" s="25">
        <f>COUNTIFS('UAT · Dane'!$D:$D,"AI Visualizer",'UAT · Dane'!$J:$J,"🔍 Couldn’t find it")</f>
        <v/>
      </c>
      <c r="H38" s="25">
        <f>COUNTIFS('UAT · Dane'!$D:$D,"AI Visualizer",'UAT · Dane'!$J:$J,"❌ Doesn’t work",'UAT · Dane'!$O:$O,"&lt;&gt;Fixed – please re-test",'UAT · Dane'!$O:$O,"&lt;&gt;Won’t change")+COUNTIFS('UAT · Dane'!$D:$D,"AI Visualizer",'UAT · Dane'!$J:$J,"🔍 Couldn’t find it",'UAT · Dane'!$O:$O,"&lt;&gt;Fixed – please re-test",'UAT · Dane'!$O:$O,"&lt;&gt;Won’t change")</f>
        <v/>
      </c>
      <c r="I38" s="25">
        <f>COUNTIFS('UAT · Oliva'!$D:$D,"AI Visualizer",'UAT · Oliva'!$J:$J,"&lt;&gt;")</f>
        <v/>
      </c>
      <c r="J38" s="25">
        <f>COUNTIFS('UAT · Oliva'!$D:$D,"AI Visualizer",'UAT · Oliva'!$J:$J,"✅ Works")</f>
        <v/>
      </c>
      <c r="K38" s="25">
        <f>COUNTIFS('UAT · Oliva'!$D:$D,"AI Visualizer",'UAT · Oliva'!$J:$J,"🟡 Works, but…")</f>
        <v/>
      </c>
      <c r="L38" s="25">
        <f>COUNTIFS('UAT · Oliva'!$D:$D,"AI Visualizer",'UAT · Oliva'!$J:$J,"❌ Doesn’t work")</f>
        <v/>
      </c>
      <c r="M38" s="25">
        <f>COUNTIFS('UAT · Oliva'!$D:$D,"AI Visualizer",'UAT · Oliva'!$J:$J,"🔍 Couldn’t find it")</f>
        <v/>
      </c>
      <c r="N38" s="25">
        <f>COUNTIFS('UAT · Oliva'!$D:$D,"AI Visualizer",'UAT · Oliva'!$J:$J,"❌ Doesn’t work",'UAT · Oliva'!$O:$O,"&lt;&gt;Fixed – please re-test",'UAT · Oliva'!$O:$O,"&lt;&gt;Won’t change")+COUNTIFS('UAT · Oliva'!$D:$D,"AI Visualizer",'UAT · Oliva'!$J:$J,"🔍 Couldn’t find it",'UAT · Oliva'!$O:$O,"&lt;&gt;Fixed – please re-test",'UAT · Oliva'!$O:$O,"&lt;&gt;Won’t change")</f>
        <v/>
      </c>
      <c r="O38" s="25">
        <f>COUNTIFS('UAT · Swati'!$D:$D,"AI Visualizer",'UAT · Swati'!$J:$J,"&lt;&gt;")</f>
        <v/>
      </c>
      <c r="P38" s="25">
        <f>COUNTIFS('UAT · Swati'!$D:$D,"AI Visualizer",'UAT · Swati'!$J:$J,"✅ Works")</f>
        <v/>
      </c>
      <c r="Q38" s="25">
        <f>COUNTIFS('UAT · Swati'!$D:$D,"AI Visualizer",'UAT · Swati'!$J:$J,"🟡 Works, but…")</f>
        <v/>
      </c>
      <c r="R38" s="25">
        <f>COUNTIFS('UAT · Swati'!$D:$D,"AI Visualizer",'UAT · Swati'!$J:$J,"❌ Doesn’t work")</f>
        <v/>
      </c>
      <c r="S38" s="25">
        <f>COUNTIFS('UAT · Swati'!$D:$D,"AI Visualizer",'UAT · Swati'!$J:$J,"🔍 Couldn’t find it")</f>
        <v/>
      </c>
      <c r="T38" s="25">
        <f>COUNTIFS('UAT · Swati'!$D:$D,"AI Visualizer",'UAT · Swati'!$J:$J,"❌ Doesn’t work",'UAT · Swati'!$O:$O,"&lt;&gt;Fixed – please re-test",'UAT · Swati'!$O:$O,"&lt;&gt;Won’t change")+COUNTIFS('UAT · Swati'!$D:$D,"AI Visualizer",'UAT · Swati'!$J:$J,"🔍 Couldn’t find it",'UAT · Swati'!$O:$O,"&lt;&gt;Fixed – please re-test",'UAT · Swati'!$O:$O,"&lt;&gt;Won’t change")</f>
        <v/>
      </c>
    </row>
    <row r="39">
      <c r="A39" s="24" t="inlineStr">
        <is>
          <t>Phone</t>
        </is>
      </c>
      <c r="B39" s="24">
        <f>COUNTIF('UAT · Dane'!$D:$D,"Phone")</f>
        <v/>
      </c>
      <c r="C39" s="25">
        <f>COUNTIFS('UAT · Dane'!$D:$D,"Phone",'UAT · Dane'!$J:$J,"&lt;&gt;")</f>
        <v/>
      </c>
      <c r="D39" s="25">
        <f>COUNTIFS('UAT · Dane'!$D:$D,"Phone",'UAT · Dane'!$J:$J,"✅ Works")</f>
        <v/>
      </c>
      <c r="E39" s="25">
        <f>COUNTIFS('UAT · Dane'!$D:$D,"Phone",'UAT · Dane'!$J:$J,"🟡 Works, but…")</f>
        <v/>
      </c>
      <c r="F39" s="25">
        <f>COUNTIFS('UAT · Dane'!$D:$D,"Phone",'UAT · Dane'!$J:$J,"❌ Doesn’t work")</f>
        <v/>
      </c>
      <c r="G39" s="25">
        <f>COUNTIFS('UAT · Dane'!$D:$D,"Phone",'UAT · Dane'!$J:$J,"🔍 Couldn’t find it")</f>
        <v/>
      </c>
      <c r="H39" s="25">
        <f>COUNTIFS('UAT · Dane'!$D:$D,"Phone",'UAT · Dane'!$J:$J,"❌ Doesn’t work",'UAT · Dane'!$O:$O,"&lt;&gt;Fixed – please re-test",'UAT · Dane'!$O:$O,"&lt;&gt;Won’t change")+COUNTIFS('UAT · Dane'!$D:$D,"Phone",'UAT · Dane'!$J:$J,"🔍 Couldn’t find it",'UAT · Dane'!$O:$O,"&lt;&gt;Fixed – please re-test",'UAT · Dane'!$O:$O,"&lt;&gt;Won’t change")</f>
        <v/>
      </c>
      <c r="I39" s="25">
        <f>COUNTIFS('UAT · Oliva'!$D:$D,"Phone",'UAT · Oliva'!$J:$J,"&lt;&gt;")</f>
        <v/>
      </c>
      <c r="J39" s="25">
        <f>COUNTIFS('UAT · Oliva'!$D:$D,"Phone",'UAT · Oliva'!$J:$J,"✅ Works")</f>
        <v/>
      </c>
      <c r="K39" s="25">
        <f>COUNTIFS('UAT · Oliva'!$D:$D,"Phone",'UAT · Oliva'!$J:$J,"🟡 Works, but…")</f>
        <v/>
      </c>
      <c r="L39" s="25">
        <f>COUNTIFS('UAT · Oliva'!$D:$D,"Phone",'UAT · Oliva'!$J:$J,"❌ Doesn’t work")</f>
        <v/>
      </c>
      <c r="M39" s="25">
        <f>COUNTIFS('UAT · Oliva'!$D:$D,"Phone",'UAT · Oliva'!$J:$J,"🔍 Couldn’t find it")</f>
        <v/>
      </c>
      <c r="N39" s="25">
        <f>COUNTIFS('UAT · Oliva'!$D:$D,"Phone",'UAT · Oliva'!$J:$J,"❌ Doesn’t work",'UAT · Oliva'!$O:$O,"&lt;&gt;Fixed – please re-test",'UAT · Oliva'!$O:$O,"&lt;&gt;Won’t change")+COUNTIFS('UAT · Oliva'!$D:$D,"Phone",'UAT · Oliva'!$J:$J,"🔍 Couldn’t find it",'UAT · Oliva'!$O:$O,"&lt;&gt;Fixed – please re-test",'UAT · Oliva'!$O:$O,"&lt;&gt;Won’t change")</f>
        <v/>
      </c>
      <c r="O39" s="25">
        <f>COUNTIFS('UAT · Swati'!$D:$D,"Phone",'UAT · Swati'!$J:$J,"&lt;&gt;")</f>
        <v/>
      </c>
      <c r="P39" s="25">
        <f>COUNTIFS('UAT · Swati'!$D:$D,"Phone",'UAT · Swati'!$J:$J,"✅ Works")</f>
        <v/>
      </c>
      <c r="Q39" s="25">
        <f>COUNTIFS('UAT · Swati'!$D:$D,"Phone",'UAT · Swati'!$J:$J,"🟡 Works, but…")</f>
        <v/>
      </c>
      <c r="R39" s="25">
        <f>COUNTIFS('UAT · Swati'!$D:$D,"Phone",'UAT · Swati'!$J:$J,"❌ Doesn’t work")</f>
        <v/>
      </c>
      <c r="S39" s="25">
        <f>COUNTIFS('UAT · Swati'!$D:$D,"Phone",'UAT · Swati'!$J:$J,"🔍 Couldn’t find it")</f>
        <v/>
      </c>
      <c r="T39" s="25">
        <f>COUNTIFS('UAT · Swati'!$D:$D,"Phone",'UAT · Swati'!$J:$J,"❌ Doesn’t work",'UAT · Swati'!$O:$O,"&lt;&gt;Fixed – please re-test",'UAT · Swati'!$O:$O,"&lt;&gt;Won’t change")+COUNTIFS('UAT · Swati'!$D:$D,"Phone",'UAT · Swati'!$J:$J,"🔍 Couldn’t find it",'UAT · Swati'!$O:$O,"&lt;&gt;Fixed – please re-test",'UAT · Swati'!$O:$O,"&lt;&gt;Won’t change")</f>
        <v/>
      </c>
    </row>
    <row r="40">
      <c r="A40" s="22" t="inlineStr">
        <is>
          <t>Total</t>
        </is>
      </c>
      <c r="B40" s="26">
        <f>SUM(B25:B39)</f>
        <v/>
      </c>
      <c r="C40" s="26">
        <f>SUM(C25:C39)</f>
        <v/>
      </c>
      <c r="D40" s="26">
        <f>SUM(D25:D39)</f>
        <v/>
      </c>
      <c r="E40" s="26">
        <f>SUM(E25:E39)</f>
        <v/>
      </c>
      <c r="F40" s="26">
        <f>SUM(F25:F39)</f>
        <v/>
      </c>
      <c r="G40" s="26">
        <f>SUM(G25:G39)</f>
        <v/>
      </c>
      <c r="H40" s="26">
        <f>SUM(H25:H39)</f>
        <v/>
      </c>
      <c r="I40" s="26">
        <f>SUM(I25:I39)</f>
        <v/>
      </c>
      <c r="J40" s="26">
        <f>SUM(J25:J39)</f>
        <v/>
      </c>
      <c r="K40" s="26">
        <f>SUM(K25:K39)</f>
        <v/>
      </c>
      <c r="L40" s="26">
        <f>SUM(L25:L39)</f>
        <v/>
      </c>
      <c r="M40" s="26">
        <f>SUM(M25:M39)</f>
        <v/>
      </c>
      <c r="N40" s="26">
        <f>SUM(N25:N39)</f>
        <v/>
      </c>
      <c r="O40" s="26">
        <f>SUM(O25:O39)</f>
        <v/>
      </c>
      <c r="P40" s="26">
        <f>SUM(P25:P39)</f>
        <v/>
      </c>
      <c r="Q40" s="26">
        <f>SUM(Q25:Q39)</f>
        <v/>
      </c>
      <c r="R40" s="26">
        <f>SUM(R25:R39)</f>
        <v/>
      </c>
      <c r="S40" s="26">
        <f>SUM(S25:S39)</f>
        <v/>
      </c>
      <c r="T40" s="26">
        <f>SUM(T25:T39)</f>
        <v/>
      </c>
    </row>
  </sheetData>
  <mergeCells count="6">
    <mergeCell ref="O5:T5"/>
    <mergeCell ref="I5:N5"/>
    <mergeCell ref="C5:H5"/>
    <mergeCell ref="O23:T23"/>
    <mergeCell ref="C23:H23"/>
    <mergeCell ref="I23:N23"/>
  </mergeCells>
  <pageMargins left="0.75" right="0.75" top="1" bottom="1" header="0.5" footer="0.5"/>
</worksheet>
</file>

<file path=xl/worksheets/sheet7.xml><?xml version="1.0" encoding="utf-8"?>
<worksheet xmlns="http://schemas.openxmlformats.org/spreadsheetml/2006/main">
  <sheetPr>
    <tabColor rgb="006B6B7B"/>
    <outlinePr summaryBelow="1" summaryRight="1"/>
    <pageSetUpPr/>
  </sheetPr>
  <dimension ref="A1:J1140"/>
  <sheetViews>
    <sheetView workbookViewId="0">
      <pane ySplit="3" topLeftCell="A4" activePane="bottomLeft" state="frozen"/>
      <selection pane="bottomLeft" activeCell="A1" sqref="A1"/>
    </sheetView>
  </sheetViews>
  <sheetFormatPr baseColWidth="8" defaultRowHeight="15"/>
  <cols>
    <col width="16" customWidth="1" min="1" max="1"/>
    <col width="9" customWidth="1" min="2" max="2"/>
    <col width="20" customWidth="1" min="3" max="3"/>
    <col width="44" customWidth="1" min="4" max="4"/>
    <col width="22" customWidth="1" min="5" max="5"/>
    <col width="40" customWidth="1" min="6" max="6"/>
    <col width="18" customWidth="1" min="7" max="7"/>
    <col width="12" customWidth="1" min="8" max="8"/>
    <col width="18" customWidth="1" min="9" max="9"/>
    <col width="30" customWidth="1" min="10" max="10"/>
  </cols>
  <sheetData>
    <row r="1">
      <c r="A1" s="6" t="inlineStr">
        <is>
          <t>Every 1.0 feature, and where the story tests it</t>
        </is>
      </c>
    </row>
    <row r="2" ht="30" customHeight="1">
      <c r="A2" s="2" t="inlineStr">
        <is>
          <t>From the eight 1.0 → 2.0 parity audits (design-source/context/parity/). “Now in 2.0” says what happened to the feature; “Tested in steps” lists the story steps that prove it. Rows marked “Team check” are built but not in the story — Vicky and Dane check those here (Team result). Testers do not need this tab.</t>
        </is>
      </c>
    </row>
    <row r="3">
      <c r="A3" s="27" t="inlineStr">
        <is>
          <t>Module</t>
        </is>
      </c>
      <c r="B3" s="27" t="inlineStr">
        <is>
          <t>ID</t>
        </is>
      </c>
      <c r="C3" s="27" t="inlineStr">
        <is>
          <t>Area</t>
        </is>
      </c>
      <c r="D3" s="27" t="inlineStr">
        <is>
          <t>1.0 feature</t>
        </is>
      </c>
      <c r="E3" s="27" t="inlineStr">
        <is>
          <t>Now in 2.0</t>
        </is>
      </c>
      <c r="F3" s="27" t="inlineStr">
        <is>
          <t>Why (when not built)</t>
        </is>
      </c>
      <c r="G3" s="27" t="inlineStr">
        <is>
          <t>Tested in steps</t>
        </is>
      </c>
      <c r="H3" s="27" t="inlineStr">
        <is>
          <t>Check</t>
        </is>
      </c>
      <c r="I3" s="27" t="inlineStr">
        <is>
          <t>Team result</t>
        </is>
      </c>
      <c r="J3" s="27" t="inlineStr">
        <is>
          <t>Team notes</t>
        </is>
      </c>
    </row>
    <row r="4">
      <c r="A4" s="12" t="inlineStr">
        <is>
          <t>Leads</t>
        </is>
      </c>
      <c r="B4" s="12" t="inlineStr">
        <is>
          <t>DEF-01</t>
        </is>
      </c>
      <c r="C4" s="12" t="inlineStr">
        <is>
          <t>Definitions</t>
        </is>
      </c>
      <c r="D4" s="14" t="inlineStr">
        <is>
          <t>Where a lead stands: bucket, status and sub-status</t>
        </is>
      </c>
      <c r="E4" s="14" t="inlineStr">
        <is>
          <t>Not built — by design</t>
        </is>
      </c>
      <c r="F4" s="12" t="inlineStr">
        <is>
          <t>Owner kept seven fixed stages; no sub-statuses or editable funnel (Q-01, Q-02)</t>
        </is>
      </c>
      <c r="G4" s="12" t="inlineStr">
        <is>
          <t>4.23, 5.19, 5.20, 9.01</t>
        </is>
      </c>
      <c r="H4" s="12" t="inlineStr"/>
      <c r="I4" s="17" t="n"/>
      <c r="J4" s="17" t="n"/>
    </row>
    <row r="5">
      <c r="A5" s="12" t="inlineStr">
        <is>
          <t>Leads</t>
        </is>
      </c>
      <c r="B5" s="12" t="inlineStr">
        <is>
          <t>DEF-02</t>
        </is>
      </c>
      <c r="C5" s="12" t="inlineStr">
        <is>
          <t>Definitions</t>
        </is>
      </c>
      <c r="D5" s="14" t="inlineStr">
        <is>
          <t>Follow-Up as a status with its own sub-statuses</t>
        </is>
      </c>
      <c r="E5" s="14" t="inlineStr">
        <is>
          <t>Built in parity round 2</t>
        </is>
      </c>
      <c r="F5" s="12" t="inlineStr">
        <is>
          <t>Follow-ups are tasks, with a Next follow-up line (Q-03)</t>
        </is>
      </c>
      <c r="G5" s="12" t="inlineStr">
        <is>
          <t>5.05, 11.06</t>
        </is>
      </c>
      <c r="H5" s="12" t="inlineStr"/>
      <c r="I5" s="17" t="n"/>
      <c r="J5" s="17" t="n"/>
    </row>
    <row r="6">
      <c r="A6" s="12" t="inlineStr">
        <is>
          <t>Leads</t>
        </is>
      </c>
      <c r="B6" s="12" t="inlineStr">
        <is>
          <t>DEF-03</t>
        </is>
      </c>
      <c r="C6" s="12" t="inlineStr">
        <is>
          <t>Definitions</t>
        </is>
      </c>
      <c r="D6" s="14" t="inlineStr">
        <is>
          <t>Archive a lead instead of deleting it</t>
        </is>
      </c>
      <c r="E6" s="14" t="inlineStr">
        <is>
          <t>Excluded</t>
        </is>
      </c>
      <c r="F6" s="12" t="inlineStr">
        <is>
          <t>Owner kept Delete; round 1 added the live-link warning (Q-04)</t>
        </is>
      </c>
      <c r="G6" s="12" t="inlineStr">
        <is>
          <t>9.14, 9.15</t>
        </is>
      </c>
      <c r="H6" s="12" t="inlineStr"/>
      <c r="I6" s="17" t="n"/>
      <c r="J6" s="17" t="n"/>
    </row>
    <row r="7">
      <c r="A7" s="12" t="inlineStr">
        <is>
          <t>Leads</t>
        </is>
      </c>
      <c r="B7" s="12" t="inlineStr">
        <is>
          <t>DEF-04</t>
        </is>
      </c>
      <c r="C7" s="12" t="inlineStr">
        <is>
          <t>Definitions</t>
        </is>
      </c>
      <c r="D7" s="14" t="inlineStr">
        <is>
          <t>Journey mode: an eight-step tracker with evidence</t>
        </is>
      </c>
      <c r="E7" s="14" t="inlineStr">
        <is>
          <t>Excluded</t>
        </is>
      </c>
      <c r="F7" s="12" t="inlineStr">
        <is>
          <t>Owner excluded Journey mode; Linear stage movement instead</t>
        </is>
      </c>
      <c r="G7" s="12" t="inlineStr"/>
      <c r="H7" s="12" t="inlineStr"/>
      <c r="I7" s="17" t="n"/>
      <c r="J7" s="17" t="n"/>
    </row>
    <row r="8">
      <c r="A8" s="12" t="inlineStr">
        <is>
          <t>Leads</t>
        </is>
      </c>
      <c r="B8" s="12" t="inlineStr">
        <is>
          <t>DEF-05</t>
        </is>
      </c>
      <c r="C8" s="12" t="inlineStr">
        <is>
          <t>Definitions</t>
        </is>
      </c>
      <c r="D8" s="14" t="inlineStr">
        <is>
          <t>On Hold with durations, reasons and a revisit ping</t>
        </is>
      </c>
      <c r="E8" s="14" t="inlineStr">
        <is>
          <t>Built in parity round 1</t>
        </is>
      </c>
      <c r="F8" s="12" t="inlineStr">
        <is>
          <t>Six reasons in round 1; the date reminder in round 2</t>
        </is>
      </c>
      <c r="G8" s="12" t="inlineStr">
        <is>
          <t>9.05, 9.06</t>
        </is>
      </c>
      <c r="H8" s="12" t="inlineStr"/>
      <c r="I8" s="17" t="n"/>
      <c r="J8" s="17" t="n"/>
    </row>
    <row r="9">
      <c r="A9" s="12" t="inlineStr">
        <is>
          <t>Leads</t>
        </is>
      </c>
      <c r="B9" s="12" t="inlineStr">
        <is>
          <t>DEF-06</t>
        </is>
      </c>
      <c r="C9" s="12" t="inlineStr">
        <is>
          <t>Definitions</t>
        </is>
      </c>
      <c r="D9" s="14" t="inlineStr">
        <is>
          <t>Lost with reasons, competitor and restart details</t>
        </is>
      </c>
      <c r="E9" s="14" t="inlineStr">
        <is>
          <t>Built in parity round 1</t>
        </is>
      </c>
      <c r="F9" s="12" t="inlineStr"/>
      <c r="G9" s="12" t="inlineStr">
        <is>
          <t>9.07, 9.08</t>
        </is>
      </c>
      <c r="H9" s="12" t="inlineStr"/>
      <c r="I9" s="17" t="n"/>
      <c r="J9" s="17" t="n"/>
    </row>
    <row r="10">
      <c r="A10" s="12" t="inlineStr">
        <is>
          <t>Leads</t>
        </is>
      </c>
      <c r="B10" s="12" t="inlineStr">
        <is>
          <t>DEF-07</t>
        </is>
      </c>
      <c r="C10" s="12" t="inlineStr">
        <is>
          <t>Definitions</t>
        </is>
      </c>
      <c r="D10" s="14" t="inlineStr">
        <is>
          <t>Return a Qanvast lead for a refund</t>
        </is>
      </c>
      <c r="E10" s="14" t="inlineStr">
        <is>
          <t>Built in parity round 3</t>
        </is>
      </c>
      <c r="F10" s="12" t="inlineStr">
        <is>
          <t>Seven reasons added; return from any stage kept (Q-08)</t>
        </is>
      </c>
      <c r="G10" s="12" t="inlineStr">
        <is>
          <t>9.10</t>
        </is>
      </c>
      <c r="H10" s="12" t="inlineStr"/>
      <c r="I10" s="17" t="n"/>
      <c r="J10" s="17" t="n"/>
    </row>
    <row r="11">
      <c r="A11" s="12" t="inlineStr">
        <is>
          <t>Leads</t>
        </is>
      </c>
      <c r="B11" s="12" t="inlineStr">
        <is>
          <t>DEF-08</t>
        </is>
      </c>
      <c r="C11" s="12" t="inlineStr">
        <is>
          <t>Definitions</t>
        </is>
      </c>
      <c r="D11" s="14" t="inlineStr">
        <is>
          <t>Many members per lead; removing the last downgrades it</t>
        </is>
      </c>
      <c r="E11" s="14" t="inlineStr">
        <is>
          <t>Not built — by design</t>
        </is>
      </c>
      <c r="F11" s="12" t="inlineStr">
        <is>
          <t>Past New the last member stays (Q-09); commission split waits for Finance</t>
        </is>
      </c>
      <c r="G11" s="12" t="inlineStr">
        <is>
          <t>5.03, 10.04, 10.10</t>
        </is>
      </c>
      <c r="H11" s="12" t="inlineStr"/>
      <c r="I11" s="17" t="n"/>
      <c r="J11" s="17" t="n"/>
    </row>
    <row r="12">
      <c r="A12" s="12" t="inlineStr">
        <is>
          <t>Leads</t>
        </is>
      </c>
      <c r="B12" s="12" t="inlineStr">
        <is>
          <t>DEF-09</t>
        </is>
      </c>
      <c r="C12" s="12" t="inlineStr">
        <is>
          <t>Definitions</t>
        </is>
      </c>
      <c r="D12" s="14" t="inlineStr">
        <is>
          <t>Hot, warm or cold temperature on a lead</t>
        </is>
      </c>
      <c r="E12" s="14" t="inlineStr">
        <is>
          <t>Not built — by design</t>
        </is>
      </c>
      <c r="F12" s="12" t="inlineStr">
        <is>
          <t>Owner declined temperature (Q-10)</t>
        </is>
      </c>
      <c r="G12" s="12" t="inlineStr"/>
      <c r="H12" s="12" t="inlineStr"/>
      <c r="I12" s="17" t="n"/>
      <c r="J12" s="17" t="n"/>
    </row>
    <row r="13">
      <c r="A13" s="12" t="inlineStr">
        <is>
          <t>Leads</t>
        </is>
      </c>
      <c r="B13" s="12" t="inlineStr">
        <is>
          <t>DEF-10</t>
        </is>
      </c>
      <c r="C13" s="12" t="inlineStr">
        <is>
          <t>Definitions</t>
        </is>
      </c>
      <c r="D13" s="14" t="inlineStr">
        <is>
          <t>The studio's own list of lead sources</t>
        </is>
      </c>
      <c r="E13" s="14" t="inlineStr">
        <is>
          <t>Built</t>
        </is>
      </c>
      <c r="F13" s="12" t="inlineStr"/>
      <c r="G13" s="12" t="inlineStr">
        <is>
          <t>2.18, 4.14</t>
        </is>
      </c>
      <c r="H13" s="12" t="inlineStr"/>
      <c r="I13" s="17" t="n"/>
      <c r="J13" s="17" t="n"/>
    </row>
    <row r="14">
      <c r="A14" s="12" t="inlineStr">
        <is>
          <t>Leads</t>
        </is>
      </c>
      <c r="B14" s="12" t="inlineStr">
        <is>
          <t>DEF-11</t>
        </is>
      </c>
      <c r="C14" s="12" t="inlineStr">
        <is>
          <t>Definitions</t>
        </is>
      </c>
      <c r="D14" s="14" t="inlineStr">
        <is>
          <t>Property type, status, style, key collection and district lists</t>
        </is>
      </c>
      <c r="E14" s="14" t="inlineStr">
        <is>
          <t>Built in parity round 1</t>
        </is>
      </c>
      <c r="F14" s="12" t="inlineStr">
        <is>
          <t>Condition keeps New · Resale · Renovated by design (Q-11)</t>
        </is>
      </c>
      <c r="G14" s="12" t="inlineStr">
        <is>
          <t>4.05, 5.02</t>
        </is>
      </c>
      <c r="H14" s="12" t="inlineStr"/>
      <c r="I14" s="17" t="n"/>
      <c r="J14" s="17" t="n"/>
    </row>
    <row r="15">
      <c r="A15" s="12" t="inlineStr">
        <is>
          <t>Leads</t>
        </is>
      </c>
      <c r="B15" s="12" t="inlineStr">
        <is>
          <t>DEF-12</t>
        </is>
      </c>
      <c r="C15" s="12" t="inlineStr">
        <is>
          <t>Definitions</t>
        </is>
      </c>
      <c r="D15" s="14" t="inlineStr">
        <is>
          <t>Separate first-name and last-name fields</t>
        </is>
      </c>
      <c r="E15" s="14" t="inlineStr">
        <is>
          <t>Not built — by design</t>
        </is>
      </c>
      <c r="F15" s="12" t="inlineStr">
        <is>
          <t>One Lead name field kept (Q-13)</t>
        </is>
      </c>
      <c r="G15" s="12" t="inlineStr">
        <is>
          <t>4.04</t>
        </is>
      </c>
      <c r="H15" s="12" t="inlineStr"/>
      <c r="I15" s="17" t="n"/>
      <c r="J15" s="17" t="n"/>
    </row>
    <row r="16">
      <c r="A16" s="12" t="inlineStr">
        <is>
          <t>Leads</t>
        </is>
      </c>
      <c r="B16" s="12" t="inlineStr">
        <is>
          <t>DEF-13</t>
        </is>
      </c>
      <c r="C16" s="12" t="inlineStr">
        <is>
          <t>Definitions</t>
        </is>
      </c>
      <c r="D16" s="14" t="inlineStr">
        <is>
          <t>Budget limited to S$1,000–5,000,000</t>
        </is>
      </c>
      <c r="E16" s="14" t="inlineStr">
        <is>
          <t>Built in parity round 1</t>
        </is>
      </c>
      <c r="F16" s="12" t="inlineStr"/>
      <c r="G16" s="12" t="inlineStr">
        <is>
          <t>4.04</t>
        </is>
      </c>
      <c r="H16" s="12" t="inlineStr"/>
      <c r="I16" s="17" t="n"/>
      <c r="J16" s="17" t="n"/>
    </row>
    <row r="17">
      <c r="A17" s="12" t="inlineStr">
        <is>
          <t>Leads</t>
        </is>
      </c>
      <c r="B17" s="12" t="inlineStr">
        <is>
          <t>DEF-14</t>
        </is>
      </c>
      <c r="C17" s="12" t="inlineStr">
        <is>
          <t>Definitions</t>
        </is>
      </c>
      <c r="D17" s="14" t="inlineStr">
        <is>
          <t>Five required fields on a new lead</t>
        </is>
      </c>
      <c r="E17" s="14" t="inlineStr">
        <is>
          <t>Not built — by design</t>
        </is>
      </c>
      <c r="F17" s="12" t="inlineStr">
        <is>
          <t>Only name and phone are required (Q-15)</t>
        </is>
      </c>
      <c r="G17" s="12" t="inlineStr">
        <is>
          <t>4.04</t>
        </is>
      </c>
      <c r="H17" s="12" t="inlineStr"/>
      <c r="I17" s="17" t="n"/>
      <c r="J17" s="17" t="n"/>
    </row>
    <row r="18">
      <c r="A18" s="12" t="inlineStr">
        <is>
          <t>Leads</t>
        </is>
      </c>
      <c r="B18" s="12" t="inlineStr">
        <is>
          <t>DEF-15</t>
        </is>
      </c>
      <c r="C18" s="12" t="inlineStr">
        <is>
          <t>Definitions</t>
        </is>
      </c>
      <c r="D18" s="14" t="inlineStr">
        <is>
          <t>Remarks plus a second Additional Info box</t>
        </is>
      </c>
      <c r="E18" s="14" t="inlineStr">
        <is>
          <t>Not built — by design</t>
        </is>
      </c>
      <c r="F18" s="12" t="inlineStr">
        <is>
          <t>One Remarks field only (Q-16)</t>
        </is>
      </c>
      <c r="G18" s="12" t="inlineStr">
        <is>
          <t>4.05</t>
        </is>
      </c>
      <c r="H18" s="12" t="inlineStr"/>
      <c r="I18" s="17" t="n"/>
      <c r="J18" s="17" t="n"/>
    </row>
    <row r="19">
      <c r="A19" s="12" t="inlineStr">
        <is>
          <t>Leads</t>
        </is>
      </c>
      <c r="B19" s="12" t="inlineStr">
        <is>
          <t>DEF-16</t>
        </is>
      </c>
      <c r="C19" s="12" t="inlineStr">
        <is>
          <t>Definitions</t>
        </is>
      </c>
      <c r="D19" s="14" t="inlineStr">
        <is>
          <t>Contact attempts with channel and outcome</t>
        </is>
      </c>
      <c r="E19" s="14" t="inlineStr">
        <is>
          <t>Built in parity round 1</t>
        </is>
      </c>
      <c r="F19" s="12" t="inlineStr"/>
      <c r="G19" s="12" t="inlineStr">
        <is>
          <t>5.07, 5.08, 5.11</t>
        </is>
      </c>
      <c r="H19" s="12" t="inlineStr"/>
      <c r="I19" s="17" t="n"/>
      <c r="J19" s="17" t="n"/>
    </row>
    <row r="20">
      <c r="A20" s="12" t="inlineStr">
        <is>
          <t>Leads</t>
        </is>
      </c>
      <c r="B20" s="12" t="inlineStr">
        <is>
          <t>DEF-17</t>
        </is>
      </c>
      <c r="C20" s="12" t="inlineStr">
        <is>
          <t>Definitions</t>
        </is>
      </c>
      <c r="D20" s="14" t="inlineStr">
        <is>
          <t>A next follow-up date on the lead, with a reminder</t>
        </is>
      </c>
      <c r="E20" s="14" t="inlineStr">
        <is>
          <t>Built in parity round 2</t>
        </is>
      </c>
      <c r="F20" s="12" t="inlineStr">
        <is>
          <t>Kept as tasks: Next follow-up line, Follow-up kind, reminder</t>
        </is>
      </c>
      <c r="G20" s="12" t="inlineStr">
        <is>
          <t>5.05, 5.12, 11.06</t>
        </is>
      </c>
      <c r="H20" s="12" t="inlineStr"/>
      <c r="I20" s="17" t="n"/>
      <c r="J20" s="17" t="n"/>
    </row>
    <row r="21">
      <c r="A21" s="12" t="inlineStr">
        <is>
          <t>Leads</t>
        </is>
      </c>
      <c r="B21" s="12" t="inlineStr">
        <is>
          <t>DEF-18</t>
        </is>
      </c>
      <c r="C21" s="12" t="inlineStr">
        <is>
          <t>Definitions</t>
        </is>
      </c>
      <c r="D21" s="14" t="inlineStr">
        <is>
          <t>Duplicate check: 'Create this lead anyway?'</t>
        </is>
      </c>
      <c r="E21" s="14" t="inlineStr">
        <is>
          <t>Built in parity round 3</t>
        </is>
      </c>
      <c r="F21" s="12" t="inlineStr"/>
      <c r="G21" s="12" t="inlineStr">
        <is>
          <t>4.03</t>
        </is>
      </c>
      <c r="H21" s="12" t="inlineStr"/>
      <c r="I21" s="17" t="n"/>
      <c r="J21" s="17" t="n"/>
    </row>
    <row r="22">
      <c r="A22" s="12" t="inlineStr">
        <is>
          <t>Leads</t>
        </is>
      </c>
      <c r="B22" s="12" t="inlineStr">
        <is>
          <t>DEF-19</t>
        </is>
      </c>
      <c r="C22" s="12" t="inlineStr">
        <is>
          <t>Definitions</t>
        </is>
      </c>
      <c r="D22" s="14" t="inlineStr">
        <is>
          <t>Who sees and moves leads, by role</t>
        </is>
      </c>
      <c r="E22" s="14" t="inlineStr">
        <is>
          <t>Built</t>
        </is>
      </c>
      <c r="F22" s="12" t="inlineStr"/>
      <c r="G22" s="12" t="inlineStr">
        <is>
          <t>2.23, 10.01</t>
        </is>
      </c>
      <c r="H22" s="12" t="inlineStr"/>
      <c r="I22" s="17" t="n"/>
      <c r="J22" s="17" t="n"/>
    </row>
    <row r="23">
      <c r="A23" s="12" t="inlineStr">
        <is>
          <t>Leads</t>
        </is>
      </c>
      <c r="B23" s="12" t="inlineStr">
        <is>
          <t>DEF-20</t>
        </is>
      </c>
      <c r="C23" s="12" t="inlineStr">
        <is>
          <t>Definitions</t>
        </is>
      </c>
      <c r="D23" s="14" t="inlineStr">
        <is>
          <t>A saved activity log, including removals and deletions</t>
        </is>
      </c>
      <c r="E23" s="14" t="inlineStr">
        <is>
          <t>Built in parity round 7</t>
        </is>
      </c>
      <c r="F23" s="12" t="inlineStr"/>
      <c r="G23" s="12" t="inlineStr">
        <is>
          <t>5.22, 9.10, 11.10</t>
        </is>
      </c>
      <c r="H23" s="12" t="inlineStr"/>
      <c r="I23" s="17" t="n"/>
      <c r="J23" s="17" t="n"/>
    </row>
    <row r="24">
      <c r="A24" s="12" t="inlineStr">
        <is>
          <t>Leads</t>
        </is>
      </c>
      <c r="B24" s="12" t="inlineStr">
        <is>
          <t>DEF-21</t>
        </is>
      </c>
      <c r="C24" s="12" t="inlineStr">
        <is>
          <t>Definitions</t>
        </is>
      </c>
      <c r="D24" s="14" t="inlineStr">
        <is>
          <t>Files on the lead</t>
        </is>
      </c>
      <c r="E24" s="14" t="inlineStr">
        <is>
          <t>Built</t>
        </is>
      </c>
      <c r="F24" s="12" t="inlineStr"/>
      <c r="G24" s="12" t="inlineStr">
        <is>
          <t>5.14, 5.15, 5.16</t>
        </is>
      </c>
      <c r="H24" s="12" t="inlineStr"/>
      <c r="I24" s="17" t="n"/>
      <c r="J24" s="17" t="n"/>
    </row>
    <row r="25">
      <c r="A25" s="12" t="inlineStr">
        <is>
          <t>Leads</t>
        </is>
      </c>
      <c r="B25" s="12" t="inlineStr">
        <is>
          <t>DEF-22</t>
        </is>
      </c>
      <c r="C25" s="12" t="inlineStr">
        <is>
          <t>Definitions</t>
        </is>
      </c>
      <c r="D25" s="14" t="inlineStr">
        <is>
          <t>A studio question bank the client answers</t>
        </is>
      </c>
      <c r="E25" s="14" t="inlineStr">
        <is>
          <t>Built in parity round 6</t>
        </is>
      </c>
      <c r="F25" s="12" t="inlineStr">
        <is>
          <t>Per-question answer history not built, by design</t>
        </is>
      </c>
      <c r="G25" s="12" t="inlineStr">
        <is>
          <t>3.37, 3.38, 5.17, 5.18</t>
        </is>
      </c>
      <c r="H25" s="12" t="inlineStr"/>
      <c r="I25" s="17" t="n"/>
      <c r="J25" s="17" t="n"/>
    </row>
    <row r="26">
      <c r="A26" s="12" t="inlineStr">
        <is>
          <t>Leads</t>
        </is>
      </c>
      <c r="B26" s="12" t="inlineStr">
        <is>
          <t>DEF-23</t>
        </is>
      </c>
      <c r="C26" s="12" t="inlineStr">
        <is>
          <t>Definitions</t>
        </is>
      </c>
      <c r="D26" s="14" t="inlineStr">
        <is>
          <t>Invite the homeowner to the portal</t>
        </is>
      </c>
      <c r="E26" s="14" t="inlineStr">
        <is>
          <t>Built in parity round 3</t>
        </is>
      </c>
      <c r="F26" s="12" t="inlineStr"/>
      <c r="G26" s="12" t="inlineStr">
        <is>
          <t>9.13</t>
        </is>
      </c>
      <c r="H26" s="12" t="inlineStr"/>
      <c r="I26" s="17" t="n"/>
      <c r="J26" s="17" t="n"/>
    </row>
    <row r="27">
      <c r="A27" s="12" t="inlineStr">
        <is>
          <t>Leads</t>
        </is>
      </c>
      <c r="B27" s="12" t="inlineStr">
        <is>
          <t>DEF-24</t>
        </is>
      </c>
      <c r="C27" s="12" t="inlineStr">
        <is>
          <t>Definitions</t>
        </is>
      </c>
      <c r="D27" s="14" t="inlineStr">
        <is>
          <t>Notifications for lead events</t>
        </is>
      </c>
      <c r="E27" s="14" t="inlineStr">
        <is>
          <t>Built in parity round 2</t>
        </is>
      </c>
      <c r="F27" s="12" t="inlineStr"/>
      <c r="G27" s="12" t="inlineStr">
        <is>
          <t>1.08, 2.32, 11.04</t>
        </is>
      </c>
      <c r="H27" s="12" t="inlineStr"/>
      <c r="I27" s="17" t="n"/>
      <c r="J27" s="17" t="n"/>
    </row>
    <row r="28">
      <c r="A28" s="12" t="inlineStr">
        <is>
          <t>Leads</t>
        </is>
      </c>
      <c r="B28" s="12" t="inlineStr">
        <is>
          <t>DEF-25</t>
        </is>
      </c>
      <c r="C28" s="12" t="inlineStr">
        <is>
          <t>Definitions</t>
        </is>
      </c>
      <c r="D28" s="14" t="inlineStr">
        <is>
          <t>Performance report and per-lead response time</t>
        </is>
      </c>
      <c r="E28" s="14" t="inlineStr">
        <is>
          <t>Built in parity round 5</t>
        </is>
      </c>
      <c r="F28" s="12" t="inlineStr">
        <is>
          <t>Dashboard widgets still wait for the Dashboard mocks</t>
        </is>
      </c>
      <c r="G28" s="12" t="inlineStr">
        <is>
          <t>5.21, 11.08</t>
        </is>
      </c>
      <c r="H28" s="12" t="inlineStr"/>
      <c r="I28" s="17" t="n"/>
      <c r="J28" s="17" t="n"/>
    </row>
    <row r="29">
      <c r="A29" s="12" t="inlineStr">
        <is>
          <t>Leads</t>
        </is>
      </c>
      <c r="B29" s="12" t="inlineStr">
        <is>
          <t>DEF-26</t>
        </is>
      </c>
      <c r="C29" s="12" t="inlineStr">
        <is>
          <t>Definitions</t>
        </is>
      </c>
      <c r="D29" s="14" t="inlineStr">
        <is>
          <t>Custom lead fields, categories and pipeline stages</t>
        </is>
      </c>
      <c r="E29" s="14" t="inlineStr">
        <is>
          <t>Built in parity round 6</t>
        </is>
      </c>
      <c r="F29" s="12" t="inlineStr">
        <is>
          <t>Custom fields built; categories and pipeline stages stay dead</t>
        </is>
      </c>
      <c r="G29" s="12" t="inlineStr">
        <is>
          <t>2.22</t>
        </is>
      </c>
      <c r="H29" s="12" t="inlineStr"/>
      <c r="I29" s="17" t="n"/>
      <c r="J29" s="17" t="n"/>
    </row>
    <row r="30">
      <c r="A30" s="12" t="inlineStr">
        <is>
          <t>Leads</t>
        </is>
      </c>
      <c r="B30" s="12" t="inlineStr">
        <is>
          <t>DEF-27</t>
        </is>
      </c>
      <c r="C30" s="12" t="inlineStr">
        <is>
          <t>Definitions</t>
        </is>
      </c>
      <c r="D30" s="14" t="inlineStr">
        <is>
          <t>Workflow switches for stage requirements</t>
        </is>
      </c>
      <c r="E30" s="14" t="inlineStr">
        <is>
          <t>Not built — by design</t>
        </is>
      </c>
      <c r="F30" s="12" t="inlineStr">
        <is>
          <t>The Won step enforces the rules; no switches (Q-26)</t>
        </is>
      </c>
      <c r="G30" s="12" t="inlineStr">
        <is>
          <t>9.03</t>
        </is>
      </c>
      <c r="H30" s="12" t="inlineStr"/>
      <c r="I30" s="17" t="n"/>
      <c r="J30" s="17" t="n"/>
    </row>
    <row r="31">
      <c r="A31" s="12" t="inlineStr">
        <is>
          <t>Leads</t>
        </is>
      </c>
      <c r="B31" s="12" t="inlineStr">
        <is>
          <t>DEF-28</t>
        </is>
      </c>
      <c r="C31" s="12" t="inlineStr">
        <is>
          <t>Definitions</t>
        </is>
      </c>
      <c r="D31" s="14" t="inlineStr">
        <is>
          <t>Designer lead preferences and a recommended assignee</t>
        </is>
      </c>
      <c r="E31" s="14" t="inlineStr">
        <is>
          <t>Built in parity round 6</t>
        </is>
      </c>
      <c r="F31" s="12" t="inlineStr"/>
      <c r="G31" s="12" t="inlineStr">
        <is>
          <t>2.09, 5.04</t>
        </is>
      </c>
      <c r="H31" s="12" t="inlineStr"/>
      <c r="I31" s="17" t="n"/>
      <c r="J31" s="17" t="n"/>
    </row>
    <row r="32">
      <c r="A32" s="12" t="inlineStr">
        <is>
          <t>Leads</t>
        </is>
      </c>
      <c r="B32" s="12" t="inlineStr">
        <is>
          <t>DEF-29</t>
        </is>
      </c>
      <c r="C32" s="12" t="inlineStr">
        <is>
          <t>Definitions</t>
        </is>
      </c>
      <c r="D32" s="14" t="inlineStr">
        <is>
          <t>Fill a new lead from a document by AI</t>
        </is>
      </c>
      <c r="E32" s="14" t="inlineStr">
        <is>
          <t>Built in parity round 3</t>
        </is>
      </c>
      <c r="F32" s="12" t="inlineStr">
        <is>
          <t>A scripted stand-in fills fixed values; no real AI (Q-28)</t>
        </is>
      </c>
      <c r="G32" s="12" t="inlineStr">
        <is>
          <t>4.02</t>
        </is>
      </c>
      <c r="H32" s="12" t="inlineStr"/>
      <c r="I32" s="17" t="n"/>
      <c r="J32" s="17" t="n"/>
    </row>
    <row r="33">
      <c r="A33" s="12" t="inlineStr">
        <is>
          <t>Leads</t>
        </is>
      </c>
      <c r="B33" s="12" t="inlineStr">
        <is>
          <t>DEF-30</t>
        </is>
      </c>
      <c r="C33" s="12" t="inlineStr">
        <is>
          <t>Definitions</t>
        </is>
      </c>
      <c r="D33" s="14" t="inlineStr">
        <is>
          <t>Country and region per lead</t>
        </is>
      </c>
      <c r="E33" s="14" t="inlineStr">
        <is>
          <t>Platform</t>
        </is>
      </c>
      <c r="F33" s="12" t="inlineStr">
        <is>
          <t>Singapore only in 2.0</t>
        </is>
      </c>
      <c r="G33" s="12" t="inlineStr"/>
      <c r="H33" s="12" t="inlineStr"/>
      <c r="I33" s="17" t="n"/>
      <c r="J33" s="17" t="n"/>
    </row>
    <row r="34">
      <c r="A34" s="12" t="inlineStr">
        <is>
          <t>Leads</t>
        </is>
      </c>
      <c r="B34" s="12" t="inlineStr">
        <is>
          <t>DEF-31</t>
        </is>
      </c>
      <c r="C34" s="12" t="inlineStr">
        <is>
          <t>Definitions</t>
        </is>
      </c>
      <c r="D34" s="14" t="inlineStr">
        <is>
          <t>Signing creates a draft project</t>
        </is>
      </c>
      <c r="E34" s="14" t="inlineStr">
        <is>
          <t>Later</t>
        </is>
      </c>
      <c r="F34" s="12" t="inlineStr">
        <is>
          <t>Won says Project created; projects come with the Projects module</t>
        </is>
      </c>
      <c r="G34" s="12" t="inlineStr">
        <is>
          <t>9.04</t>
        </is>
      </c>
      <c r="H34" s="12" t="inlineStr"/>
      <c r="I34" s="17" t="n"/>
      <c r="J34" s="17" t="n"/>
    </row>
    <row r="35">
      <c r="A35" s="12" t="inlineStr">
        <is>
          <t>Leads</t>
        </is>
      </c>
      <c r="B35" s="12" t="inlineStr">
        <is>
          <t>DEF-32</t>
        </is>
      </c>
      <c r="C35" s="12" t="inlineStr">
        <is>
          <t>Definitions</t>
        </is>
      </c>
      <c r="D35" s="14" t="inlineStr">
        <is>
          <t>Issuing entity stored on the lead</t>
        </is>
      </c>
      <c r="E35" s="14" t="inlineStr">
        <is>
          <t>Later</t>
        </is>
      </c>
      <c r="F35" s="12" t="inlineStr">
        <is>
          <t>Entities live on quotes and contracts, not on the lead</t>
        </is>
      </c>
      <c r="G35" s="12" t="inlineStr"/>
      <c r="H35" s="12" t="inlineStr"/>
      <c r="I35" s="17" t="n"/>
      <c r="J35" s="17" t="n"/>
    </row>
    <row r="36">
      <c r="A36" s="12" t="inlineStr">
        <is>
          <t>Leads</t>
        </is>
      </c>
      <c r="B36" s="12" t="inlineStr">
        <is>
          <t>DEF-33</t>
        </is>
      </c>
      <c r="C36" s="12" t="inlineStr">
        <is>
          <t>Definitions</t>
        </is>
      </c>
      <c r="D36" s="14" t="inlineStr">
        <is>
          <t>Meetings, copilot, visualiser and hangouts</t>
        </is>
      </c>
      <c r="E36" s="14" t="inlineStr">
        <is>
          <t>Later</t>
        </is>
      </c>
      <c r="F36" s="12" t="inlineStr">
        <is>
          <t>They wait for their own modules and mocks</t>
        </is>
      </c>
      <c r="G36" s="12" t="inlineStr"/>
      <c r="H36" s="12" t="inlineStr"/>
      <c r="I36" s="17" t="n"/>
      <c r="J36" s="17" t="n"/>
    </row>
    <row r="37">
      <c r="A37" s="12" t="inlineStr">
        <is>
          <t>Leads</t>
        </is>
      </c>
      <c r="B37" s="12" t="inlineStr">
        <is>
          <t>MM-01</t>
        </is>
      </c>
      <c r="C37" s="12" t="inlineStr">
        <is>
          <t>Mismatches</t>
        </is>
      </c>
      <c r="D37" s="14" t="inlineStr">
        <is>
          <t>Lead position: bucket, status, sub-status, studio-editable</t>
        </is>
      </c>
      <c r="E37" s="14" t="inlineStr">
        <is>
          <t>Not built — by design</t>
        </is>
      </c>
      <c r="F37" s="12" t="inlineStr">
        <is>
          <t>Seven fixed stages kept (Q-01, Q-02)</t>
        </is>
      </c>
      <c r="G37" s="12" t="inlineStr">
        <is>
          <t>5.20, 9.01</t>
        </is>
      </c>
      <c r="H37" s="12" t="inlineStr"/>
      <c r="I37" s="17" t="n"/>
      <c r="J37" s="17" t="n"/>
    </row>
    <row r="38">
      <c r="A38" s="12" t="inlineStr">
        <is>
          <t>Leads</t>
        </is>
      </c>
      <c r="B38" s="12" t="inlineStr">
        <is>
          <t>MM-02</t>
        </is>
      </c>
      <c r="C38" s="12" t="inlineStr">
        <is>
          <t>Mismatches</t>
        </is>
      </c>
      <c r="D38" s="14" t="inlineStr">
        <is>
          <t>On Hold tiers, reasons and a revisit ping</t>
        </is>
      </c>
      <c r="E38" s="14" t="inlineStr">
        <is>
          <t>Built in parity round 2</t>
        </is>
      </c>
      <c r="F38" s="12" t="inlineStr">
        <is>
          <t>Reasons in round 1; the date reminder in round 2</t>
        </is>
      </c>
      <c r="G38" s="12" t="inlineStr">
        <is>
          <t>9.05</t>
        </is>
      </c>
      <c r="H38" s="12" t="inlineStr"/>
      <c r="I38" s="17" t="n"/>
      <c r="J38" s="17" t="n"/>
    </row>
    <row r="39">
      <c r="A39" s="12" t="inlineStr">
        <is>
          <t>Leads</t>
        </is>
      </c>
      <c r="B39" s="12" t="inlineStr">
        <is>
          <t>MM-03</t>
        </is>
      </c>
      <c r="C39" s="12" t="inlineStr">
        <is>
          <t>Mismatches</t>
        </is>
      </c>
      <c r="D39" s="14" t="inlineStr">
        <is>
          <t>Lost reasons with details; closing cancels tasks</t>
        </is>
      </c>
      <c r="E39" s="14" t="inlineStr">
        <is>
          <t>Built in parity round 1</t>
        </is>
      </c>
      <c r="F39" s="12" t="inlineStr">
        <is>
          <t>Tasks stay open after Lost, by design (Q-29)</t>
        </is>
      </c>
      <c r="G39" s="12" t="inlineStr">
        <is>
          <t>9.07, 9.08</t>
        </is>
      </c>
      <c r="H39" s="12" t="inlineStr"/>
      <c r="I39" s="17" t="n"/>
      <c r="J39" s="17" t="n"/>
    </row>
    <row r="40">
      <c r="A40" s="12" t="inlineStr">
        <is>
          <t>Leads</t>
        </is>
      </c>
      <c r="B40" s="12" t="inlineStr">
        <is>
          <t>MM-04</t>
        </is>
      </c>
      <c r="C40" s="12" t="inlineStr">
        <is>
          <t>Mismatches</t>
        </is>
      </c>
      <c r="D40" s="14" t="inlineStr">
        <is>
          <t>Return only a closed, not-signed Qanvast lead</t>
        </is>
      </c>
      <c r="E40" s="14" t="inlineStr">
        <is>
          <t>Not built — by design</t>
        </is>
      </c>
      <c r="F40" s="12" t="inlineStr">
        <is>
          <t>Return from any stage; the wizard parks it Lost (Q-08)</t>
        </is>
      </c>
      <c r="G40" s="12" t="inlineStr">
        <is>
          <t>9.10</t>
        </is>
      </c>
      <c r="H40" s="12" t="inlineStr"/>
      <c r="I40" s="17" t="n"/>
      <c r="J40" s="17" t="n"/>
    </row>
    <row r="41">
      <c r="A41" s="12" t="inlineStr">
        <is>
          <t>Leads</t>
        </is>
      </c>
      <c r="B41" s="12" t="inlineStr">
        <is>
          <t>MM-05</t>
        </is>
      </c>
      <c r="C41" s="12" t="inlineStr">
        <is>
          <t>Mismatches</t>
        </is>
      </c>
      <c r="D41" s="14" t="inlineStr">
        <is>
          <t>Seven return reasons with their own fields</t>
        </is>
      </c>
      <c r="E41" s="14" t="inlineStr">
        <is>
          <t>Built in parity round 3</t>
        </is>
      </c>
      <c r="F41" s="12" t="inlineStr"/>
      <c r="G41" s="12" t="inlineStr">
        <is>
          <t>9.11</t>
        </is>
      </c>
      <c r="H41" s="12" t="inlineStr"/>
      <c r="I41" s="17" t="n"/>
      <c r="J41" s="17" t="n"/>
    </row>
    <row r="42">
      <c r="A42" s="12" t="inlineStr">
        <is>
          <t>Leads</t>
        </is>
      </c>
      <c r="B42" s="12" t="inlineStr">
        <is>
          <t>MM-06</t>
        </is>
      </c>
      <c r="C42" s="12" t="inlineStr">
        <is>
          <t>Mismatches</t>
        </is>
      </c>
      <c r="D42" s="14" t="inlineStr">
        <is>
          <t>Removing the last member drops the lead to Unassigned</t>
        </is>
      </c>
      <c r="E42" s="14" t="inlineStr">
        <is>
          <t>Not built — by design</t>
        </is>
      </c>
      <c r="F42" s="12" t="inlineStr">
        <is>
          <t>Past New the last member cannot be removed (Q-09)</t>
        </is>
      </c>
      <c r="G42" s="12" t="inlineStr"/>
      <c r="H42" s="12" t="inlineStr"/>
      <c r="I42" s="17" t="n"/>
      <c r="J42" s="17" t="n"/>
    </row>
    <row r="43">
      <c r="A43" s="12" t="inlineStr">
        <is>
          <t>Leads</t>
        </is>
      </c>
      <c r="B43" s="12" t="inlineStr">
        <is>
          <t>MM-07</t>
        </is>
      </c>
      <c r="C43" s="12" t="inlineStr">
        <is>
          <t>Mismatches</t>
        </is>
      </c>
      <c r="D43" s="14" t="inlineStr">
        <is>
          <t>Designers may assign leads</t>
        </is>
      </c>
      <c r="E43" s="14" t="inlineStr">
        <is>
          <t>Not built — by design</t>
        </is>
      </c>
      <c r="F43" s="12" t="inlineStr">
        <is>
          <t>Designers never assign — the owner's L6 call (Q-19)</t>
        </is>
      </c>
      <c r="G43" s="12" t="inlineStr">
        <is>
          <t>10.04</t>
        </is>
      </c>
      <c r="H43" s="12" t="inlineStr"/>
      <c r="I43" s="17" t="n"/>
      <c r="J43" s="17" t="n"/>
    </row>
    <row r="44">
      <c r="A44" s="12" t="inlineStr">
        <is>
          <t>Leads</t>
        </is>
      </c>
      <c r="B44" s="12" t="inlineStr">
        <is>
          <t>MM-08</t>
        </is>
      </c>
      <c r="C44" s="12" t="inlineStr">
        <is>
          <t>Mismatches</t>
        </is>
      </c>
      <c r="D44" s="14" t="inlineStr">
        <is>
          <t>Duplicate on manual create: confirm, then hold for review</t>
        </is>
      </c>
      <c r="E44" s="14" t="inlineStr">
        <is>
          <t>Built in parity round 3</t>
        </is>
      </c>
      <c r="F44" s="12" t="inlineStr">
        <is>
          <t>"Create anyway" creates it; nothing is held for review</t>
        </is>
      </c>
      <c r="G44" s="12" t="inlineStr">
        <is>
          <t>4.03</t>
        </is>
      </c>
      <c r="H44" s="12" t="inlineStr"/>
      <c r="I44" s="17" t="n"/>
      <c r="J44" s="17" t="n"/>
    </row>
    <row r="45">
      <c r="A45" s="12" t="inlineStr">
        <is>
          <t>Leads</t>
        </is>
      </c>
      <c r="B45" s="12" t="inlineStr">
        <is>
          <t>MM-09</t>
        </is>
      </c>
      <c r="C45" s="12" t="inlineStr">
        <is>
          <t>Mismatches</t>
        </is>
      </c>
      <c r="D45" s="14" t="inlineStr">
        <is>
          <t>Webhook duplicates dropped</t>
        </is>
      </c>
      <c r="E45" s="14" t="inlineStr">
        <is>
          <t>Platform</t>
        </is>
      </c>
      <c r="F45" s="12" t="inlineStr">
        <is>
          <t>Stand-in sends a known phone to Review imported leads</t>
        </is>
      </c>
      <c r="G45" s="12" t="inlineStr">
        <is>
          <t>4.13</t>
        </is>
      </c>
      <c r="H45" s="12" t="inlineStr"/>
      <c r="I45" s="17" t="n"/>
      <c r="J45" s="17" t="n"/>
    </row>
    <row r="46">
      <c r="A46" s="12" t="inlineStr">
        <is>
          <t>Leads</t>
        </is>
      </c>
      <c r="B46" s="12" t="inlineStr">
        <is>
          <t>MM-10</t>
        </is>
      </c>
      <c r="C46" s="12" t="inlineStr">
        <is>
          <t>Mismatches</t>
        </is>
      </c>
      <c r="D46" s="14" t="inlineStr">
        <is>
          <t>Export the filtered list with 23 columns</t>
        </is>
      </c>
      <c r="E46" s="14" t="inlineStr">
        <is>
          <t>Built in parity round 4</t>
        </is>
      </c>
      <c r="F46" s="12" t="inlineStr"/>
      <c r="G46" s="12" t="inlineStr">
        <is>
          <t>4.20</t>
        </is>
      </c>
      <c r="H46" s="12" t="inlineStr"/>
      <c r="I46" s="17" t="n"/>
      <c r="J46" s="17" t="n"/>
    </row>
    <row r="47">
      <c r="A47" s="12" t="inlineStr">
        <is>
          <t>Leads</t>
        </is>
      </c>
      <c r="B47" s="12" t="inlineStr">
        <is>
          <t>MM-11</t>
        </is>
      </c>
      <c r="C47" s="12" t="inlineStr">
        <is>
          <t>Mismatches</t>
        </is>
      </c>
      <c r="D47" s="14" t="inlineStr">
        <is>
          <t>List opens on the last 30 days</t>
        </is>
      </c>
      <c r="E47" s="14" t="inlineStr">
        <is>
          <t>Not built — by design</t>
        </is>
      </c>
      <c r="F47" s="12" t="inlineStr">
        <is>
          <t>The list opens on every lead (Q-30)</t>
        </is>
      </c>
      <c r="G47" s="12" t="inlineStr"/>
      <c r="H47" s="12" t="inlineStr"/>
      <c r="I47" s="17" t="n"/>
      <c r="J47" s="17" t="n"/>
    </row>
    <row r="48">
      <c r="A48" s="12" t="inlineStr">
        <is>
          <t>Leads</t>
        </is>
      </c>
      <c r="B48" s="12" t="inlineStr">
        <is>
          <t>MM-12</t>
        </is>
      </c>
      <c r="C48" s="12" t="inlineStr">
        <is>
          <t>Mismatches</t>
        </is>
      </c>
      <c r="D48" s="14" t="inlineStr">
        <is>
          <t>Property status: New, Resale, Existing</t>
        </is>
      </c>
      <c r="E48" s="14" t="inlineStr">
        <is>
          <t>Not built — by design</t>
        </is>
      </c>
      <c r="F48" s="12" t="inlineStr">
        <is>
          <t>Condition keeps Renovated; Existing maps to it (Q-11)</t>
        </is>
      </c>
      <c r="G48" s="12" t="inlineStr"/>
      <c r="H48" s="12" t="inlineStr"/>
      <c r="I48" s="17" t="n"/>
      <c r="J48" s="17" t="n"/>
    </row>
    <row r="49">
      <c r="A49" s="12" t="inlineStr">
        <is>
          <t>Leads</t>
        </is>
      </c>
      <c r="B49" s="12" t="inlineStr">
        <is>
          <t>MM-13</t>
        </is>
      </c>
      <c r="C49" s="12" t="inlineStr">
        <is>
          <t>Mismatches</t>
        </is>
      </c>
      <c r="D49" s="14" t="inlineStr">
        <is>
          <t>Style list incl. Vintage, Transitional, No preference</t>
        </is>
      </c>
      <c r="E49" s="14" t="inlineStr">
        <is>
          <t>Built in parity round 1</t>
        </is>
      </c>
      <c r="F49" s="12" t="inlineStr"/>
      <c r="G49" s="12" t="inlineStr"/>
      <c r="H49" s="28" t="inlineStr">
        <is>
          <t>Team check</t>
        </is>
      </c>
      <c r="I49" s="17" t="n"/>
      <c r="J49" s="17" t="n"/>
    </row>
    <row r="50">
      <c r="A50" s="12" t="inlineStr">
        <is>
          <t>Leads</t>
        </is>
      </c>
      <c r="B50" s="12" t="inlineStr">
        <is>
          <t>MM-14</t>
        </is>
      </c>
      <c r="C50" s="12" t="inlineStr">
        <is>
          <t>Mismatches</t>
        </is>
      </c>
      <c r="D50" s="14" t="inlineStr">
        <is>
          <t>Key collection in 3, 6, 9 months or Later</t>
        </is>
      </c>
      <c r="E50" s="14" t="inlineStr">
        <is>
          <t>Built in parity round 1</t>
        </is>
      </c>
      <c r="F50" s="12" t="inlineStr"/>
      <c r="G50" s="12" t="inlineStr">
        <is>
          <t>5.06</t>
        </is>
      </c>
      <c r="H50" s="12" t="inlineStr"/>
      <c r="I50" s="17" t="n"/>
      <c r="J50" s="17" t="n"/>
    </row>
    <row r="51">
      <c r="A51" s="12" t="inlineStr">
        <is>
          <t>Leads</t>
        </is>
      </c>
      <c r="B51" s="12" t="inlineStr">
        <is>
          <t>MM-15</t>
        </is>
      </c>
      <c r="C51" s="12" t="inlineStr">
        <is>
          <t>Mismatches</t>
        </is>
      </c>
      <c r="D51" s="14" t="inlineStr">
        <is>
          <t>Required Area / District field</t>
        </is>
      </c>
      <c r="E51" s="14" t="inlineStr">
        <is>
          <t>Built in parity round 1</t>
        </is>
      </c>
      <c r="F51" s="12" t="inlineStr">
        <is>
          <t>District is an optional select of five regions (Q-12)</t>
        </is>
      </c>
      <c r="G51" s="12" t="inlineStr">
        <is>
          <t>4.04</t>
        </is>
      </c>
      <c r="H51" s="12" t="inlineStr"/>
      <c r="I51" s="17" t="n"/>
      <c r="J51" s="17" t="n"/>
    </row>
    <row r="52">
      <c r="A52" s="12" t="inlineStr">
        <is>
          <t>Leads</t>
        </is>
      </c>
      <c r="B52" s="12" t="inlineStr">
        <is>
          <t>MM-16</t>
        </is>
      </c>
      <c r="C52" s="12" t="inlineStr">
        <is>
          <t>Mismatches</t>
        </is>
      </c>
      <c r="D52" s="14" t="inlineStr">
        <is>
          <t>In person channel and Not interested outcome</t>
        </is>
      </c>
      <c r="E52" s="14" t="inlineStr">
        <is>
          <t>Built in parity round 1</t>
        </is>
      </c>
      <c r="F52" s="12" t="inlineStr"/>
      <c r="G52" s="12" t="inlineStr">
        <is>
          <t>5.07, 5.08</t>
        </is>
      </c>
      <c r="H52" s="12" t="inlineStr"/>
      <c r="I52" s="17" t="n"/>
      <c r="J52" s="17" t="n"/>
    </row>
    <row r="53">
      <c r="A53" s="12" t="inlineStr">
        <is>
          <t>Leads</t>
        </is>
      </c>
      <c r="B53" s="12" t="inlineStr">
        <is>
          <t>MM-17</t>
        </is>
      </c>
      <c r="C53" s="12" t="inlineStr">
        <is>
          <t>Mismatches</t>
        </is>
      </c>
      <c r="D53" s="14" t="inlineStr">
        <is>
          <t>Follow-up date with a reminder 30 minutes before</t>
        </is>
      </c>
      <c r="E53" s="14" t="inlineStr">
        <is>
          <t>Built in parity round 2</t>
        </is>
      </c>
      <c r="F53" s="12" t="inlineStr"/>
      <c r="G53" s="12" t="inlineStr">
        <is>
          <t>5.05</t>
        </is>
      </c>
      <c r="H53" s="12" t="inlineStr"/>
      <c r="I53" s="17" t="n"/>
      <c r="J53" s="17" t="n"/>
    </row>
    <row r="54">
      <c r="A54" s="12" t="inlineStr">
        <is>
          <t>Leads</t>
        </is>
      </c>
      <c r="B54" s="12" t="inlineStr">
        <is>
          <t>MM-18</t>
        </is>
      </c>
      <c r="C54" s="12" t="inlineStr">
        <is>
          <t>Mismatches</t>
        </is>
      </c>
      <c r="D54" s="14" t="inlineStr">
        <is>
          <t>Activity keeps removals and deletions</t>
        </is>
      </c>
      <c r="E54" s="14" t="inlineStr">
        <is>
          <t>Built in parity round 7</t>
        </is>
      </c>
      <c r="F54" s="12" t="inlineStr"/>
      <c r="G54" s="12" t="inlineStr">
        <is>
          <t>5.22, 11.10</t>
        </is>
      </c>
      <c r="H54" s="12" t="inlineStr"/>
      <c r="I54" s="17" t="n"/>
      <c r="J54" s="17" t="n"/>
    </row>
    <row r="55">
      <c r="A55" s="12" t="inlineStr">
        <is>
          <t>Leads</t>
        </is>
      </c>
      <c r="B55" s="12" t="inlineStr">
        <is>
          <t>MM-19</t>
        </is>
      </c>
      <c r="C55" s="12" t="inlineStr">
        <is>
          <t>Mismatches</t>
        </is>
      </c>
      <c r="D55" s="14" t="inlineStr">
        <is>
          <t>Bulk assign that replaces members</t>
        </is>
      </c>
      <c r="E55" s="14" t="inlineStr">
        <is>
          <t>Built in parity round 4</t>
        </is>
      </c>
      <c r="F55" s="12" t="inlineStr">
        <is>
          <t>Adds members to the selected leads; never replaces (Q-31)</t>
        </is>
      </c>
      <c r="G55" s="12" t="inlineStr">
        <is>
          <t>4.18</t>
        </is>
      </c>
      <c r="H55" s="12" t="inlineStr"/>
      <c r="I55" s="17" t="n"/>
      <c r="J55" s="17" t="n"/>
    </row>
    <row r="56">
      <c r="A56" s="12" t="inlineStr">
        <is>
          <t>Leads</t>
        </is>
      </c>
      <c r="B56" s="12" t="inlineStr">
        <is>
          <t>MM-20</t>
        </is>
      </c>
      <c r="C56" s="12" t="inlineStr">
        <is>
          <t>Mismatches</t>
        </is>
      </c>
      <c r="D56" s="14" t="inlineStr">
        <is>
          <t>Budget outside 1,000–5,000,000 refused</t>
        </is>
      </c>
      <c r="E56" s="14" t="inlineStr">
        <is>
          <t>Built in parity round 1</t>
        </is>
      </c>
      <c r="F56" s="12" t="inlineStr"/>
      <c r="G56" s="12" t="inlineStr">
        <is>
          <t>4.04</t>
        </is>
      </c>
      <c r="H56" s="12" t="inlineStr"/>
      <c r="I56" s="17" t="n"/>
      <c r="J56" s="17" t="n"/>
    </row>
    <row r="57">
      <c r="A57" s="12" t="inlineStr">
        <is>
          <t>Leads</t>
        </is>
      </c>
      <c r="B57" s="12" t="inlineStr">
        <is>
          <t>MM-21</t>
        </is>
      </c>
      <c r="C57" s="12" t="inlineStr">
        <is>
          <t>Mismatches</t>
        </is>
      </c>
      <c r="D57" s="14" t="inlineStr">
        <is>
          <t>Five required fields</t>
        </is>
      </c>
      <c r="E57" s="14" t="inlineStr">
        <is>
          <t>Not built — by design</t>
        </is>
      </c>
      <c r="F57" s="12" t="inlineStr">
        <is>
          <t>Two required fields kept (Q-15)</t>
        </is>
      </c>
      <c r="G57" s="12" t="inlineStr">
        <is>
          <t>4.04</t>
        </is>
      </c>
      <c r="H57" s="12" t="inlineStr"/>
      <c r="I57" s="17" t="n"/>
      <c r="J57" s="17" t="n"/>
    </row>
    <row r="58">
      <c r="A58" s="12" t="inlineStr">
        <is>
          <t>Leads</t>
        </is>
      </c>
      <c r="B58" s="12" t="inlineStr">
        <is>
          <t>MM-22</t>
        </is>
      </c>
      <c r="C58" s="12" t="inlineStr">
        <is>
          <t>Mismatches</t>
        </is>
      </c>
      <c r="D58" s="14" t="inlineStr">
        <is>
          <t>First and last name</t>
        </is>
      </c>
      <c r="E58" s="14" t="inlineStr">
        <is>
          <t>Not built — by design</t>
        </is>
      </c>
      <c r="F58" s="12" t="inlineStr">
        <is>
          <t>One Lead name field (Q-13)</t>
        </is>
      </c>
      <c r="G58" s="12" t="inlineStr">
        <is>
          <t>4.04</t>
        </is>
      </c>
      <c r="H58" s="12" t="inlineStr"/>
      <c r="I58" s="17" t="n"/>
      <c r="J58" s="17" t="n"/>
    </row>
    <row r="59">
      <c r="A59" s="12" t="inlineStr">
        <is>
          <t>Leads</t>
        </is>
      </c>
      <c r="B59" s="12" t="inlineStr">
        <is>
          <t>MM-23</t>
        </is>
      </c>
      <c r="C59" s="12" t="inlineStr">
        <is>
          <t>Mismatches</t>
        </is>
      </c>
      <c r="D59" s="14" t="inlineStr">
        <is>
          <t>Remarks and Additional info</t>
        </is>
      </c>
      <c r="E59" s="14" t="inlineStr">
        <is>
          <t>Not built — by design</t>
        </is>
      </c>
      <c r="F59" s="12" t="inlineStr">
        <is>
          <t>Remarks only (Q-16)</t>
        </is>
      </c>
      <c r="G59" s="12" t="inlineStr"/>
      <c r="H59" s="12" t="inlineStr"/>
      <c r="I59" s="17" t="n"/>
      <c r="J59" s="17" t="n"/>
    </row>
    <row r="60">
      <c r="A60" s="12" t="inlineStr">
        <is>
          <t>Leads</t>
        </is>
      </c>
      <c r="B60" s="12" t="inlineStr">
        <is>
          <t>MM-24</t>
        </is>
      </c>
      <c r="C60" s="12" t="inlineStr">
        <is>
          <t>Mismatches</t>
        </is>
      </c>
      <c r="D60" s="14" t="inlineStr">
        <is>
          <t>Portal invite stored, with resend</t>
        </is>
      </c>
      <c r="E60" s="14" t="inlineStr">
        <is>
          <t>Built in parity round 3</t>
        </is>
      </c>
      <c r="F60" s="12" t="inlineStr"/>
      <c r="G60" s="12" t="inlineStr">
        <is>
          <t>5.18, 9.13</t>
        </is>
      </c>
      <c r="H60" s="12" t="inlineStr"/>
      <c r="I60" s="17" t="n"/>
      <c r="J60" s="17" t="n"/>
    </row>
    <row r="61">
      <c r="A61" s="12" t="inlineStr">
        <is>
          <t>Leads</t>
        </is>
      </c>
      <c r="B61" s="12" t="inlineStr">
        <is>
          <t>MM-25</t>
        </is>
      </c>
      <c r="C61" s="12" t="inlineStr">
        <is>
          <t>Mismatches</t>
        </is>
      </c>
      <c r="D61" s="14" t="inlineStr">
        <is>
          <t>Studio question bank, client answers, history</t>
        </is>
      </c>
      <c r="E61" s="14" t="inlineStr">
        <is>
          <t>Built in parity round 6</t>
        </is>
      </c>
      <c r="F61" s="12" t="inlineStr">
        <is>
          <t>Answer history not built, by design</t>
        </is>
      </c>
      <c r="G61" s="12" t="inlineStr">
        <is>
          <t>3.37, 5.17</t>
        </is>
      </c>
      <c r="H61" s="12" t="inlineStr"/>
      <c r="I61" s="17" t="n"/>
      <c r="J61" s="17" t="n"/>
    </row>
    <row r="62">
      <c r="A62" s="12" t="inlineStr">
        <is>
          <t>Leads</t>
        </is>
      </c>
      <c r="B62" s="12" t="inlineStr">
        <is>
          <t>MM-26</t>
        </is>
      </c>
      <c r="C62" s="12" t="inlineStr">
        <is>
          <t>Mismatches</t>
        </is>
      </c>
      <c r="D62" s="14" t="inlineStr">
        <is>
          <t>Events: status changed, follow-up, hold, questionnaire</t>
        </is>
      </c>
      <c r="E62" s="14" t="inlineStr">
        <is>
          <t>Built in parity round 2</t>
        </is>
      </c>
      <c r="F62" s="12" t="inlineStr"/>
      <c r="G62" s="12" t="inlineStr">
        <is>
          <t>2.32, 11.04</t>
        </is>
      </c>
      <c r="H62" s="12" t="inlineStr"/>
      <c r="I62" s="17" t="n"/>
      <c r="J62" s="17" t="n"/>
    </row>
    <row r="63">
      <c r="A63" s="12" t="inlineStr">
        <is>
          <t>Leads</t>
        </is>
      </c>
      <c r="B63" s="12" t="inlineStr">
        <is>
          <t>MM-27</t>
        </is>
      </c>
      <c r="C63" s="12" t="inlineStr">
        <is>
          <t>Mismatches</t>
        </is>
      </c>
      <c r="D63" s="14" t="inlineStr">
        <is>
          <t>Signed creates a draft project</t>
        </is>
      </c>
      <c r="E63" s="14" t="inlineStr">
        <is>
          <t>Later</t>
        </is>
      </c>
      <c r="F63" s="12" t="inlineStr">
        <is>
          <t>Projects module</t>
        </is>
      </c>
      <c r="G63" s="12" t="inlineStr">
        <is>
          <t>9.04</t>
        </is>
      </c>
      <c r="H63" s="12" t="inlineStr"/>
      <c r="I63" s="17" t="n"/>
      <c r="J63" s="17" t="n"/>
    </row>
    <row r="64">
      <c r="A64" s="12" t="inlineStr">
        <is>
          <t>Leads</t>
        </is>
      </c>
      <c r="B64" s="12" t="inlineStr">
        <is>
          <t>MM-28</t>
        </is>
      </c>
      <c r="C64" s="12" t="inlineStr">
        <is>
          <t>Mismatches</t>
        </is>
      </c>
      <c r="D64" s="14" t="inlineStr">
        <is>
          <t>Closing a lead cancels its open tasks</t>
        </is>
      </c>
      <c r="E64" s="14" t="inlineStr">
        <is>
          <t>Not built — by design</t>
        </is>
      </c>
      <c r="F64" s="12" t="inlineStr">
        <is>
          <t>Lost keeps tasks; their notifications stop instead (Q-29)</t>
        </is>
      </c>
      <c r="G64" s="12" t="inlineStr"/>
      <c r="H64" s="12" t="inlineStr"/>
      <c r="I64" s="17" t="n"/>
      <c r="J64" s="17" t="n"/>
    </row>
    <row r="65">
      <c r="A65" s="12" t="inlineStr">
        <is>
          <t>Leads</t>
        </is>
      </c>
      <c r="B65" s="12" t="inlineStr">
        <is>
          <t>MM-29</t>
        </is>
      </c>
      <c r="C65" s="12" t="inlineStr">
        <is>
          <t>Mismatches</t>
        </is>
      </c>
      <c r="D65" s="14" t="inlineStr">
        <is>
          <t>Changing a lead's members moves its tasks</t>
        </is>
      </c>
      <c r="E65" s="14" t="inlineStr">
        <is>
          <t>Not built — by design</t>
        </is>
      </c>
      <c r="F65" s="12" t="inlineStr">
        <is>
          <t>Tasks keep their own members (Q-32)</t>
        </is>
      </c>
      <c r="G65" s="12" t="inlineStr"/>
      <c r="H65" s="12" t="inlineStr"/>
      <c r="I65" s="17" t="n"/>
      <c r="J65" s="17" t="n"/>
    </row>
    <row r="66">
      <c r="A66" s="12" t="inlineStr">
        <is>
          <t>Leads</t>
        </is>
      </c>
      <c r="B66" s="12" t="inlineStr">
        <is>
          <t>MM-30</t>
        </is>
      </c>
      <c r="C66" s="12" t="inlineStr">
        <is>
          <t>Mismatches</t>
        </is>
      </c>
      <c r="D66" s="14" t="inlineStr">
        <is>
          <t>Undo after closing a lead</t>
        </is>
      </c>
      <c r="E66" s="14" t="inlineStr">
        <is>
          <t>Built in parity round 1</t>
        </is>
      </c>
      <c r="F66" s="12" t="inlineStr"/>
      <c r="G66" s="12" t="inlineStr">
        <is>
          <t>9.09</t>
        </is>
      </c>
      <c r="H66" s="12" t="inlineStr"/>
      <c r="I66" s="17" t="n"/>
      <c r="J66" s="17" t="n"/>
    </row>
    <row r="67">
      <c r="A67" s="12" t="inlineStr">
        <is>
          <t>Leads</t>
        </is>
      </c>
      <c r="B67" s="12" t="inlineStr">
        <is>
          <t>MM-31</t>
        </is>
      </c>
      <c r="C67" s="12" t="inlineStr">
        <is>
          <t>Mismatches</t>
        </is>
      </c>
      <c r="D67" s="14" t="inlineStr">
        <is>
          <t>Archive blocked while a signing link is live</t>
        </is>
      </c>
      <c r="E67" s="14" t="inlineStr">
        <is>
          <t>Built in parity round 1</t>
        </is>
      </c>
      <c r="F67" s="12" t="inlineStr">
        <is>
          <t>Delete now warns about live signing links (Q-04)</t>
        </is>
      </c>
      <c r="G67" s="12" t="inlineStr">
        <is>
          <t>9.14</t>
        </is>
      </c>
      <c r="H67" s="12" t="inlineStr"/>
      <c r="I67" s="17" t="n"/>
      <c r="J67" s="17" t="n"/>
    </row>
    <row r="68">
      <c r="A68" s="12" t="inlineStr">
        <is>
          <t>Leads</t>
        </is>
      </c>
      <c r="B68" s="12" t="inlineStr">
        <is>
          <t>MM-32</t>
        </is>
      </c>
      <c r="C68" s="12" t="inlineStr">
        <is>
          <t>Mismatches</t>
        </is>
      </c>
      <c r="D68" s="14" t="inlineStr">
        <is>
          <t>Six project types</t>
        </is>
      </c>
      <c r="E68" s="14" t="inlineStr">
        <is>
          <t>Not built — by design</t>
        </is>
      </c>
      <c r="F68" s="12" t="inlineStr">
        <is>
          <t>The Won step keeps its three project types (Q-34)</t>
        </is>
      </c>
      <c r="G68" s="12" t="inlineStr">
        <is>
          <t>9.04</t>
        </is>
      </c>
      <c r="H68" s="12" t="inlineStr"/>
      <c r="I68" s="17" t="n"/>
      <c r="J68" s="17" t="n"/>
    </row>
    <row r="69">
      <c r="A69" s="12" t="inlineStr">
        <is>
          <t>Leads</t>
        </is>
      </c>
      <c r="B69" s="12" t="inlineStr">
        <is>
          <t>MM-33</t>
        </is>
      </c>
      <c r="C69" s="12" t="inlineStr">
        <is>
          <t>Mismatches</t>
        </is>
      </c>
      <c r="D69" s="14" t="inlineStr">
        <is>
          <t>Attach files when creating a lead</t>
        </is>
      </c>
      <c r="E69" s="14" t="inlineStr">
        <is>
          <t>Built in parity round 3</t>
        </is>
      </c>
      <c r="F69" s="12" t="inlineStr"/>
      <c r="G69" s="12" t="inlineStr">
        <is>
          <t>4.05</t>
        </is>
      </c>
      <c r="H69" s="12" t="inlineStr"/>
      <c r="I69" s="17" t="n"/>
      <c r="J69" s="17" t="n"/>
    </row>
    <row r="70">
      <c r="A70" s="12" t="inlineStr">
        <is>
          <t>Leads</t>
        </is>
      </c>
      <c r="B70" s="12" t="inlineStr">
        <is>
          <t>MM-34</t>
        </is>
      </c>
      <c r="C70" s="12" t="inlineStr">
        <is>
          <t>Mismatches</t>
        </is>
      </c>
      <c r="D70" s="14" t="inlineStr">
        <is>
          <t>Custom lead fields</t>
        </is>
      </c>
      <c r="E70" s="14" t="inlineStr">
        <is>
          <t>Built in parity round 6</t>
        </is>
      </c>
      <c r="F70" s="12" t="inlineStr"/>
      <c r="G70" s="12" t="inlineStr">
        <is>
          <t>2.22</t>
        </is>
      </c>
      <c r="H70" s="12" t="inlineStr"/>
      <c r="I70" s="17" t="n"/>
      <c r="J70" s="17" t="n"/>
    </row>
    <row r="71">
      <c r="A71" s="12" t="inlineStr">
        <is>
          <t>Leads</t>
        </is>
      </c>
      <c r="B71" s="12" t="inlineStr">
        <is>
          <t>MM-35</t>
        </is>
      </c>
      <c r="C71" s="12" t="inlineStr">
        <is>
          <t>Mismatches</t>
        </is>
      </c>
      <c r="D71" s="14" t="inlineStr">
        <is>
          <t>IC / NRIC, Customer ID and quote facts on the lead</t>
        </is>
      </c>
      <c r="E71" s="14" t="inlineStr">
        <is>
          <t>Built in parity round 1</t>
        </is>
      </c>
      <c r="F71" s="12" t="inlineStr">
        <is>
          <t>NRIC and Customer ID on the lead; quote status stays per quote</t>
        </is>
      </c>
      <c r="G71" s="12" t="inlineStr">
        <is>
          <t>5.06</t>
        </is>
      </c>
      <c r="H71" s="12" t="inlineStr"/>
      <c r="I71" s="17" t="n"/>
      <c r="J71" s="17" t="n"/>
    </row>
    <row r="72">
      <c r="A72" s="12" t="inlineStr">
        <is>
          <t>Leads</t>
        </is>
      </c>
      <c r="B72" s="12" t="inlineStr">
        <is>
          <t>MM-36</t>
        </is>
      </c>
      <c r="C72" s="12" t="inlineStr">
        <is>
          <t>Mismatches</t>
        </is>
      </c>
      <c r="D72" s="14" t="inlineStr">
        <is>
          <t>Search by name, area, phone, email</t>
        </is>
      </c>
      <c r="E72" s="14" t="inlineStr">
        <is>
          <t>Built</t>
        </is>
      </c>
      <c r="F72" s="12" t="inlineStr"/>
      <c r="G72" s="12" t="inlineStr">
        <is>
          <t>4.16</t>
        </is>
      </c>
      <c r="H72" s="12" t="inlineStr"/>
      <c r="I72" s="17" t="n"/>
      <c r="J72" s="17" t="n"/>
    </row>
    <row r="73">
      <c r="A73" s="12" t="inlineStr">
        <is>
          <t>Leads</t>
        </is>
      </c>
      <c r="B73" s="12" t="inlineStr">
        <is>
          <t>MM-37</t>
        </is>
      </c>
      <c r="C73" s="12" t="inlineStr">
        <is>
          <t>Mismatches</t>
        </is>
      </c>
      <c r="D73" s="14" t="inlineStr">
        <is>
          <t>Kanban with four bucket columns</t>
        </is>
      </c>
      <c r="E73" s="14" t="inlineStr">
        <is>
          <t>Built</t>
        </is>
      </c>
      <c r="F73" s="12" t="inlineStr"/>
      <c r="G73" s="12" t="inlineStr">
        <is>
          <t>4.23</t>
        </is>
      </c>
      <c r="H73" s="12" t="inlineStr"/>
      <c r="I73" s="17" t="n"/>
      <c r="J73" s="17" t="n"/>
    </row>
    <row r="74">
      <c r="A74" s="12" t="inlineStr">
        <is>
          <t>Leads</t>
        </is>
      </c>
      <c r="B74" s="12" t="inlineStr">
        <is>
          <t>MM-38</t>
        </is>
      </c>
      <c r="C74" s="12" t="inlineStr">
        <is>
          <t>Mismatches</t>
        </is>
      </c>
      <c r="D74" s="14" t="inlineStr">
        <is>
          <t>Portal emails Homereno, Houzz, Renopedia as sources</t>
        </is>
      </c>
      <c r="E74" s="14" t="inlineStr">
        <is>
          <t>Built in parity round 1</t>
        </is>
      </c>
      <c r="F74" s="12" t="inlineStr"/>
      <c r="G74" s="12" t="inlineStr">
        <is>
          <t>4.14</t>
        </is>
      </c>
      <c r="H74" s="12" t="inlineStr"/>
      <c r="I74" s="17" t="n"/>
      <c r="J74" s="17" t="n"/>
    </row>
    <row r="75">
      <c r="A75" s="12" t="inlineStr">
        <is>
          <t>Leads</t>
        </is>
      </c>
      <c r="B75" s="12" t="inlineStr">
        <is>
          <t>L-01</t>
        </is>
      </c>
      <c r="C75" s="12" t="inlineStr">
        <is>
          <t>Listing</t>
        </is>
      </c>
      <c r="D75" s="14" t="inlineStr">
        <is>
          <t>Lead list with counts</t>
        </is>
      </c>
      <c r="E75" s="14" t="inlineStr">
        <is>
          <t>Built</t>
        </is>
      </c>
      <c r="F75" s="12" t="inlineStr"/>
      <c r="G75" s="12" t="inlineStr">
        <is>
          <t>1.03, 4.21</t>
        </is>
      </c>
      <c r="H75" s="12" t="inlineStr"/>
      <c r="I75" s="17" t="n"/>
      <c r="J75" s="17" t="n"/>
    </row>
    <row r="76">
      <c r="A76" s="12" t="inlineStr">
        <is>
          <t>Leads</t>
        </is>
      </c>
      <c r="B76" s="12" t="inlineStr">
        <is>
          <t>L-02</t>
        </is>
      </c>
      <c r="C76" s="12" t="inlineStr">
        <is>
          <t>Listing</t>
        </is>
      </c>
      <c r="D76" s="14" t="inlineStr">
        <is>
          <t>Kanban, list and Performance views</t>
        </is>
      </c>
      <c r="E76" s="14" t="inlineStr">
        <is>
          <t>Built in parity round 5</t>
        </is>
      </c>
      <c r="F76" s="12" t="inlineStr">
        <is>
          <t>Performance became Leads › Insights</t>
        </is>
      </c>
      <c r="G76" s="12" t="inlineStr">
        <is>
          <t>4.23</t>
        </is>
      </c>
      <c r="H76" s="12" t="inlineStr"/>
      <c r="I76" s="17" t="n"/>
      <c r="J76" s="17" t="n"/>
    </row>
    <row r="77">
      <c r="A77" s="12" t="inlineStr">
        <is>
          <t>Leads</t>
        </is>
      </c>
      <c r="B77" s="12" t="inlineStr">
        <is>
          <t>L-03</t>
        </is>
      </c>
      <c r="C77" s="12" t="inlineStr">
        <is>
          <t>Listing</t>
        </is>
      </c>
      <c r="D77" s="14" t="inlineStr">
        <is>
          <t>Kanban board of the pipeline</t>
        </is>
      </c>
      <c r="E77" s="14" t="inlineStr">
        <is>
          <t>Built</t>
        </is>
      </c>
      <c r="F77" s="12" t="inlineStr"/>
      <c r="G77" s="12" t="inlineStr">
        <is>
          <t>4.23</t>
        </is>
      </c>
      <c r="H77" s="12" t="inlineStr"/>
      <c r="I77" s="17" t="n"/>
      <c r="J77" s="17" t="n"/>
    </row>
    <row r="78">
      <c r="A78" s="12" t="inlineStr">
        <is>
          <t>Leads</t>
        </is>
      </c>
      <c r="B78" s="12" t="inlineStr">
        <is>
          <t>L-04</t>
        </is>
      </c>
      <c r="C78" s="12" t="inlineStr">
        <is>
          <t>Listing</t>
        </is>
      </c>
      <c r="D78" s="14" t="inlineStr">
        <is>
          <t>Collapse a kanban column, remembered</t>
        </is>
      </c>
      <c r="E78" s="14" t="inlineStr">
        <is>
          <t>Not built — by design</t>
        </is>
      </c>
      <c r="F78" s="12" t="inlineStr">
        <is>
          <t>The mock's bands collapse; single columns do not</t>
        </is>
      </c>
      <c r="G78" s="12" t="inlineStr"/>
      <c r="H78" s="12" t="inlineStr"/>
      <c r="I78" s="17" t="n"/>
      <c r="J78" s="17" t="n"/>
    </row>
    <row r="79">
      <c r="A79" s="12" t="inlineStr">
        <is>
          <t>Leads</t>
        </is>
      </c>
      <c r="B79" s="12" t="inlineStr">
        <is>
          <t>L-05</t>
        </is>
      </c>
      <c r="C79" s="12" t="inlineStr">
        <is>
          <t>Listing</t>
        </is>
      </c>
      <c r="D79" s="14" t="inlineStr">
        <is>
          <t>Status filter inside each kanban column</t>
        </is>
      </c>
      <c r="E79" s="14" t="inlineStr">
        <is>
          <t>Excluded</t>
        </is>
      </c>
      <c r="F79" s="12" t="inlineStr">
        <is>
          <t>Needs sub-statuses, which 2.0 dropped (Q-01)</t>
        </is>
      </c>
      <c r="G79" s="12" t="inlineStr"/>
      <c r="H79" s="12" t="inlineStr"/>
      <c r="I79" s="17" t="n"/>
      <c r="J79" s="17" t="n"/>
    </row>
    <row r="80">
      <c r="A80" s="12" t="inlineStr">
        <is>
          <t>Leads</t>
        </is>
      </c>
      <c r="B80" s="12" t="inlineStr">
        <is>
          <t>L-06</t>
        </is>
      </c>
      <c r="C80" s="12" t="inlineStr">
        <is>
          <t>Listing</t>
        </is>
      </c>
      <c r="D80" s="14" t="inlineStr">
        <is>
          <t>What a lead card shows</t>
        </is>
      </c>
      <c r="E80" s="14" t="inlineStr">
        <is>
          <t>Built</t>
        </is>
      </c>
      <c r="F80" s="12" t="inlineStr"/>
      <c r="G80" s="12" t="inlineStr">
        <is>
          <t>5.23, 12.02</t>
        </is>
      </c>
      <c r="H80" s="12" t="inlineStr"/>
      <c r="I80" s="17" t="n"/>
      <c r="J80" s="17" t="n"/>
    </row>
    <row r="81">
      <c r="A81" s="12" t="inlineStr">
        <is>
          <t>Leads</t>
        </is>
      </c>
      <c r="B81" s="12" t="inlineStr">
        <is>
          <t>L-07</t>
        </is>
      </c>
      <c r="C81" s="12" t="inlineStr">
        <is>
          <t>Listing</t>
        </is>
      </c>
      <c r="D81" s="14" t="inlineStr">
        <is>
          <t>List view columns</t>
        </is>
      </c>
      <c r="E81" s="14" t="inlineStr">
        <is>
          <t>Built in parity round 1</t>
        </is>
      </c>
      <c r="F81" s="12" t="inlineStr">
        <is>
          <t>District column in round 1; Next follow-up column in round 2</t>
        </is>
      </c>
      <c r="G81" s="12" t="inlineStr">
        <is>
          <t>1.03, 4.22, 5.23</t>
        </is>
      </c>
      <c r="H81" s="12" t="inlineStr"/>
      <c r="I81" s="17" t="n"/>
      <c r="J81" s="17" t="n"/>
    </row>
    <row r="82">
      <c r="A82" s="12" t="inlineStr">
        <is>
          <t>Leads</t>
        </is>
      </c>
      <c r="B82" s="12" t="inlineStr">
        <is>
          <t>L-08</t>
        </is>
      </c>
      <c r="C82" s="12" t="inlineStr">
        <is>
          <t>Listing</t>
        </is>
      </c>
      <c r="D82" s="14" t="inlineStr">
        <is>
          <t>Open a lead from a link</t>
        </is>
      </c>
      <c r="E82" s="14" t="inlineStr">
        <is>
          <t>Built</t>
        </is>
      </c>
      <c r="F82" s="12" t="inlineStr"/>
      <c r="G82" s="12" t="inlineStr">
        <is>
          <t>5.01, 11.05</t>
        </is>
      </c>
      <c r="H82" s="12" t="inlineStr"/>
      <c r="I82" s="17" t="n"/>
      <c r="J82" s="17" t="n"/>
    </row>
    <row r="83">
      <c r="A83" s="12" t="inlineStr">
        <is>
          <t>Leads</t>
        </is>
      </c>
      <c r="B83" s="12" t="inlineStr">
        <is>
          <t>L-09</t>
        </is>
      </c>
      <c r="C83" s="12" t="inlineStr">
        <is>
          <t>Listing</t>
        </is>
      </c>
      <c r="D83" s="14" t="inlineStr">
        <is>
          <t>Follow-up badge: today, overdue, in n days</t>
        </is>
      </c>
      <c r="E83" s="14" t="inlineStr">
        <is>
          <t>Built in parity round 2</t>
        </is>
      </c>
      <c r="F83" s="12" t="inlineStr"/>
      <c r="G83" s="12" t="inlineStr">
        <is>
          <t>5.05, 5.21, 5.23</t>
        </is>
      </c>
      <c r="H83" s="12" t="inlineStr"/>
      <c r="I83" s="17" t="n"/>
      <c r="J83" s="17" t="n"/>
    </row>
    <row r="84">
      <c r="A84" s="12" t="inlineStr">
        <is>
          <t>Leads</t>
        </is>
      </c>
      <c r="B84" s="12" t="inlineStr">
        <is>
          <t>L-10</t>
        </is>
      </c>
      <c r="C84" s="12" t="inlineStr">
        <is>
          <t>Listing</t>
        </is>
      </c>
      <c r="D84" s="14" t="inlineStr">
        <is>
          <t>On Hold badge with the restart date</t>
        </is>
      </c>
      <c r="E84" s="14" t="inlineStr">
        <is>
          <t>Built</t>
        </is>
      </c>
      <c r="F84" s="12" t="inlineStr"/>
      <c r="G84" s="12" t="inlineStr">
        <is>
          <t>9.05</t>
        </is>
      </c>
      <c r="H84" s="12" t="inlineStr"/>
      <c r="I84" s="17" t="n"/>
      <c r="J84" s="17" t="n"/>
    </row>
    <row r="85">
      <c r="A85" s="12" t="inlineStr">
        <is>
          <t>Leads</t>
        </is>
      </c>
      <c r="B85" s="12" t="inlineStr">
        <is>
          <t>L-11</t>
        </is>
      </c>
      <c r="C85" s="12" t="inlineStr">
        <is>
          <t>Listing</t>
        </is>
      </c>
      <c r="D85" s="14" t="inlineStr">
        <is>
          <t>Needs-attention and duplicate flags</t>
        </is>
      </c>
      <c r="E85" s="14" t="inlineStr">
        <is>
          <t>Built</t>
        </is>
      </c>
      <c r="F85" s="12" t="inlineStr"/>
      <c r="G85" s="12" t="inlineStr">
        <is>
          <t>4.10</t>
        </is>
      </c>
      <c r="H85" s="12" t="inlineStr"/>
      <c r="I85" s="17" t="n"/>
      <c r="J85" s="17" t="n"/>
    </row>
    <row r="86">
      <c r="A86" s="12" t="inlineStr">
        <is>
          <t>Leads</t>
        </is>
      </c>
      <c r="B86" s="12" t="inlineStr">
        <is>
          <t>L-12</t>
        </is>
      </c>
      <c r="C86" s="12" t="inlineStr">
        <is>
          <t>Listing</t>
        </is>
      </c>
      <c r="D86" s="14" t="inlineStr">
        <is>
          <t>Commission pending badge</t>
        </is>
      </c>
      <c r="E86" s="14" t="inlineStr">
        <is>
          <t>Later</t>
        </is>
      </c>
      <c r="F86" s="12" t="inlineStr">
        <is>
          <t>Projects module</t>
        </is>
      </c>
      <c r="G86" s="12" t="inlineStr"/>
      <c r="H86" s="12" t="inlineStr"/>
      <c r="I86" s="17" t="n"/>
      <c r="J86" s="17" t="n"/>
    </row>
    <row r="87">
      <c r="A87" s="12" t="inlineStr">
        <is>
          <t>Leads</t>
        </is>
      </c>
      <c r="B87" s="12" t="inlineStr">
        <is>
          <t>L-13</t>
        </is>
      </c>
      <c r="C87" s="12" t="inlineStr">
        <is>
          <t>Listing</t>
        </is>
      </c>
      <c r="D87" s="14" t="inlineStr">
        <is>
          <t>Journey intro banner and mini-rail</t>
        </is>
      </c>
      <c r="E87" s="14" t="inlineStr">
        <is>
          <t>Excluded</t>
        </is>
      </c>
      <c r="F87" s="12" t="inlineStr">
        <is>
          <t>Journey mode excluded by the owner</t>
        </is>
      </c>
      <c r="G87" s="12" t="inlineStr"/>
      <c r="H87" s="12" t="inlineStr"/>
      <c r="I87" s="17" t="n"/>
      <c r="J87" s="17" t="n"/>
    </row>
    <row r="88">
      <c r="A88" s="12" t="inlineStr">
        <is>
          <t>Leads</t>
        </is>
      </c>
      <c r="B88" s="12" t="inlineStr">
        <is>
          <t>L-14</t>
        </is>
      </c>
      <c r="C88" s="12" t="inlineStr">
        <is>
          <t>Listing</t>
        </is>
      </c>
      <c r="D88" s="14" t="inlineStr">
        <is>
          <t>Back to top button</t>
        </is>
      </c>
      <c r="E88" s="14" t="inlineStr">
        <is>
          <t>Not built — by design</t>
        </is>
      </c>
      <c r="F88" s="12" t="inlineStr">
        <is>
          <t>Not proposed; the sticky header is enough</t>
        </is>
      </c>
      <c r="G88" s="12" t="inlineStr"/>
      <c r="H88" s="12" t="inlineStr"/>
      <c r="I88" s="17" t="n"/>
      <c r="J88" s="17" t="n"/>
    </row>
    <row r="89">
      <c r="A89" s="12" t="inlineStr">
        <is>
          <t>Leads</t>
        </is>
      </c>
      <c r="B89" s="12" t="inlineStr">
        <is>
          <t>L-15</t>
        </is>
      </c>
      <c r="C89" s="12" t="inlineStr">
        <is>
          <t>Listing</t>
        </is>
      </c>
      <c r="D89" s="14" t="inlineStr">
        <is>
          <t>Page context handed to the AI assistant</t>
        </is>
      </c>
      <c r="E89" s="14" t="inlineStr">
        <is>
          <t>Built</t>
        </is>
      </c>
      <c r="F89" s="12" t="inlineStr"/>
      <c r="G89" s="12" t="inlineStr">
        <is>
          <t>1.09</t>
        </is>
      </c>
      <c r="H89" s="12" t="inlineStr"/>
      <c r="I89" s="17" t="n"/>
      <c r="J89" s="17" t="n"/>
    </row>
    <row r="90">
      <c r="A90" s="12" t="inlineStr">
        <is>
          <t>Leads</t>
        </is>
      </c>
      <c r="B90" s="12" t="inlineStr">
        <is>
          <t>L-16</t>
        </is>
      </c>
      <c r="C90" s="12" t="inlineStr">
        <is>
          <t>Listing</t>
        </is>
      </c>
      <c r="D90" s="14" t="inlineStr">
        <is>
          <t>Press C for a new lead</t>
        </is>
      </c>
      <c r="E90" s="14" t="inlineStr">
        <is>
          <t>Built in parity round 4</t>
        </is>
      </c>
      <c r="F90" s="12" t="inlineStr"/>
      <c r="G90" s="12" t="inlineStr">
        <is>
          <t>4.01</t>
        </is>
      </c>
      <c r="H90" s="12" t="inlineStr"/>
      <c r="I90" s="17" t="n"/>
      <c r="J90" s="17" t="n"/>
    </row>
    <row r="91">
      <c r="A91" s="12" t="inlineStr">
        <is>
          <t>Leads</t>
        </is>
      </c>
      <c r="B91" s="12" t="inlineStr">
        <is>
          <t>L-17</t>
        </is>
      </c>
      <c r="C91" s="12" t="inlineStr">
        <is>
          <t>Listing</t>
        </is>
      </c>
      <c r="D91" s="14" t="inlineStr">
        <is>
          <t>Who sees which leads</t>
        </is>
      </c>
      <c r="E91" s="14" t="inlineStr">
        <is>
          <t>Built</t>
        </is>
      </c>
      <c r="F91" s="12" t="inlineStr"/>
      <c r="G91" s="12" t="inlineStr">
        <is>
          <t>2.23, 10.01, 10.03</t>
        </is>
      </c>
      <c r="H91" s="12" t="inlineStr"/>
      <c r="I91" s="17" t="n"/>
      <c r="J91" s="17" t="n"/>
    </row>
    <row r="92">
      <c r="A92" s="12" t="inlineStr">
        <is>
          <t>Leads</t>
        </is>
      </c>
      <c r="B92" s="12" t="inlineStr">
        <is>
          <t>L-18</t>
        </is>
      </c>
      <c r="C92" s="12" t="inlineStr">
        <is>
          <t>Listing</t>
        </is>
      </c>
      <c r="D92" s="14" t="inlineStr">
        <is>
          <t>Reading old statuses into positions</t>
        </is>
      </c>
      <c r="E92" s="14" t="inlineStr">
        <is>
          <t>Built</t>
        </is>
      </c>
      <c r="F92" s="12" t="inlineStr"/>
      <c r="G92" s="12" t="inlineStr"/>
      <c r="H92" s="28" t="inlineStr">
        <is>
          <t>Team check</t>
        </is>
      </c>
      <c r="I92" s="17" t="n"/>
      <c r="J92" s="17" t="n"/>
    </row>
    <row r="93">
      <c r="A93" s="12" t="inlineStr">
        <is>
          <t>Leads</t>
        </is>
      </c>
      <c r="B93" s="12" t="inlineStr">
        <is>
          <t>L-19</t>
        </is>
      </c>
      <c r="C93" s="12" t="inlineStr">
        <is>
          <t>Listing</t>
        </is>
      </c>
      <c r="D93" s="14" t="inlineStr">
        <is>
          <t>What counts as the pipeline</t>
        </is>
      </c>
      <c r="E93" s="14" t="inlineStr">
        <is>
          <t>Built</t>
        </is>
      </c>
      <c r="F93" s="12" t="inlineStr"/>
      <c r="G93" s="12" t="inlineStr">
        <is>
          <t>4.10</t>
        </is>
      </c>
      <c r="H93" s="12" t="inlineStr"/>
      <c r="I93" s="17" t="n"/>
      <c r="J93" s="17" t="n"/>
    </row>
    <row r="94">
      <c r="A94" s="12" t="inlineStr">
        <is>
          <t>Leads</t>
        </is>
      </c>
      <c r="B94" s="12" t="inlineStr">
        <is>
          <t>L-20</t>
        </is>
      </c>
      <c r="C94" s="12" t="inlineStr">
        <is>
          <t>Listing</t>
        </is>
      </c>
      <c r="D94" s="14" t="inlineStr">
        <is>
          <t>Search leads</t>
        </is>
      </c>
      <c r="E94" s="14" t="inlineStr">
        <is>
          <t>Built</t>
        </is>
      </c>
      <c r="F94" s="12" t="inlineStr"/>
      <c r="G94" s="12" t="inlineStr">
        <is>
          <t>1.04, 4.16, 12.03</t>
        </is>
      </c>
      <c r="H94" s="12" t="inlineStr"/>
      <c r="I94" s="17" t="n"/>
      <c r="J94" s="17" t="n"/>
    </row>
    <row r="95">
      <c r="A95" s="12" t="inlineStr">
        <is>
          <t>Leads</t>
        </is>
      </c>
      <c r="B95" s="12" t="inlineStr">
        <is>
          <t>L-21</t>
        </is>
      </c>
      <c r="C95" s="12" t="inlineStr">
        <is>
          <t>Listing</t>
        </is>
      </c>
      <c r="D95" s="14" t="inlineStr">
        <is>
          <t>Filter and sort panel</t>
        </is>
      </c>
      <c r="E95" s="14" t="inlineStr">
        <is>
          <t>Built in parity round 2</t>
        </is>
      </c>
      <c r="F95" s="12" t="inlineStr">
        <is>
          <t>Quick filters joined the panel in round 2</t>
        </is>
      </c>
      <c r="G95" s="12" t="inlineStr">
        <is>
          <t>4.17</t>
        </is>
      </c>
      <c r="H95" s="12" t="inlineStr"/>
      <c r="I95" s="17" t="n"/>
      <c r="J95" s="17" t="n"/>
    </row>
    <row r="96">
      <c r="A96" s="12" t="inlineStr">
        <is>
          <t>Leads</t>
        </is>
      </c>
      <c r="B96" s="12" t="inlineStr">
        <is>
          <t>L-22</t>
        </is>
      </c>
      <c r="C96" s="12" t="inlineStr">
        <is>
          <t>Listing</t>
        </is>
      </c>
      <c r="D96" s="14" t="inlineStr">
        <is>
          <t>Quick filters: overdue, unassigned, attention, hot, on hold</t>
        </is>
      </c>
      <c r="E96" s="14" t="inlineStr">
        <is>
          <t>Built in parity round 2</t>
        </is>
      </c>
      <c r="F96" s="12" t="inlineStr">
        <is>
          <t>No Hot filter (Q-10); Unseen added</t>
        </is>
      </c>
      <c r="G96" s="12" t="inlineStr">
        <is>
          <t>4.17, 12.07</t>
        </is>
      </c>
      <c r="H96" s="12" t="inlineStr"/>
      <c r="I96" s="17" t="n"/>
      <c r="J96" s="17" t="n"/>
    </row>
    <row r="97">
      <c r="A97" s="12" t="inlineStr">
        <is>
          <t>Leads</t>
        </is>
      </c>
      <c r="B97" s="12" t="inlineStr">
        <is>
          <t>L-23</t>
        </is>
      </c>
      <c r="C97" s="12" t="inlineStr">
        <is>
          <t>Listing</t>
        </is>
      </c>
      <c r="D97" s="14" t="inlineStr">
        <is>
          <t>Sort newest or oldest</t>
        </is>
      </c>
      <c r="E97" s="14" t="inlineStr">
        <is>
          <t>Built</t>
        </is>
      </c>
      <c r="F97" s="12" t="inlineStr"/>
      <c r="G97" s="12" t="inlineStr">
        <is>
          <t>4.21</t>
        </is>
      </c>
      <c r="H97" s="12" t="inlineStr"/>
      <c r="I97" s="17" t="n"/>
      <c r="J97" s="17" t="n"/>
    </row>
    <row r="98">
      <c r="A98" s="12" t="inlineStr">
        <is>
          <t>Leads</t>
        </is>
      </c>
      <c r="B98" s="12" t="inlineStr">
        <is>
          <t>L-24</t>
        </is>
      </c>
      <c r="C98" s="12" t="inlineStr">
        <is>
          <t>Listing</t>
        </is>
      </c>
      <c r="D98" s="14" t="inlineStr">
        <is>
          <t>Filter by bucket</t>
        </is>
      </c>
      <c r="E98" s="14" t="inlineStr">
        <is>
          <t>Built</t>
        </is>
      </c>
      <c r="F98" s="12" t="inlineStr"/>
      <c r="G98" s="12" t="inlineStr">
        <is>
          <t>1.05, 4.21</t>
        </is>
      </c>
      <c r="H98" s="12" t="inlineStr"/>
      <c r="I98" s="17" t="n"/>
      <c r="J98" s="17" t="n"/>
    </row>
    <row r="99">
      <c r="A99" s="12" t="inlineStr">
        <is>
          <t>Leads</t>
        </is>
      </c>
      <c r="B99" s="12" t="inlineStr">
        <is>
          <t>L-25</t>
        </is>
      </c>
      <c r="C99" s="12" t="inlineStr">
        <is>
          <t>Listing</t>
        </is>
      </c>
      <c r="D99" s="14" t="inlineStr">
        <is>
          <t>Filter by member</t>
        </is>
      </c>
      <c r="E99" s="14" t="inlineStr">
        <is>
          <t>Built</t>
        </is>
      </c>
      <c r="F99" s="12" t="inlineStr"/>
      <c r="G99" s="12" t="inlineStr">
        <is>
          <t>4.21</t>
        </is>
      </c>
      <c r="H99" s="12" t="inlineStr"/>
      <c r="I99" s="17" t="n"/>
      <c r="J99" s="17" t="n"/>
    </row>
    <row r="100">
      <c r="A100" s="12" t="inlineStr">
        <is>
          <t>Leads</t>
        </is>
      </c>
      <c r="B100" s="12" t="inlineStr">
        <is>
          <t>L-26</t>
        </is>
      </c>
      <c r="C100" s="12" t="inlineStr">
        <is>
          <t>Listing</t>
        </is>
      </c>
      <c r="D100" s="14" t="inlineStr">
        <is>
          <t>Filter by source</t>
        </is>
      </c>
      <c r="E100" s="14" t="inlineStr">
        <is>
          <t>Built</t>
        </is>
      </c>
      <c r="F100" s="12" t="inlineStr"/>
      <c r="G100" s="12" t="inlineStr">
        <is>
          <t>4.21</t>
        </is>
      </c>
      <c r="H100" s="12" t="inlineStr"/>
      <c r="I100" s="17" t="n"/>
      <c r="J100" s="17" t="n"/>
    </row>
    <row r="101">
      <c r="A101" s="12" t="inlineStr">
        <is>
          <t>Leads</t>
        </is>
      </c>
      <c r="B101" s="12" t="inlineStr">
        <is>
          <t>L-27</t>
        </is>
      </c>
      <c r="C101" s="12" t="inlineStr">
        <is>
          <t>Listing</t>
        </is>
      </c>
      <c r="D101" s="14" t="inlineStr">
        <is>
          <t>Date created filter with a 30-day default</t>
        </is>
      </c>
      <c r="E101" s="14" t="inlineStr">
        <is>
          <t>Built in parity round 4</t>
        </is>
      </c>
      <c r="F101" s="12" t="inlineStr">
        <is>
          <t>'This month' added; no default 30-day window (Q-30)</t>
        </is>
      </c>
      <c r="G101" s="12" t="inlineStr">
        <is>
          <t>4.19</t>
        </is>
      </c>
      <c r="H101" s="12" t="inlineStr"/>
      <c r="I101" s="17" t="n"/>
      <c r="J101" s="17" t="n"/>
    </row>
    <row r="102">
      <c r="A102" s="12" t="inlineStr">
        <is>
          <t>Leads</t>
        </is>
      </c>
      <c r="B102" s="12" t="inlineStr">
        <is>
          <t>L-28</t>
        </is>
      </c>
      <c r="C102" s="12" t="inlineStr">
        <is>
          <t>Listing</t>
        </is>
      </c>
      <c r="D102" s="14" t="inlineStr">
        <is>
          <t>Chips for active filters and Clear all</t>
        </is>
      </c>
      <c r="E102" s="14" t="inlineStr">
        <is>
          <t>Built</t>
        </is>
      </c>
      <c r="F102" s="12" t="inlineStr"/>
      <c r="G102" s="12" t="inlineStr">
        <is>
          <t>4.17, 4.21</t>
        </is>
      </c>
      <c r="H102" s="12" t="inlineStr"/>
      <c r="I102" s="17" t="n"/>
      <c r="J102" s="17" t="n"/>
    </row>
    <row r="103">
      <c r="A103" s="12" t="inlineStr">
        <is>
          <t>Leads</t>
        </is>
      </c>
      <c r="B103" s="12" t="inlineStr">
        <is>
          <t>L-29</t>
        </is>
      </c>
      <c r="C103" s="12" t="inlineStr">
        <is>
          <t>Listing</t>
        </is>
      </c>
      <c r="D103" s="14" t="inlineStr">
        <is>
          <t>Active filter count</t>
        </is>
      </c>
      <c r="E103" s="14" t="inlineStr">
        <is>
          <t>Built</t>
        </is>
      </c>
      <c r="F103" s="12" t="inlineStr"/>
      <c r="G103" s="12" t="inlineStr">
        <is>
          <t>4.17</t>
        </is>
      </c>
      <c r="H103" s="12" t="inlineStr"/>
      <c r="I103" s="17" t="n"/>
      <c r="J103" s="17" t="n"/>
    </row>
    <row r="104">
      <c r="A104" s="12" t="inlineStr">
        <is>
          <t>Leads</t>
        </is>
      </c>
      <c r="B104" s="12" t="inlineStr">
        <is>
          <t>L-30</t>
        </is>
      </c>
      <c r="C104" s="12" t="inlineStr">
        <is>
          <t>Listing</t>
        </is>
      </c>
      <c r="D104" s="14" t="inlineStr">
        <is>
          <t>Empty states</t>
        </is>
      </c>
      <c r="E104" s="14" t="inlineStr">
        <is>
          <t>Built</t>
        </is>
      </c>
      <c r="F104" s="12" t="inlineStr"/>
      <c r="G104" s="12" t="inlineStr">
        <is>
          <t>4.16</t>
        </is>
      </c>
      <c r="H104" s="12" t="inlineStr"/>
      <c r="I104" s="17" t="n"/>
      <c r="J104" s="17" t="n"/>
    </row>
    <row r="105">
      <c r="A105" s="12" t="inlineStr">
        <is>
          <t>Leads</t>
        </is>
      </c>
      <c r="B105" s="12" t="inlineStr">
        <is>
          <t>L-31</t>
        </is>
      </c>
      <c r="C105" s="12" t="inlineStr">
        <is>
          <t>Listing</t>
        </is>
      </c>
      <c r="D105" s="14" t="inlineStr">
        <is>
          <t>Column settings and saved views</t>
        </is>
      </c>
      <c r="E105" s="14" t="inlineStr">
        <is>
          <t>2.0 only</t>
        </is>
      </c>
      <c r="F105" s="12" t="inlineStr">
        <is>
          <t>No 1.0 counterpart; every table shares it</t>
        </is>
      </c>
      <c r="G105" s="12" t="inlineStr">
        <is>
          <t>4.22</t>
        </is>
      </c>
      <c r="H105" s="12" t="inlineStr"/>
      <c r="I105" s="17" t="n"/>
      <c r="J105" s="17" t="n"/>
    </row>
    <row r="106">
      <c r="A106" s="12" t="inlineStr">
        <is>
          <t>Leads</t>
        </is>
      </c>
      <c r="B106" s="12" t="inlineStr">
        <is>
          <t>L-32</t>
        </is>
      </c>
      <c r="C106" s="12" t="inlineStr">
        <is>
          <t>Listing</t>
        </is>
      </c>
      <c r="D106" s="14" t="inlineStr">
        <is>
          <t>Export as CSV</t>
        </is>
      </c>
      <c r="E106" s="14" t="inlineStr">
        <is>
          <t>Built in parity round 4</t>
        </is>
      </c>
      <c r="F106" s="12" t="inlineStr"/>
      <c r="G106" s="12" t="inlineStr">
        <is>
          <t>4.20</t>
        </is>
      </c>
      <c r="H106" s="12" t="inlineStr"/>
      <c r="I106" s="17" t="n"/>
      <c r="J106" s="17" t="n"/>
    </row>
    <row r="107">
      <c r="A107" s="12" t="inlineStr">
        <is>
          <t>Leads</t>
        </is>
      </c>
      <c r="B107" s="12" t="inlineStr">
        <is>
          <t>L-33</t>
        </is>
      </c>
      <c r="C107" s="12" t="inlineStr">
        <is>
          <t>Listing</t>
        </is>
      </c>
      <c r="D107" s="14" t="inlineStr">
        <is>
          <t>Archived leads view</t>
        </is>
      </c>
      <c r="E107" s="14" t="inlineStr">
        <is>
          <t>Excluded</t>
        </is>
      </c>
      <c r="F107" s="12" t="inlineStr">
        <is>
          <t>Archive excluded; Deleted Leads takes its place</t>
        </is>
      </c>
      <c r="G107" s="12" t="inlineStr">
        <is>
          <t>9.15</t>
        </is>
      </c>
      <c r="H107" s="12" t="inlineStr"/>
      <c r="I107" s="17" t="n"/>
      <c r="J107" s="17" t="n"/>
    </row>
    <row r="108">
      <c r="A108" s="12" t="inlineStr">
        <is>
          <t>Leads</t>
        </is>
      </c>
      <c r="B108" s="12" t="inlineStr">
        <is>
          <t>L-34</t>
        </is>
      </c>
      <c r="C108" s="12" t="inlineStr">
        <is>
          <t>Listing</t>
        </is>
      </c>
      <c r="D108" s="14" t="inlineStr">
        <is>
          <t>Header menu: export, archived, settings</t>
        </is>
      </c>
      <c r="E108" s="14" t="inlineStr">
        <is>
          <t>Built</t>
        </is>
      </c>
      <c r="F108" s="12" t="inlineStr"/>
      <c r="G108" s="12" t="inlineStr">
        <is>
          <t>4.20</t>
        </is>
      </c>
      <c r="H108" s="12" t="inlineStr"/>
      <c r="I108" s="17" t="n"/>
      <c r="J108" s="17" t="n"/>
    </row>
    <row r="109">
      <c r="A109" s="12" t="inlineStr">
        <is>
          <t>Leads</t>
        </is>
      </c>
      <c r="B109" s="12" t="inlineStr">
        <is>
          <t>L-35</t>
        </is>
      </c>
      <c r="C109" s="12" t="inlineStr">
        <is>
          <t>Listing</t>
        </is>
      </c>
      <c r="D109" s="14" t="inlineStr">
        <is>
          <t>Temperature on the list</t>
        </is>
      </c>
      <c r="E109" s="14" t="inlineStr">
        <is>
          <t>Not built — by design</t>
        </is>
      </c>
      <c r="F109" s="12" t="inlineStr">
        <is>
          <t>Owner declined temperature (Q-10)</t>
        </is>
      </c>
      <c r="G109" s="12" t="inlineStr"/>
      <c r="H109" s="12" t="inlineStr"/>
      <c r="I109" s="17" t="n"/>
      <c r="J109" s="17" t="n"/>
    </row>
    <row r="110">
      <c r="A110" s="12" t="inlineStr">
        <is>
          <t>Leads</t>
        </is>
      </c>
      <c r="B110" s="12" t="inlineStr">
        <is>
          <t>L-36</t>
        </is>
      </c>
      <c r="C110" s="12" t="inlineStr">
        <is>
          <t>Listing</t>
        </is>
      </c>
      <c r="D110" s="14" t="inlineStr">
        <is>
          <t>Phone card list with stage tabs</t>
        </is>
      </c>
      <c r="E110" s="14" t="inlineStr">
        <is>
          <t>Built</t>
        </is>
      </c>
      <c r="F110" s="12" t="inlineStr"/>
      <c r="G110" s="12" t="inlineStr">
        <is>
          <t>12.01, 12.02, 12.03</t>
        </is>
      </c>
      <c r="H110" s="12" t="inlineStr"/>
      <c r="I110" s="17" t="n"/>
      <c r="J110" s="17" t="n"/>
    </row>
    <row r="111">
      <c r="A111" s="12" t="inlineStr">
        <is>
          <t>Leads</t>
        </is>
      </c>
      <c r="B111" s="12" t="inlineStr">
        <is>
          <t>L-37</t>
        </is>
      </c>
      <c r="C111" s="12" t="inlineStr">
        <is>
          <t>Listing</t>
        </is>
      </c>
      <c r="D111" s="14" t="inlineStr">
        <is>
          <t>Add Lead, Insights and menu in the header</t>
        </is>
      </c>
      <c r="E111" s="14" t="inlineStr">
        <is>
          <t>2.0 only</t>
        </is>
      </c>
      <c r="F111" s="12" t="inlineStr">
        <is>
          <t>No 1.0 counterpart</t>
        </is>
      </c>
      <c r="G111" s="12" t="inlineStr"/>
      <c r="H111" s="28" t="inlineStr">
        <is>
          <t>Team check</t>
        </is>
      </c>
      <c r="I111" s="17" t="n"/>
      <c r="J111" s="17" t="n"/>
    </row>
    <row r="112">
      <c r="A112" s="12" t="inlineStr">
        <is>
          <t>Leads</t>
        </is>
      </c>
      <c r="B112" s="12" t="inlineStr">
        <is>
          <t>L-38</t>
        </is>
      </c>
      <c r="C112" s="12" t="inlineStr">
        <is>
          <t>Listing</t>
        </is>
      </c>
      <c r="D112" s="14" t="inlineStr">
        <is>
          <t>Band on leads nobody has opened</t>
        </is>
      </c>
      <c r="E112" s="14" t="inlineStr">
        <is>
          <t>2.0 only</t>
        </is>
      </c>
      <c r="F112" s="12" t="inlineStr">
        <is>
          <t>No 1.0 counterpart</t>
        </is>
      </c>
      <c r="G112" s="12" t="inlineStr">
        <is>
          <t>1.03, 4.05, 5.01</t>
        </is>
      </c>
      <c r="H112" s="12" t="inlineStr"/>
      <c r="I112" s="17" t="n"/>
      <c r="J112" s="17" t="n"/>
    </row>
    <row r="113">
      <c r="A113" s="12" t="inlineStr">
        <is>
          <t>Leads</t>
        </is>
      </c>
      <c r="B113" s="12" t="inlineStr">
        <is>
          <t>L-39</t>
        </is>
      </c>
      <c r="C113" s="12" t="inlineStr">
        <is>
          <t>Listing</t>
        </is>
      </c>
      <c r="D113" s="14" t="inlineStr">
        <is>
          <t>Row and card menu: Delete, Return Lead</t>
        </is>
      </c>
      <c r="E113" s="14" t="inlineStr">
        <is>
          <t>2.0 only</t>
        </is>
      </c>
      <c r="F113" s="12" t="inlineStr">
        <is>
          <t>No 1.0 counterpart; 1.0 rows had no menu</t>
        </is>
      </c>
      <c r="G113" s="12" t="inlineStr">
        <is>
          <t>9.14</t>
        </is>
      </c>
      <c r="H113" s="12" t="inlineStr"/>
      <c r="I113" s="17" t="n"/>
      <c r="J113" s="17" t="n"/>
    </row>
    <row r="114">
      <c r="A114" s="12" t="inlineStr">
        <is>
          <t>Leads</t>
        </is>
      </c>
      <c r="B114" s="12" t="inlineStr">
        <is>
          <t>C-01</t>
        </is>
      </c>
      <c r="C114" s="12" t="inlineStr">
        <is>
          <t>Lead creation</t>
        </is>
      </c>
      <c r="D114" s="14" t="inlineStr">
        <is>
          <t>Only allowed roles see Add Lead</t>
        </is>
      </c>
      <c r="E114" s="14" t="inlineStr">
        <is>
          <t>Built in parity round 3</t>
        </is>
      </c>
      <c r="F114" s="12" t="inlineStr">
        <is>
          <t>Every role creates; a Designer's new lead is theirs</t>
        </is>
      </c>
      <c r="G114" s="12" t="inlineStr">
        <is>
          <t>4.05</t>
        </is>
      </c>
      <c r="H114" s="12" t="inlineStr"/>
      <c r="I114" s="17" t="n"/>
      <c r="J114" s="17" t="n"/>
    </row>
    <row r="115">
      <c r="A115" s="12" t="inlineStr">
        <is>
          <t>Leads</t>
        </is>
      </c>
      <c r="B115" s="12" t="inlineStr">
        <is>
          <t>C-02</t>
        </is>
      </c>
      <c r="C115" s="12" t="inlineStr">
        <is>
          <t>Lead creation</t>
        </is>
      </c>
      <c r="D115" s="14" t="inlineStr">
        <is>
          <t>New Lead form with sections</t>
        </is>
      </c>
      <c r="E115" s="14" t="inlineStr">
        <is>
          <t>Built</t>
        </is>
      </c>
      <c r="F115" s="12" t="inlineStr"/>
      <c r="G115" s="12" t="inlineStr">
        <is>
          <t>4.04</t>
        </is>
      </c>
      <c r="H115" s="12" t="inlineStr"/>
      <c r="I115" s="17" t="n"/>
      <c r="J115" s="17" t="n"/>
    </row>
    <row r="116">
      <c r="A116" s="12" t="inlineStr">
        <is>
          <t>Leads</t>
        </is>
      </c>
      <c r="B116" s="12" t="inlineStr">
        <is>
          <t>C-03</t>
        </is>
      </c>
      <c r="C116" s="12" t="inlineStr">
        <is>
          <t>Lead creation</t>
        </is>
      </c>
      <c r="D116" s="14" t="inlineStr">
        <is>
          <t>Client fields: first, last, email, phone, source</t>
        </is>
      </c>
      <c r="E116" s="14" t="inlineStr">
        <is>
          <t>Not built — by design</t>
        </is>
      </c>
      <c r="F116" s="12" t="inlineStr">
        <is>
          <t>One name field; name and phone required (Q-13, Q-15)</t>
        </is>
      </c>
      <c r="G116" s="12" t="inlineStr">
        <is>
          <t>4.04</t>
        </is>
      </c>
      <c r="H116" s="12" t="inlineStr"/>
      <c r="I116" s="17" t="n"/>
      <c r="J116" s="17" t="n"/>
    </row>
    <row r="117">
      <c r="A117" s="12" t="inlineStr">
        <is>
          <t>Leads</t>
        </is>
      </c>
      <c r="B117" s="12" t="inlineStr">
        <is>
          <t>C-04</t>
        </is>
      </c>
      <c r="C117" s="12" t="inlineStr">
        <is>
          <t>Lead creation</t>
        </is>
      </c>
      <c r="D117" s="14" t="inlineStr">
        <is>
          <t>Property type, budget and district</t>
        </is>
      </c>
      <c r="E117" s="14" t="inlineStr">
        <is>
          <t>Built in parity round 1</t>
        </is>
      </c>
      <c r="F117" s="12" t="inlineStr"/>
      <c r="G117" s="12" t="inlineStr">
        <is>
          <t>4.04</t>
        </is>
      </c>
      <c r="H117" s="12" t="inlineStr"/>
      <c r="I117" s="17" t="n"/>
      <c r="J117" s="17" t="n"/>
    </row>
    <row r="118">
      <c r="A118" s="12" t="inlineStr">
        <is>
          <t>Leads</t>
        </is>
      </c>
      <c r="B118" s="12" t="inlineStr">
        <is>
          <t>C-05</t>
        </is>
      </c>
      <c r="C118" s="12" t="inlineStr">
        <is>
          <t>Lead creation</t>
        </is>
      </c>
      <c r="D118" s="14" t="inlineStr">
        <is>
          <t>Property status, style, area size, key collection, address</t>
        </is>
      </c>
      <c r="E118" s="14" t="inlineStr">
        <is>
          <t>Built in parity round 1</t>
        </is>
      </c>
      <c r="F118" s="12" t="inlineStr"/>
      <c r="G118" s="12" t="inlineStr">
        <is>
          <t>4.05</t>
        </is>
      </c>
      <c r="H118" s="12" t="inlineStr"/>
      <c r="I118" s="17" t="n"/>
      <c r="J118" s="17" t="n"/>
    </row>
    <row r="119">
      <c r="A119" s="12" t="inlineStr">
        <is>
          <t>Leads</t>
        </is>
      </c>
      <c r="B119" s="12" t="inlineStr">
        <is>
          <t>C-06</t>
        </is>
      </c>
      <c r="C119" s="12" t="inlineStr">
        <is>
          <t>Lead creation</t>
        </is>
      </c>
      <c r="D119" s="14" t="inlineStr">
        <is>
          <t>Remarks and Additional Info</t>
        </is>
      </c>
      <c r="E119" s="14" t="inlineStr">
        <is>
          <t>Not built — by design</t>
        </is>
      </c>
      <c r="F119" s="12" t="inlineStr">
        <is>
          <t>Remarks only (Q-16)</t>
        </is>
      </c>
      <c r="G119" s="12" t="inlineStr">
        <is>
          <t>4.05</t>
        </is>
      </c>
      <c r="H119" s="12" t="inlineStr"/>
      <c r="I119" s="17" t="n"/>
      <c r="J119" s="17" t="n"/>
    </row>
    <row r="120">
      <c r="A120" s="12" t="inlineStr">
        <is>
          <t>Leads</t>
        </is>
      </c>
      <c r="B120" s="12" t="inlineStr">
        <is>
          <t>C-07</t>
        </is>
      </c>
      <c r="C120" s="12" t="inlineStr">
        <is>
          <t>Lead creation</t>
        </is>
      </c>
      <c r="D120" s="14" t="inlineStr">
        <is>
          <t>Assign members when creating</t>
        </is>
      </c>
      <c r="E120" s="14" t="inlineStr">
        <is>
          <t>Built in parity round 3</t>
        </is>
      </c>
      <c r="F120" s="12" t="inlineStr">
        <is>
          <t>Designer self-assign in round 3; open-to-leads pool in round 6</t>
        </is>
      </c>
      <c r="G120" s="12" t="inlineStr"/>
      <c r="H120" s="28" t="inlineStr">
        <is>
          <t>Team check</t>
        </is>
      </c>
      <c r="I120" s="17" t="n"/>
      <c r="J120" s="17" t="n"/>
    </row>
    <row r="121">
      <c r="A121" s="12" t="inlineStr">
        <is>
          <t>Leads</t>
        </is>
      </c>
      <c r="B121" s="12" t="inlineStr">
        <is>
          <t>C-08</t>
        </is>
      </c>
      <c r="C121" s="12" t="inlineStr">
        <is>
          <t>Lead creation</t>
        </is>
      </c>
      <c r="D121" s="14" t="inlineStr">
        <is>
          <t>Attach documents when creating</t>
        </is>
      </c>
      <c r="E121" s="14" t="inlineStr">
        <is>
          <t>Built in parity round 3</t>
        </is>
      </c>
      <c r="F121" s="12" t="inlineStr"/>
      <c r="G121" s="12" t="inlineStr">
        <is>
          <t>4.05, 5.14</t>
        </is>
      </c>
      <c r="H121" s="12" t="inlineStr"/>
      <c r="I121" s="17" t="n"/>
      <c r="J121" s="17" t="n"/>
    </row>
    <row r="122">
      <c r="A122" s="12" t="inlineStr">
        <is>
          <t>Leads</t>
        </is>
      </c>
      <c r="B122" s="12" t="inlineStr">
        <is>
          <t>C-09</t>
        </is>
      </c>
      <c r="C122" s="12" t="inlineStr">
        <is>
          <t>Lead creation</t>
        </is>
      </c>
      <c r="D122" s="14" t="inlineStr">
        <is>
          <t>Form checks before saving</t>
        </is>
      </c>
      <c r="E122" s="14" t="inlineStr">
        <is>
          <t>Built in parity round 1</t>
        </is>
      </c>
      <c r="F122" s="12" t="inlineStr">
        <is>
          <t>Budget limits added in round 1</t>
        </is>
      </c>
      <c r="G122" s="12" t="inlineStr">
        <is>
          <t>4.04</t>
        </is>
      </c>
      <c r="H122" s="12" t="inlineStr"/>
      <c r="I122" s="17" t="n"/>
      <c r="J122" s="17" t="n"/>
    </row>
    <row r="123">
      <c r="A123" s="12" t="inlineStr">
        <is>
          <t>Leads</t>
        </is>
      </c>
      <c r="B123" s="12" t="inlineStr">
        <is>
          <t>C-10</t>
        </is>
      </c>
      <c r="C123" s="12" t="inlineStr">
        <is>
          <t>Lead creation</t>
        </is>
      </c>
      <c r="D123" s="14" t="inlineStr">
        <is>
          <t>Save and confirm a new lead</t>
        </is>
      </c>
      <c r="E123" s="14" t="inlineStr">
        <is>
          <t>Built</t>
        </is>
      </c>
      <c r="F123" s="12" t="inlineStr"/>
      <c r="G123" s="12" t="inlineStr">
        <is>
          <t>4.05</t>
        </is>
      </c>
      <c r="H123" s="12" t="inlineStr"/>
      <c r="I123" s="17" t="n"/>
      <c r="J123" s="17" t="n"/>
    </row>
    <row r="124">
      <c r="A124" s="12" t="inlineStr">
        <is>
          <t>Leads</t>
        </is>
      </c>
      <c r="B124" s="12" t="inlineStr">
        <is>
          <t>C-11</t>
        </is>
      </c>
      <c r="C124" s="12" t="inlineStr">
        <is>
          <t>Lead creation</t>
        </is>
      </c>
      <c r="D124" s="14" t="inlineStr">
        <is>
          <t>A separate full-page New Lead</t>
        </is>
      </c>
      <c r="E124" s="14" t="inlineStr">
        <is>
          <t>Built</t>
        </is>
      </c>
      <c r="F124" s="12" t="inlineStr"/>
      <c r="G124" s="12" t="inlineStr"/>
      <c r="H124" s="28" t="inlineStr">
        <is>
          <t>Team check</t>
        </is>
      </c>
      <c r="I124" s="17" t="n"/>
      <c r="J124" s="17" t="n"/>
    </row>
    <row r="125">
      <c r="A125" s="12" t="inlineStr">
        <is>
          <t>Leads</t>
        </is>
      </c>
      <c r="B125" s="12" t="inlineStr">
        <is>
          <t>C-12</t>
        </is>
      </c>
      <c r="C125" s="12" t="inlineStr">
        <is>
          <t>Lead creation</t>
        </is>
      </c>
      <c r="D125" s="14" t="inlineStr">
        <is>
          <t>Creating a lead on the server</t>
        </is>
      </c>
      <c r="E125" s="14" t="inlineStr">
        <is>
          <t>Built</t>
        </is>
      </c>
      <c r="F125" s="12" t="inlineStr"/>
      <c r="G125" s="12" t="inlineStr">
        <is>
          <t>4.05</t>
        </is>
      </c>
      <c r="H125" s="12" t="inlineStr"/>
      <c r="I125" s="17" t="n"/>
      <c r="J125" s="17" t="n"/>
    </row>
    <row r="126">
      <c r="A126" s="12" t="inlineStr">
        <is>
          <t>Leads</t>
        </is>
      </c>
      <c r="B126" s="12" t="inlineStr">
        <is>
          <t>C-13</t>
        </is>
      </c>
      <c r="C126" s="12" t="inlineStr">
        <is>
          <t>Lead creation</t>
        </is>
      </c>
      <c r="D126" s="14" t="inlineStr">
        <is>
          <t>Duplicate check before saving</t>
        </is>
      </c>
      <c r="E126" s="14" t="inlineStr">
        <is>
          <t>Built in parity round 3</t>
        </is>
      </c>
      <c r="F126" s="12" t="inlineStr"/>
      <c r="G126" s="12" t="inlineStr">
        <is>
          <t>4.03</t>
        </is>
      </c>
      <c r="H126" s="12" t="inlineStr"/>
      <c r="I126" s="17" t="n"/>
      <c r="J126" s="17" t="n"/>
    </row>
    <row r="127">
      <c r="A127" s="12" t="inlineStr">
        <is>
          <t>Leads</t>
        </is>
      </c>
      <c r="B127" s="12" t="inlineStr">
        <is>
          <t>C-14</t>
        </is>
      </c>
      <c r="C127" s="12" t="inlineStr">
        <is>
          <t>Lead creation</t>
        </is>
      </c>
      <c r="D127" s="14" t="inlineStr">
        <is>
          <t>Recommended member when assigning</t>
        </is>
      </c>
      <c r="E127" s="14" t="inlineStr">
        <is>
          <t>Built in parity round 6</t>
        </is>
      </c>
      <c r="F127" s="12" t="inlineStr"/>
      <c r="G127" s="12" t="inlineStr">
        <is>
          <t>5.04</t>
        </is>
      </c>
      <c r="H127" s="12" t="inlineStr"/>
      <c r="I127" s="17" t="n"/>
      <c r="J127" s="17" t="n"/>
    </row>
    <row r="128">
      <c r="A128" s="12" t="inlineStr">
        <is>
          <t>Leads</t>
        </is>
      </c>
      <c r="B128" s="12" t="inlineStr">
        <is>
          <t>C-15</t>
        </is>
      </c>
      <c r="C128" s="12" t="inlineStr">
        <is>
          <t>Lead creation</t>
        </is>
      </c>
      <c r="D128" s="14" t="inlineStr">
        <is>
          <t>Fill from a document</t>
        </is>
      </c>
      <c r="E128" s="14" t="inlineStr">
        <is>
          <t>Built in parity round 3</t>
        </is>
      </c>
      <c r="F128" s="12" t="inlineStr">
        <is>
          <t>Scripted stand-in with fixed values; no real AI</t>
        </is>
      </c>
      <c r="G128" s="12" t="inlineStr">
        <is>
          <t>4.02</t>
        </is>
      </c>
      <c r="H128" s="12" t="inlineStr"/>
      <c r="I128" s="17" t="n"/>
      <c r="J128" s="17" t="n"/>
    </row>
    <row r="129">
      <c r="A129" s="12" t="inlineStr">
        <is>
          <t>Leads</t>
        </is>
      </c>
      <c r="B129" s="12" t="inlineStr">
        <is>
          <t>C-16</t>
        </is>
      </c>
      <c r="C129" s="12" t="inlineStr">
        <is>
          <t>Lead creation</t>
        </is>
      </c>
      <c r="D129" s="14" t="inlineStr">
        <is>
          <t>Hangout, AI agent and project intake</t>
        </is>
      </c>
      <c r="E129" s="14" t="inlineStr">
        <is>
          <t>Later</t>
        </is>
      </c>
      <c r="F129" s="12" t="inlineStr">
        <is>
          <t>Hangouts, AI tools and Projects come later</t>
        </is>
      </c>
      <c r="G129" s="12" t="inlineStr"/>
      <c r="H129" s="12" t="inlineStr"/>
      <c r="I129" s="17" t="n"/>
      <c r="J129" s="17" t="n"/>
    </row>
    <row r="130">
      <c r="A130" s="12" t="inlineStr">
        <is>
          <t>Leads</t>
        </is>
      </c>
      <c r="B130" s="12" t="inlineStr">
        <is>
          <t>I-01</t>
        </is>
      </c>
      <c r="C130" s="12" t="inlineStr">
        <is>
          <t>Intake</t>
        </is>
      </c>
      <c r="D130" s="14" t="inlineStr">
        <is>
          <t>Duplicate detector with a studio switch</t>
        </is>
      </c>
      <c r="E130" s="14" t="inlineStr">
        <is>
          <t>Built in parity round 3</t>
        </is>
      </c>
      <c r="F130" s="12" t="inlineStr">
        <is>
          <t>Always on; no studio switch, by design (Q-18)</t>
        </is>
      </c>
      <c r="G130" s="12" t="inlineStr">
        <is>
          <t>4.03, 4.07</t>
        </is>
      </c>
      <c r="H130" s="12" t="inlineStr"/>
      <c r="I130" s="17" t="n"/>
      <c r="J130" s="17" t="n"/>
    </row>
    <row r="131">
      <c r="A131" s="12" t="inlineStr">
        <is>
          <t>Leads</t>
        </is>
      </c>
      <c r="B131" s="12" t="inlineStr">
        <is>
          <t>I-02</t>
        </is>
      </c>
      <c r="C131" s="12" t="inlineStr">
        <is>
          <t>Intake</t>
        </is>
      </c>
      <c r="D131" s="14" t="inlineStr">
        <is>
          <t>Leads pending review queue</t>
        </is>
      </c>
      <c r="E131" s="14" t="inlineStr">
        <is>
          <t>Built</t>
        </is>
      </c>
      <c r="F131" s="12" t="inlineStr"/>
      <c r="G131" s="12" t="inlineStr">
        <is>
          <t>4.10, 4.12</t>
        </is>
      </c>
      <c r="H131" s="12" t="inlineStr"/>
      <c r="I131" s="17" t="n"/>
      <c r="J131" s="17" t="n"/>
    </row>
    <row r="132">
      <c r="A132" s="12" t="inlineStr">
        <is>
          <t>Leads</t>
        </is>
      </c>
      <c r="B132" s="12" t="inlineStr">
        <is>
          <t>I-03</t>
        </is>
      </c>
      <c r="C132" s="12" t="inlineStr">
        <is>
          <t>Intake</t>
        </is>
      </c>
      <c r="D132" s="14" t="inlineStr">
        <is>
          <t>Approve, reject, keep both</t>
        </is>
      </c>
      <c r="E132" s="14" t="inlineStr">
        <is>
          <t>Built</t>
        </is>
      </c>
      <c r="F132" s="12" t="inlineStr"/>
      <c r="G132" s="12" t="inlineStr">
        <is>
          <t>4.11, 4.12</t>
        </is>
      </c>
      <c r="H132" s="12" t="inlineStr"/>
      <c r="I132" s="17" t="n"/>
      <c r="J132" s="17" t="n"/>
    </row>
    <row r="133">
      <c r="A133" s="12" t="inlineStr">
        <is>
          <t>Leads</t>
        </is>
      </c>
      <c r="B133" s="12" t="inlineStr">
        <is>
          <t>I-04</t>
        </is>
      </c>
      <c r="C133" s="12" t="inlineStr">
        <is>
          <t>Intake</t>
        </is>
      </c>
      <c r="D133" s="14" t="inlineStr">
        <is>
          <t>Merge a duplicate into the original</t>
        </is>
      </c>
      <c r="E133" s="14" t="inlineStr">
        <is>
          <t>Built in parity round 3</t>
        </is>
      </c>
      <c r="F133" s="12" t="inlineStr"/>
      <c r="G133" s="12" t="inlineStr">
        <is>
          <t>4.11</t>
        </is>
      </c>
      <c r="H133" s="12" t="inlineStr"/>
      <c r="I133" s="17" t="n"/>
      <c r="J133" s="17" t="n"/>
    </row>
    <row r="134">
      <c r="A134" s="12" t="inlineStr">
        <is>
          <t>Leads</t>
        </is>
      </c>
      <c r="B134" s="12" t="inlineStr">
        <is>
          <t>I-05</t>
        </is>
      </c>
      <c r="C134" s="12" t="inlineStr">
        <is>
          <t>Intake</t>
        </is>
      </c>
      <c r="D134" s="14" t="inlineStr">
        <is>
          <t>Approve all at once</t>
        </is>
      </c>
      <c r="E134" s="14" t="inlineStr">
        <is>
          <t>Built</t>
        </is>
      </c>
      <c r="F134" s="12" t="inlineStr"/>
      <c r="G134" s="12" t="inlineStr"/>
      <c r="H134" s="28" t="inlineStr">
        <is>
          <t>Team check</t>
        </is>
      </c>
      <c r="I134" s="17" t="n"/>
      <c r="J134" s="17" t="n"/>
    </row>
    <row r="135">
      <c r="A135" s="12" t="inlineStr">
        <is>
          <t>Leads</t>
        </is>
      </c>
      <c r="B135" s="12" t="inlineStr">
        <is>
          <t>I-06</t>
        </is>
      </c>
      <c r="C135" s="12" t="inlineStr">
        <is>
          <t>Intake</t>
        </is>
      </c>
      <c r="D135" s="14" t="inlineStr">
        <is>
          <t>Import leads from a file</t>
        </is>
      </c>
      <c r="E135" s="14" t="inlineStr">
        <is>
          <t>2.0 only</t>
        </is>
      </c>
      <c r="F135" s="12" t="inlineStr">
        <is>
          <t>1.0 had no lead import</t>
        </is>
      </c>
      <c r="G135" s="12" t="inlineStr">
        <is>
          <t>4.06, 4.07, 4.09</t>
        </is>
      </c>
      <c r="H135" s="12" t="inlineStr"/>
      <c r="I135" s="17" t="n"/>
      <c r="J135" s="17" t="n"/>
    </row>
    <row r="136">
      <c r="A136" s="12" t="inlineStr">
        <is>
          <t>Leads</t>
        </is>
      </c>
      <c r="B136" s="12" t="inlineStr">
        <is>
          <t>I-07</t>
        </is>
      </c>
      <c r="C136" s="12" t="inlineStr">
        <is>
          <t>Intake</t>
        </is>
      </c>
      <c r="D136" s="14" t="inlineStr">
        <is>
          <t>Webhook endpoints per source</t>
        </is>
      </c>
      <c r="E136" s="14" t="inlineStr">
        <is>
          <t>Built in parity round 6</t>
        </is>
      </c>
      <c r="F136" s="12" t="inlineStr">
        <is>
          <t>A stand-in: generated URLs and demo POSTs</t>
        </is>
      </c>
      <c r="G136" s="12" t="inlineStr">
        <is>
          <t>4.13</t>
        </is>
      </c>
      <c r="H136" s="12" t="inlineStr"/>
      <c r="I136" s="17" t="n"/>
      <c r="J136" s="17" t="n"/>
    </row>
    <row r="137">
      <c r="A137" s="12" t="inlineStr">
        <is>
          <t>Leads</t>
        </is>
      </c>
      <c r="B137" s="12" t="inlineStr">
        <is>
          <t>I-08</t>
        </is>
      </c>
      <c r="C137" s="12" t="inlineStr">
        <is>
          <t>Intake</t>
        </is>
      </c>
      <c r="D137" s="14" t="inlineStr">
        <is>
          <t>Webhook receiving rules</t>
        </is>
      </c>
      <c r="E137" s="14" t="inlineStr">
        <is>
          <t>Platform</t>
        </is>
      </c>
      <c r="F137" s="12" t="inlineStr">
        <is>
          <t>Real receiving is the platform's; the stand-in keeps the review landing</t>
        </is>
      </c>
      <c r="G137" s="12" t="inlineStr">
        <is>
          <t>4.13</t>
        </is>
      </c>
      <c r="H137" s="12" t="inlineStr"/>
      <c r="I137" s="17" t="n"/>
      <c r="J137" s="17" t="n"/>
    </row>
    <row r="138">
      <c r="A138" s="12" t="inlineStr">
        <is>
          <t>Leads</t>
        </is>
      </c>
      <c r="B138" s="12" t="inlineStr">
        <is>
          <t>I-09</t>
        </is>
      </c>
      <c r="C138" s="12" t="inlineStr">
        <is>
          <t>Intake</t>
        </is>
      </c>
      <c r="D138" s="14" t="inlineStr">
        <is>
          <t>Leads fed from Qanvast</t>
        </is>
      </c>
      <c r="E138" s="14" t="inlineStr">
        <is>
          <t>2.0 only</t>
        </is>
      </c>
      <c r="F138" s="12" t="inlineStr">
        <is>
          <t>1.0 had no Qanvast feed</t>
        </is>
      </c>
      <c r="G138" s="12" t="inlineStr">
        <is>
          <t>4.15</t>
        </is>
      </c>
      <c r="H138" s="12" t="inlineStr"/>
      <c r="I138" s="17" t="n"/>
      <c r="J138" s="17" t="n"/>
    </row>
    <row r="139">
      <c r="A139" s="12" t="inlineStr">
        <is>
          <t>Leads</t>
        </is>
      </c>
      <c r="B139" s="12" t="inlineStr">
        <is>
          <t>I-10</t>
        </is>
      </c>
      <c r="C139" s="12" t="inlineStr">
        <is>
          <t>Intake</t>
        </is>
      </c>
      <c r="D139" s="14" t="inlineStr">
        <is>
          <t>Connect Gmail for portal emails</t>
        </is>
      </c>
      <c r="E139" s="14" t="inlineStr">
        <is>
          <t>Built in parity round 6</t>
        </is>
      </c>
      <c r="F139" s="12" t="inlineStr">
        <is>
          <t>A stand-in inbox; Sync now plays a sample enquiry</t>
        </is>
      </c>
      <c r="G139" s="12" t="inlineStr">
        <is>
          <t>4.14</t>
        </is>
      </c>
      <c r="H139" s="12" t="inlineStr"/>
      <c r="I139" s="17" t="n"/>
      <c r="J139" s="17" t="n"/>
    </row>
    <row r="140">
      <c r="A140" s="12" t="inlineStr">
        <is>
          <t>Leads</t>
        </is>
      </c>
      <c r="B140" s="12" t="inlineStr">
        <is>
          <t>I-11</t>
        </is>
      </c>
      <c r="C140" s="12" t="inlineStr">
        <is>
          <t>Intake</t>
        </is>
      </c>
      <c r="D140" s="14" t="inlineStr">
        <is>
          <t>Email polling every minute</t>
        </is>
      </c>
      <c r="E140" s="14" t="inlineStr">
        <is>
          <t>Platform</t>
        </is>
      </c>
      <c r="F140" s="12" t="inlineStr">
        <is>
          <t>Real polling is the platform's</t>
        </is>
      </c>
      <c r="G140" s="12" t="inlineStr">
        <is>
          <t>4.14</t>
        </is>
      </c>
      <c r="H140" s="12" t="inlineStr"/>
      <c r="I140" s="17" t="n"/>
      <c r="J140" s="17" t="n"/>
    </row>
    <row r="141">
      <c r="A141" s="12" t="inlineStr">
        <is>
          <t>Leads</t>
        </is>
      </c>
      <c r="B141" s="12" t="inlineStr">
        <is>
          <t>I-12</t>
        </is>
      </c>
      <c r="C141" s="12" t="inlineStr">
        <is>
          <t>Intake</t>
        </is>
      </c>
      <c r="D141" s="14" t="inlineStr">
        <is>
          <t>Sync now</t>
        </is>
      </c>
      <c r="E141" s="14" t="inlineStr">
        <is>
          <t>Built</t>
        </is>
      </c>
      <c r="F141" s="12" t="inlineStr"/>
      <c r="G141" s="12" t="inlineStr">
        <is>
          <t>4.14</t>
        </is>
      </c>
      <c r="H141" s="12" t="inlineStr"/>
      <c r="I141" s="17" t="n"/>
      <c r="J141" s="17" t="n"/>
    </row>
    <row r="142">
      <c r="A142" s="12" t="inlineStr">
        <is>
          <t>Leads</t>
        </is>
      </c>
      <c r="B142" s="12" t="inlineStr">
        <is>
          <t>I-13</t>
        </is>
      </c>
      <c r="C142" s="12" t="inlineStr">
        <is>
          <t>Intake</t>
        </is>
      </c>
      <c r="D142" s="14" t="inlineStr">
        <is>
          <t>Source chips</t>
        </is>
      </c>
      <c r="E142" s="14" t="inlineStr">
        <is>
          <t>Built</t>
        </is>
      </c>
      <c r="F142" s="12" t="inlineStr"/>
      <c r="G142" s="12" t="inlineStr">
        <is>
          <t>4.14, 4.15</t>
        </is>
      </c>
      <c r="H142" s="12" t="inlineStr"/>
      <c r="I142" s="17" t="n"/>
      <c r="J142" s="17" t="n"/>
    </row>
    <row r="143">
      <c r="A143" s="12" t="inlineStr">
        <is>
          <t>Leads</t>
        </is>
      </c>
      <c r="B143" s="12" t="inlineStr">
        <is>
          <t>I-14</t>
        </is>
      </c>
      <c r="C143" s="12" t="inlineStr">
        <is>
          <t>Intake</t>
        </is>
      </c>
      <c r="D143" s="14" t="inlineStr">
        <is>
          <t>Assign everything the board shows</t>
        </is>
      </c>
      <c r="E143" s="14" t="inlineStr">
        <is>
          <t>Built in parity round 4</t>
        </is>
      </c>
      <c r="F143" s="12" t="inlineStr">
        <is>
          <t>Select rows, then Assign; no filter-wide 'Assign n'</t>
        </is>
      </c>
      <c r="G143" s="12" t="inlineStr">
        <is>
          <t>4.18</t>
        </is>
      </c>
      <c r="H143" s="12" t="inlineStr"/>
      <c r="I143" s="17" t="n"/>
      <c r="J143" s="17" t="n"/>
    </row>
    <row r="144">
      <c r="A144" s="12" t="inlineStr">
        <is>
          <t>Leads</t>
        </is>
      </c>
      <c r="B144" s="12" t="inlineStr">
        <is>
          <t>I-15</t>
        </is>
      </c>
      <c r="C144" s="12" t="inlineStr">
        <is>
          <t>Intake</t>
        </is>
      </c>
      <c r="D144" s="14" t="inlineStr">
        <is>
          <t>Tick several leads with a bulk bar</t>
        </is>
      </c>
      <c r="E144" s="14" t="inlineStr">
        <is>
          <t>Built in parity round 4</t>
        </is>
      </c>
      <c r="F144" s="12" t="inlineStr"/>
      <c r="G144" s="12" t="inlineStr">
        <is>
          <t>4.18</t>
        </is>
      </c>
      <c r="H144" s="12" t="inlineStr"/>
      <c r="I144" s="17" t="n"/>
      <c r="J144" s="17" t="n"/>
    </row>
    <row r="145">
      <c r="A145" s="12" t="inlineStr">
        <is>
          <t>Leads</t>
        </is>
      </c>
      <c r="B145" s="12" t="inlineStr">
        <is>
          <t>I-16</t>
        </is>
      </c>
      <c r="C145" s="12" t="inlineStr">
        <is>
          <t>Intake</t>
        </is>
      </c>
      <c r="D145" s="14" t="inlineStr">
        <is>
          <t>Bulk assign rules</t>
        </is>
      </c>
      <c r="E145" s="14" t="inlineStr">
        <is>
          <t>Built in parity round 4</t>
        </is>
      </c>
      <c r="F145" s="12" t="inlineStr">
        <is>
          <t>Adds members and notifies them; never replaces (Q-31)</t>
        </is>
      </c>
      <c r="G145" s="12" t="inlineStr">
        <is>
          <t>4.18</t>
        </is>
      </c>
      <c r="H145" s="12" t="inlineStr"/>
      <c r="I145" s="17" t="n"/>
      <c r="J145" s="17" t="n"/>
    </row>
    <row r="146">
      <c r="A146" s="12" t="inlineStr">
        <is>
          <t>Leads</t>
        </is>
      </c>
      <c r="B146" s="12" t="inlineStr">
        <is>
          <t>I-17</t>
        </is>
      </c>
      <c r="C146" s="12" t="inlineStr">
        <is>
          <t>Intake</t>
        </is>
      </c>
      <c r="D146" s="14" t="inlineStr">
        <is>
          <t>Archive, revive, blockers and cascade</t>
        </is>
      </c>
      <c r="E146" s="14" t="inlineStr">
        <is>
          <t>Excluded</t>
        </is>
      </c>
      <c r="F146" s="12" t="inlineStr">
        <is>
          <t>Archive excluded; Delete warns about live signing links (Q-04)</t>
        </is>
      </c>
      <c r="G146" s="12" t="inlineStr">
        <is>
          <t>9.14</t>
        </is>
      </c>
      <c r="H146" s="12" t="inlineStr"/>
      <c r="I146" s="17" t="n"/>
      <c r="J146" s="17" t="n"/>
    </row>
    <row r="147">
      <c r="A147" s="12" t="inlineStr">
        <is>
          <t>Leads</t>
        </is>
      </c>
      <c r="B147" s="12" t="inlineStr">
        <is>
          <t>I-18</t>
        </is>
      </c>
      <c r="C147" s="12" t="inlineStr">
        <is>
          <t>Intake</t>
        </is>
      </c>
      <c r="D147" s="14" t="inlineStr">
        <is>
          <t>Import history</t>
        </is>
      </c>
      <c r="E147" s="14" t="inlineStr">
        <is>
          <t>2.0 only</t>
        </is>
      </c>
      <c r="F147" s="12" t="inlineStr">
        <is>
          <t>No 1.0 counterpart</t>
        </is>
      </c>
      <c r="G147" s="12" t="inlineStr">
        <is>
          <t>4.08</t>
        </is>
      </c>
      <c r="H147" s="12" t="inlineStr"/>
      <c r="I147" s="17" t="n"/>
      <c r="J147" s="17" t="n"/>
    </row>
    <row r="148">
      <c r="A148" s="12" t="inlineStr">
        <is>
          <t>Leads</t>
        </is>
      </c>
      <c r="B148" s="12" t="inlineStr">
        <is>
          <t>R-01</t>
        </is>
      </c>
      <c r="C148" s="12" t="inlineStr">
        <is>
          <t>Reports</t>
        </is>
      </c>
      <c r="D148" s="14" t="inlineStr">
        <is>
          <t>Performance view with turnaround times</t>
        </is>
      </c>
      <c r="E148" s="14" t="inlineStr">
        <is>
          <t>Built in parity round 5</t>
        </is>
      </c>
      <c r="F148" s="12" t="inlineStr"/>
      <c r="G148" s="12" t="inlineStr">
        <is>
          <t>11.08</t>
        </is>
      </c>
      <c r="H148" s="12" t="inlineStr"/>
      <c r="I148" s="17" t="n"/>
      <c r="J148" s="17" t="n"/>
    </row>
    <row r="149">
      <c r="A149" s="12" t="inlineStr">
        <is>
          <t>Leads</t>
        </is>
      </c>
      <c r="B149" s="12" t="inlineStr">
        <is>
          <t>R-02</t>
        </is>
      </c>
      <c r="C149" s="12" t="inlineStr">
        <is>
          <t>Reports</t>
        </is>
      </c>
      <c r="D149" s="14" t="inlineStr">
        <is>
          <t>Turnaround time stamps</t>
        </is>
      </c>
      <c r="E149" s="14" t="inlineStr">
        <is>
          <t>Built in parity round 5</t>
        </is>
      </c>
      <c r="F149" s="12" t="inlineStr">
        <is>
          <t>Worked out from records, not stamped</t>
        </is>
      </c>
      <c r="G149" s="12" t="inlineStr">
        <is>
          <t>5.21, 11.08</t>
        </is>
      </c>
      <c r="H149" s="12" t="inlineStr"/>
      <c r="I149" s="17" t="n"/>
      <c r="J149" s="17" t="n"/>
    </row>
    <row r="150">
      <c r="A150" s="12" t="inlineStr">
        <is>
          <t>Leads</t>
        </is>
      </c>
      <c r="B150" s="12" t="inlineStr">
        <is>
          <t>R-03</t>
        </is>
      </c>
      <c r="C150" s="12" t="inlineStr">
        <is>
          <t>Reports</t>
        </is>
      </c>
      <c r="D150" s="14" t="inlineStr">
        <is>
          <t>Response time on each lead</t>
        </is>
      </c>
      <c r="E150" s="14" t="inlineStr">
        <is>
          <t>Built in parity round 5</t>
        </is>
      </c>
      <c r="F150" s="12" t="inlineStr"/>
      <c r="G150" s="12" t="inlineStr">
        <is>
          <t>5.21, 11.09</t>
        </is>
      </c>
      <c r="H150" s="12" t="inlineStr"/>
      <c r="I150" s="17" t="n"/>
      <c r="J150" s="17" t="n"/>
    </row>
    <row r="151">
      <c r="A151" s="12" t="inlineStr">
        <is>
          <t>Leads</t>
        </is>
      </c>
      <c r="B151" s="12" t="inlineStr">
        <is>
          <t>R-04</t>
        </is>
      </c>
      <c r="C151" s="12" t="inlineStr">
        <is>
          <t>Reports</t>
        </is>
      </c>
      <c r="D151" s="14" t="inlineStr">
        <is>
          <t>Checklist before converting to a project</t>
        </is>
      </c>
      <c r="E151" s="14" t="inlineStr">
        <is>
          <t>Built</t>
        </is>
      </c>
      <c r="F151" s="12" t="inlineStr"/>
      <c r="G151" s="12" t="inlineStr">
        <is>
          <t>5.03, 9.02, 9.03, 9.04</t>
        </is>
      </c>
      <c r="H151" s="12" t="inlineStr"/>
      <c r="I151" s="17" t="n"/>
      <c r="J151" s="17" t="n"/>
    </row>
    <row r="152">
      <c r="A152" s="12" t="inlineStr">
        <is>
          <t>Leads</t>
        </is>
      </c>
      <c r="B152" s="12" t="inlineStr">
        <is>
          <t>R-05</t>
        </is>
      </c>
      <c r="C152" s="12" t="inlineStr">
        <is>
          <t>Reports</t>
        </is>
      </c>
      <c r="D152" s="14" t="inlineStr">
        <is>
          <t>Dashboard lead widgets</t>
        </is>
      </c>
      <c r="E152" s="14" t="inlineStr">
        <is>
          <t>Later</t>
        </is>
      </c>
      <c r="F152" s="12" t="inlineStr">
        <is>
          <t>Waits for the Dashboard mocks (owner's hold)</t>
        </is>
      </c>
      <c r="G152" s="12" t="inlineStr"/>
      <c r="H152" s="12" t="inlineStr"/>
      <c r="I152" s="17" t="n"/>
      <c r="J152" s="17" t="n"/>
    </row>
    <row r="153">
      <c r="A153" s="12" t="inlineStr">
        <is>
          <t>Leads</t>
        </is>
      </c>
      <c r="B153" s="12" t="inlineStr">
        <is>
          <t>D-01</t>
        </is>
      </c>
      <c r="C153" s="12" t="inlineStr">
        <is>
          <t>Lead detail</t>
        </is>
      </c>
      <c r="D153" s="14" t="inlineStr">
        <is>
          <t>Lead drawer and links</t>
        </is>
      </c>
      <c r="E153" s="14" t="inlineStr">
        <is>
          <t>Built</t>
        </is>
      </c>
      <c r="F153" s="12" t="inlineStr"/>
      <c r="G153" s="12" t="inlineStr">
        <is>
          <t>5.01</t>
        </is>
      </c>
      <c r="H153" s="12" t="inlineStr"/>
      <c r="I153" s="17" t="n"/>
      <c r="J153" s="17" t="n"/>
    </row>
    <row r="154">
      <c r="A154" s="12" t="inlineStr">
        <is>
          <t>Leads</t>
        </is>
      </c>
      <c r="B154" s="12" t="inlineStr">
        <is>
          <t>D-02</t>
        </is>
      </c>
      <c r="C154" s="12" t="inlineStr">
        <is>
          <t>Lead detail</t>
        </is>
      </c>
      <c r="D154" s="14" t="inlineStr">
        <is>
          <t>First-time tip on the lead</t>
        </is>
      </c>
      <c r="E154" s="14" t="inlineStr">
        <is>
          <t>Built</t>
        </is>
      </c>
      <c r="F154" s="12" t="inlineStr"/>
      <c r="G154" s="12" t="inlineStr"/>
      <c r="H154" s="28" t="inlineStr">
        <is>
          <t>Team check</t>
        </is>
      </c>
      <c r="I154" s="17" t="n"/>
      <c r="J154" s="17" t="n"/>
    </row>
    <row r="155">
      <c r="A155" s="12" t="inlineStr">
        <is>
          <t>Leads</t>
        </is>
      </c>
      <c r="B155" s="12" t="inlineStr">
        <is>
          <t>D-03</t>
        </is>
      </c>
      <c r="C155" s="12" t="inlineStr">
        <is>
          <t>Lead detail</t>
        </is>
      </c>
      <c r="D155" s="14" t="inlineStr">
        <is>
          <t>Tool turned off for the studio</t>
        </is>
      </c>
      <c r="E155" s="14" t="inlineStr">
        <is>
          <t>Platform</t>
        </is>
      </c>
      <c r="F155" s="12" t="inlineStr">
        <is>
          <t>Platform admin switch; 2.0 shows coming soon</t>
        </is>
      </c>
      <c r="G155" s="12" t="inlineStr"/>
      <c r="H155" s="12" t="inlineStr"/>
      <c r="I155" s="17" t="n"/>
      <c r="J155" s="17" t="n"/>
    </row>
    <row r="156">
      <c r="A156" s="12" t="inlineStr">
        <is>
          <t>Leads</t>
        </is>
      </c>
      <c r="B156" s="12" t="inlineStr">
        <is>
          <t>D-04</t>
        </is>
      </c>
      <c r="C156" s="12" t="inlineStr">
        <is>
          <t>Lead detail</t>
        </is>
      </c>
      <c r="D156" s="14" t="inlineStr">
        <is>
          <t>Name, status and chips at the top</t>
        </is>
      </c>
      <c r="E156" s="14" t="inlineStr">
        <is>
          <t>Built</t>
        </is>
      </c>
      <c r="F156" s="12" t="inlineStr"/>
      <c r="G156" s="12" t="inlineStr">
        <is>
          <t>5.01</t>
        </is>
      </c>
      <c r="H156" s="12" t="inlineStr"/>
      <c r="I156" s="17" t="n"/>
      <c r="J156" s="17" t="n"/>
    </row>
    <row r="157">
      <c r="A157" s="12" t="inlineStr">
        <is>
          <t>Leads</t>
        </is>
      </c>
      <c r="B157" s="12" t="inlineStr">
        <is>
          <t>D-05</t>
        </is>
      </c>
      <c r="C157" s="12" t="inlineStr">
        <is>
          <t>Lead detail</t>
        </is>
      </c>
      <c r="D157" s="14" t="inlineStr">
        <is>
          <t>WhatsApp, live meeting, view size, more</t>
        </is>
      </c>
      <c r="E157" s="14" t="inlineStr">
        <is>
          <t>Built</t>
        </is>
      </c>
      <c r="F157" s="12" t="inlineStr"/>
      <c r="G157" s="12" t="inlineStr"/>
      <c r="H157" s="28" t="inlineStr">
        <is>
          <t>Team check</t>
        </is>
      </c>
      <c r="I157" s="17" t="n"/>
      <c r="J157" s="17" t="n"/>
    </row>
    <row r="158">
      <c r="A158" s="12" t="inlineStr">
        <is>
          <t>Leads</t>
        </is>
      </c>
      <c r="B158" s="12" t="inlineStr">
        <is>
          <t>D-06</t>
        </is>
      </c>
      <c r="C158" s="12" t="inlineStr">
        <is>
          <t>Lead detail</t>
        </is>
      </c>
      <c r="D158" s="14" t="inlineStr">
        <is>
          <t>Lead menu: edit, archive, return, activity</t>
        </is>
      </c>
      <c r="E158" s="14" t="inlineStr">
        <is>
          <t>Built</t>
        </is>
      </c>
      <c r="F158" s="12" t="inlineStr"/>
      <c r="G158" s="12" t="inlineStr">
        <is>
          <t>4.15, 9.13</t>
        </is>
      </c>
      <c r="H158" s="12" t="inlineStr"/>
      <c r="I158" s="17" t="n"/>
      <c r="J158" s="17" t="n"/>
    </row>
    <row r="159">
      <c r="A159" s="12" t="inlineStr">
        <is>
          <t>Leads</t>
        </is>
      </c>
      <c r="B159" s="12" t="inlineStr">
        <is>
          <t>D-07</t>
        </is>
      </c>
      <c r="C159" s="12" t="inlineStr">
        <is>
          <t>Lead detail</t>
        </is>
      </c>
      <c r="D159" s="14" t="inlineStr">
        <is>
          <t>Needs-attention and duplicate callouts</t>
        </is>
      </c>
      <c r="E159" s="14" t="inlineStr">
        <is>
          <t>Built</t>
        </is>
      </c>
      <c r="F159" s="12" t="inlineStr"/>
      <c r="G159" s="12" t="inlineStr">
        <is>
          <t>4.10</t>
        </is>
      </c>
      <c r="H159" s="12" t="inlineStr"/>
      <c r="I159" s="17" t="n"/>
      <c r="J159" s="17" t="n"/>
    </row>
    <row r="160">
      <c r="A160" s="12" t="inlineStr">
        <is>
          <t>Leads</t>
        </is>
      </c>
      <c r="B160" s="12" t="inlineStr">
        <is>
          <t>D-08</t>
        </is>
      </c>
      <c r="C160" s="12" t="inlineStr">
        <is>
          <t>Lead detail</t>
        </is>
      </c>
      <c r="D160" s="14" t="inlineStr">
        <is>
          <t>Commission pending callout</t>
        </is>
      </c>
      <c r="E160" s="14" t="inlineStr">
        <is>
          <t>Later</t>
        </is>
      </c>
      <c r="F160" s="12" t="inlineStr">
        <is>
          <t>Projects module</t>
        </is>
      </c>
      <c r="G160" s="12" t="inlineStr"/>
      <c r="H160" s="12" t="inlineStr"/>
      <c r="I160" s="17" t="n"/>
      <c r="J160" s="17" t="n"/>
    </row>
    <row r="161">
      <c r="A161" s="12" t="inlineStr">
        <is>
          <t>Leads</t>
        </is>
      </c>
      <c r="B161" s="12" t="inlineStr">
        <is>
          <t>D-09</t>
        </is>
      </c>
      <c r="C161" s="12" t="inlineStr">
        <is>
          <t>Lead detail</t>
        </is>
      </c>
      <c r="D161" s="14" t="inlineStr">
        <is>
          <t>Remarks shown on the lead</t>
        </is>
      </c>
      <c r="E161" s="14" t="inlineStr">
        <is>
          <t>Built</t>
        </is>
      </c>
      <c r="F161" s="12" t="inlineStr"/>
      <c r="G161" s="12" t="inlineStr">
        <is>
          <t>5.02</t>
        </is>
      </c>
      <c r="H161" s="12" t="inlineStr"/>
      <c r="I161" s="17" t="n"/>
      <c r="J161" s="17" t="n"/>
    </row>
    <row r="162">
      <c r="A162" s="12" t="inlineStr">
        <is>
          <t>Leads</t>
        </is>
      </c>
      <c r="B162" s="12" t="inlineStr">
        <is>
          <t>D-10</t>
        </is>
      </c>
      <c r="C162" s="12" t="inlineStr">
        <is>
          <t>Lead detail</t>
        </is>
      </c>
      <c r="D162" s="14" t="inlineStr">
        <is>
          <t>Response time card</t>
        </is>
      </c>
      <c r="E162" s="14" t="inlineStr">
        <is>
          <t>Built in parity round 5</t>
        </is>
      </c>
      <c r="F162" s="12" t="inlineStr"/>
      <c r="G162" s="12" t="inlineStr">
        <is>
          <t>5.21</t>
        </is>
      </c>
      <c r="H162" s="12" t="inlineStr"/>
      <c r="I162" s="17" t="n"/>
      <c r="J162" s="17" t="n"/>
    </row>
    <row r="163">
      <c r="A163" s="12" t="inlineStr">
        <is>
          <t>Leads</t>
        </is>
      </c>
      <c r="B163" s="12" t="inlineStr">
        <is>
          <t>D-11</t>
        </is>
      </c>
      <c r="C163" s="12" t="inlineStr">
        <is>
          <t>Lead detail</t>
        </is>
      </c>
      <c r="D163" s="14" t="inlineStr">
        <is>
          <t>Meeting intelligence and briefs</t>
        </is>
      </c>
      <c r="E163" s="14" t="inlineStr">
        <is>
          <t>Later</t>
        </is>
      </c>
      <c r="F163" s="12" t="inlineStr">
        <is>
          <t>Tools module</t>
        </is>
      </c>
      <c r="G163" s="12" t="inlineStr"/>
      <c r="H163" s="12" t="inlineStr"/>
      <c r="I163" s="17" t="n"/>
      <c r="J163" s="17" t="n"/>
    </row>
    <row r="164">
      <c r="A164" s="12" t="inlineStr">
        <is>
          <t>Leads</t>
        </is>
      </c>
      <c r="B164" s="12" t="inlineStr">
        <is>
          <t>D-12</t>
        </is>
      </c>
      <c r="C164" s="12" t="inlineStr">
        <is>
          <t>Lead detail</t>
        </is>
      </c>
      <c r="D164" s="14" t="inlineStr">
        <is>
          <t>Autosave of the whole drawer</t>
        </is>
      </c>
      <c r="E164" s="14" t="inlineStr">
        <is>
          <t>Built</t>
        </is>
      </c>
      <c r="F164" s="12" t="inlineStr"/>
      <c r="G164" s="12" t="inlineStr">
        <is>
          <t>5.06</t>
        </is>
      </c>
      <c r="H164" s="12" t="inlineStr"/>
      <c r="I164" s="17" t="n"/>
      <c r="J164" s="17" t="n"/>
    </row>
    <row r="165">
      <c r="A165" s="12" t="inlineStr">
        <is>
          <t>Leads</t>
        </is>
      </c>
      <c r="B165" s="12" t="inlineStr">
        <is>
          <t>D-13</t>
        </is>
      </c>
      <c r="C165" s="12" t="inlineStr">
        <is>
          <t>Lead detail</t>
        </is>
      </c>
      <c r="D165" s="14" t="inlineStr">
        <is>
          <t>Checks before a status move</t>
        </is>
      </c>
      <c r="E165" s="14" t="inlineStr">
        <is>
          <t>Built</t>
        </is>
      </c>
      <c r="F165" s="12" t="inlineStr"/>
      <c r="G165" s="12" t="inlineStr">
        <is>
          <t>5.07</t>
        </is>
      </c>
      <c r="H165" s="12" t="inlineStr"/>
      <c r="I165" s="17" t="n"/>
      <c r="J165" s="17" t="n"/>
    </row>
    <row r="166">
      <c r="A166" s="12" t="inlineStr">
        <is>
          <t>Leads</t>
        </is>
      </c>
      <c r="B166" s="12" t="inlineStr">
        <is>
          <t>D-14</t>
        </is>
      </c>
      <c r="C166" s="12" t="inlineStr">
        <is>
          <t>Lead detail</t>
        </is>
      </c>
      <c r="D166" s="14" t="inlineStr">
        <is>
          <t>Side effects of a move: tasks cancelled or reassigned</t>
        </is>
      </c>
      <c r="E166" s="14" t="inlineStr">
        <is>
          <t>Not built — by design</t>
        </is>
      </c>
      <c r="F166" s="12" t="inlineStr">
        <is>
          <t>Lost keeps tasks; tasks keep their members (Q-29, Q-32)</t>
        </is>
      </c>
      <c r="G166" s="12" t="inlineStr">
        <is>
          <t>5.08</t>
        </is>
      </c>
      <c r="H166" s="12" t="inlineStr"/>
      <c r="I166" s="17" t="n"/>
      <c r="J166" s="17" t="n"/>
    </row>
    <row r="167">
      <c r="A167" s="12" t="inlineStr">
        <is>
          <t>Leads</t>
        </is>
      </c>
      <c r="B167" s="12" t="inlineStr">
        <is>
          <t>D-15</t>
        </is>
      </c>
      <c r="C167" s="12" t="inlineStr">
        <is>
          <t>Lead detail</t>
        </is>
      </c>
      <c r="D167" s="14" t="inlineStr">
        <is>
          <t>Undo after 'Lead moved to Closed'</t>
        </is>
      </c>
      <c r="E167" s="14" t="inlineStr">
        <is>
          <t>Built in parity round 1</t>
        </is>
      </c>
      <c r="F167" s="12" t="inlineStr"/>
      <c r="G167" s="12" t="inlineStr">
        <is>
          <t>9.09</t>
        </is>
      </c>
      <c r="H167" s="12" t="inlineStr"/>
      <c r="I167" s="17" t="n"/>
      <c r="J167" s="17" t="n"/>
    </row>
    <row r="168">
      <c r="A168" s="12" t="inlineStr">
        <is>
          <t>Leads</t>
        </is>
      </c>
      <c r="B168" s="12" t="inlineStr">
        <is>
          <t>D-16</t>
        </is>
      </c>
      <c r="C168" s="12" t="inlineStr">
        <is>
          <t>Lead detail</t>
        </is>
      </c>
      <c r="D168" s="14" t="inlineStr">
        <is>
          <t>Create Project opens on Signed</t>
        </is>
      </c>
      <c r="E168" s="14" t="inlineStr">
        <is>
          <t>Later</t>
        </is>
      </c>
      <c r="F168" s="12" t="inlineStr">
        <is>
          <t>Projects module</t>
        </is>
      </c>
      <c r="G168" s="12" t="inlineStr">
        <is>
          <t>9.04</t>
        </is>
      </c>
      <c r="H168" s="12" t="inlineStr"/>
      <c r="I168" s="17" t="n"/>
      <c r="J168" s="17" t="n"/>
    </row>
    <row r="169">
      <c r="A169" s="12" t="inlineStr">
        <is>
          <t>Leads</t>
        </is>
      </c>
      <c r="B169" s="12" t="inlineStr">
        <is>
          <t>D-17</t>
        </is>
      </c>
      <c r="C169" s="12" t="inlineStr">
        <is>
          <t>Lead detail</t>
        </is>
      </c>
      <c r="D169" s="14" t="inlineStr">
        <is>
          <t>Contact details: call, email, copy</t>
        </is>
      </c>
      <c r="E169" s="14" t="inlineStr">
        <is>
          <t>Built</t>
        </is>
      </c>
      <c r="F169" s="12" t="inlineStr"/>
      <c r="G169" s="12" t="inlineStr">
        <is>
          <t>5.02</t>
        </is>
      </c>
      <c r="H169" s="12" t="inlineStr"/>
      <c r="I169" s="17" t="n"/>
      <c r="J169" s="17" t="n"/>
    </row>
    <row r="170">
      <c r="A170" s="12" t="inlineStr">
        <is>
          <t>Leads</t>
        </is>
      </c>
      <c r="B170" s="12" t="inlineStr">
        <is>
          <t>D-18</t>
        </is>
      </c>
      <c r="C170" s="12" t="inlineStr">
        <is>
          <t>Lead detail</t>
        </is>
      </c>
      <c r="D170" s="14" t="inlineStr">
        <is>
          <t>Invite to Portal</t>
        </is>
      </c>
      <c r="E170" s="14" t="inlineStr">
        <is>
          <t>Built in parity round 3</t>
        </is>
      </c>
      <c r="F170" s="12" t="inlineStr"/>
      <c r="G170" s="12" t="inlineStr">
        <is>
          <t>9.13</t>
        </is>
      </c>
      <c r="H170" s="12" t="inlineStr"/>
      <c r="I170" s="17" t="n"/>
      <c r="J170" s="17" t="n"/>
    </row>
    <row r="171">
      <c r="A171" s="12" t="inlineStr">
        <is>
          <t>Leads</t>
        </is>
      </c>
      <c r="B171" s="12" t="inlineStr">
        <is>
          <t>D-19</t>
        </is>
      </c>
      <c r="C171" s="12" t="inlineStr">
        <is>
          <t>Lead detail</t>
        </is>
      </c>
      <c r="D171" s="14" t="inlineStr">
        <is>
          <t>Budget, property and area tiles</t>
        </is>
      </c>
      <c r="E171" s="14" t="inlineStr">
        <is>
          <t>Built</t>
        </is>
      </c>
      <c r="F171" s="12" t="inlineStr"/>
      <c r="G171" s="12" t="inlineStr">
        <is>
          <t>5.02</t>
        </is>
      </c>
      <c r="H171" s="12" t="inlineStr"/>
      <c r="I171" s="17" t="n"/>
      <c r="J171" s="17" t="n"/>
    </row>
    <row r="172">
      <c r="A172" s="12" t="inlineStr">
        <is>
          <t>Leads</t>
        </is>
      </c>
      <c r="B172" s="12" t="inlineStr">
        <is>
          <t>D-20</t>
        </is>
      </c>
      <c r="C172" s="12" t="inlineStr">
        <is>
          <t>Lead detail</t>
        </is>
      </c>
      <c r="D172" s="14" t="inlineStr">
        <is>
          <t>Property info</t>
        </is>
      </c>
      <c r="E172" s="14" t="inlineStr">
        <is>
          <t>Built</t>
        </is>
      </c>
      <c r="F172" s="12" t="inlineStr"/>
      <c r="G172" s="12" t="inlineStr">
        <is>
          <t>5.02</t>
        </is>
      </c>
      <c r="H172" s="12" t="inlineStr"/>
      <c r="I172" s="17" t="n"/>
      <c r="J172" s="17" t="n"/>
    </row>
    <row r="173">
      <c r="A173" s="12" t="inlineStr">
        <is>
          <t>Leads</t>
        </is>
      </c>
      <c r="B173" s="12" t="inlineStr">
        <is>
          <t>D-21</t>
        </is>
      </c>
      <c r="C173" s="12" t="inlineStr">
        <is>
          <t>Lead detail</t>
        </is>
      </c>
      <c r="D173" s="14" t="inlineStr">
        <is>
          <t>Remarks and additional info</t>
        </is>
      </c>
      <c r="E173" s="14" t="inlineStr">
        <is>
          <t>Built</t>
        </is>
      </c>
      <c r="F173" s="12" t="inlineStr"/>
      <c r="G173" s="12" t="inlineStr">
        <is>
          <t>5.02</t>
        </is>
      </c>
      <c r="H173" s="12" t="inlineStr"/>
      <c r="I173" s="17" t="n"/>
      <c r="J173" s="17" t="n"/>
    </row>
    <row r="174">
      <c r="A174" s="12" t="inlineStr">
        <is>
          <t>Leads</t>
        </is>
      </c>
      <c r="B174" s="12" t="inlineStr">
        <is>
          <t>D-22</t>
        </is>
      </c>
      <c r="C174" s="12" t="inlineStr">
        <is>
          <t>Lead detail</t>
        </is>
      </c>
      <c r="D174" s="14" t="inlineStr">
        <is>
          <t>IC / NRIC, Customer ID, quote valid until</t>
        </is>
      </c>
      <c r="E174" s="14" t="inlineStr">
        <is>
          <t>Built in parity round 1</t>
        </is>
      </c>
      <c r="F174" s="12" t="inlineStr">
        <is>
          <t>Quote valid-until stays on each quote</t>
        </is>
      </c>
      <c r="G174" s="12" t="inlineStr">
        <is>
          <t>5.06</t>
        </is>
      </c>
      <c r="H174" s="12" t="inlineStr"/>
      <c r="I174" s="17" t="n"/>
      <c r="J174" s="17" t="n"/>
    </row>
    <row r="175">
      <c r="A175" s="12" t="inlineStr">
        <is>
          <t>Leads</t>
        </is>
      </c>
      <c r="B175" s="12" t="inlineStr">
        <is>
          <t>D-23</t>
        </is>
      </c>
      <c r="C175" s="12" t="inlineStr">
        <is>
          <t>Lead detail</t>
        </is>
      </c>
      <c r="D175" s="14" t="inlineStr">
        <is>
          <t>Custom fields on the lead</t>
        </is>
      </c>
      <c r="E175" s="14" t="inlineStr">
        <is>
          <t>Built in parity round 6</t>
        </is>
      </c>
      <c r="F175" s="12" t="inlineStr"/>
      <c r="G175" s="12" t="inlineStr"/>
      <c r="H175" s="28" t="inlineStr">
        <is>
          <t>Team check</t>
        </is>
      </c>
      <c r="I175" s="17" t="n"/>
      <c r="J175" s="17" t="n"/>
    </row>
    <row r="176">
      <c r="A176" s="12" t="inlineStr">
        <is>
          <t>Leads</t>
        </is>
      </c>
      <c r="B176" s="12" t="inlineStr">
        <is>
          <t>D-24</t>
        </is>
      </c>
      <c r="C176" s="12" t="inlineStr">
        <is>
          <t>Lead detail</t>
        </is>
      </c>
      <c r="D176" s="14" t="inlineStr">
        <is>
          <t>Assigned designers with split and removal</t>
        </is>
      </c>
      <c r="E176" s="14" t="inlineStr">
        <is>
          <t>Built in parity round 7</t>
        </is>
      </c>
      <c r="F176" s="12" t="inlineStr">
        <is>
          <t>Removals now in Activity; commission split waits for Finance</t>
        </is>
      </c>
      <c r="G176" s="12" t="inlineStr">
        <is>
          <t>5.04</t>
        </is>
      </c>
      <c r="H176" s="12" t="inlineStr"/>
      <c r="I176" s="17" t="n"/>
      <c r="J176" s="17" t="n"/>
    </row>
    <row r="177">
      <c r="A177" s="12" t="inlineStr">
        <is>
          <t>Leads</t>
        </is>
      </c>
      <c r="B177" s="12" t="inlineStr">
        <is>
          <t>D-25</t>
        </is>
      </c>
      <c r="C177" s="12" t="inlineStr">
        <is>
          <t>Lead detail</t>
        </is>
      </c>
      <c r="D177" s="14" t="inlineStr">
        <is>
          <t>AI recommendation card</t>
        </is>
      </c>
      <c r="E177" s="14" t="inlineStr">
        <is>
          <t>Built in parity round 6</t>
        </is>
      </c>
      <c r="F177" s="12" t="inlineStr">
        <is>
          <t>Scored the 1.0 way, without AI</t>
        </is>
      </c>
      <c r="G177" s="12" t="inlineStr">
        <is>
          <t>5.04</t>
        </is>
      </c>
      <c r="H177" s="12" t="inlineStr"/>
      <c r="I177" s="17" t="n"/>
      <c r="J177" s="17" t="n"/>
    </row>
    <row r="178">
      <c r="A178" s="12" t="inlineStr">
        <is>
          <t>Leads</t>
        </is>
      </c>
      <c r="B178" s="12" t="inlineStr">
        <is>
          <t>D-26</t>
        </is>
      </c>
      <c r="C178" s="12" t="inlineStr">
        <is>
          <t>Lead detail</t>
        </is>
      </c>
      <c r="D178" s="14" t="inlineStr">
        <is>
          <t>Old notify-only assign route</t>
        </is>
      </c>
      <c r="E178" s="14" t="inlineStr">
        <is>
          <t>Dead</t>
        </is>
      </c>
      <c r="F178" s="12" t="inlineStr">
        <is>
          <t>No user could reach it</t>
        </is>
      </c>
      <c r="G178" s="12" t="inlineStr"/>
      <c r="H178" s="12" t="inlineStr"/>
      <c r="I178" s="17" t="n"/>
      <c r="J178" s="17" t="n"/>
    </row>
    <row r="179">
      <c r="A179" s="12" t="inlineStr">
        <is>
          <t>Leads</t>
        </is>
      </c>
      <c r="B179" s="12" t="inlineStr">
        <is>
          <t>D-27</t>
        </is>
      </c>
      <c r="C179" s="12" t="inlineStr">
        <is>
          <t>Lead detail</t>
        </is>
      </c>
      <c r="D179" s="14" t="inlineStr">
        <is>
          <t>Status and sub-status controls</t>
        </is>
      </c>
      <c r="E179" s="14" t="inlineStr">
        <is>
          <t>Built</t>
        </is>
      </c>
      <c r="F179" s="12" t="inlineStr"/>
      <c r="G179" s="12" t="inlineStr">
        <is>
          <t>5.19, 5.20, 12.06</t>
        </is>
      </c>
      <c r="H179" s="12" t="inlineStr"/>
      <c r="I179" s="17" t="n"/>
      <c r="J179" s="17" t="n"/>
    </row>
    <row r="180">
      <c r="A180" s="12" t="inlineStr">
        <is>
          <t>Leads</t>
        </is>
      </c>
      <c r="B180" s="12" t="inlineStr">
        <is>
          <t>D-28</t>
        </is>
      </c>
      <c r="C180" s="12" t="inlineStr">
        <is>
          <t>Lead detail</t>
        </is>
      </c>
      <c r="D180" s="14" t="inlineStr">
        <is>
          <t>Next follow-up with its task</t>
        </is>
      </c>
      <c r="E180" s="14" t="inlineStr">
        <is>
          <t>Built in parity round 2</t>
        </is>
      </c>
      <c r="F180" s="12" t="inlineStr"/>
      <c r="G180" s="12" t="inlineStr">
        <is>
          <t>5.05</t>
        </is>
      </c>
      <c r="H180" s="12" t="inlineStr"/>
      <c r="I180" s="17" t="n"/>
      <c r="J180" s="17" t="n"/>
    </row>
    <row r="181">
      <c r="A181" s="12" t="inlineStr">
        <is>
          <t>Leads</t>
        </is>
      </c>
      <c r="B181" s="12" t="inlineStr">
        <is>
          <t>D-29</t>
        </is>
      </c>
      <c r="C181" s="12" t="inlineStr">
        <is>
          <t>Lead detail</t>
        </is>
      </c>
      <c r="D181" s="14" t="inlineStr">
        <is>
          <t>Project type picker</t>
        </is>
      </c>
      <c r="E181" s="14" t="inlineStr">
        <is>
          <t>Not built — by design</t>
        </is>
      </c>
      <c r="F181" s="12" t="inlineStr">
        <is>
          <t>The Won step's three project types (Q-34)</t>
        </is>
      </c>
      <c r="G181" s="12" t="inlineStr">
        <is>
          <t>9.04</t>
        </is>
      </c>
      <c r="H181" s="12" t="inlineStr"/>
      <c r="I181" s="17" t="n"/>
      <c r="J181" s="17" t="n"/>
    </row>
    <row r="182">
      <c r="A182" s="12" t="inlineStr">
        <is>
          <t>Leads</t>
        </is>
      </c>
      <c r="B182" s="12" t="inlineStr">
        <is>
          <t>D-30</t>
        </is>
      </c>
      <c r="C182" s="12" t="inlineStr">
        <is>
          <t>Lead detail</t>
        </is>
      </c>
      <c r="D182" s="14" t="inlineStr">
        <is>
          <t>Contract block on the lead</t>
        </is>
      </c>
      <c r="E182" s="14" t="inlineStr">
        <is>
          <t>Built</t>
        </is>
      </c>
      <c r="F182" s="12" t="inlineStr"/>
      <c r="G182" s="12" t="inlineStr">
        <is>
          <t>9.02</t>
        </is>
      </c>
      <c r="H182" s="12" t="inlineStr"/>
      <c r="I182" s="17" t="n"/>
      <c r="J182" s="17" t="n"/>
    </row>
    <row r="183">
      <c r="A183" s="12" t="inlineStr">
        <is>
          <t>Leads</t>
        </is>
      </c>
      <c r="B183" s="12" t="inlineStr">
        <is>
          <t>D-31</t>
        </is>
      </c>
      <c r="C183" s="12" t="inlineStr">
        <is>
          <t>Lead detail</t>
        </is>
      </c>
      <c r="D183" s="14" t="inlineStr">
        <is>
          <t>Old status and follow-up routes</t>
        </is>
      </c>
      <c r="E183" s="14" t="inlineStr">
        <is>
          <t>Dead</t>
        </is>
      </c>
      <c r="F183" s="12" t="inlineStr">
        <is>
          <t>No user could reach them</t>
        </is>
      </c>
      <c r="G183" s="12" t="inlineStr"/>
      <c r="H183" s="12" t="inlineStr"/>
      <c r="I183" s="17" t="n"/>
      <c r="J183" s="17" t="n"/>
    </row>
    <row r="184">
      <c r="A184" s="12" t="inlineStr">
        <is>
          <t>Leads</t>
        </is>
      </c>
      <c r="B184" s="12" t="inlineStr">
        <is>
          <t>D-32</t>
        </is>
      </c>
      <c r="C184" s="12" t="inlineStr">
        <is>
          <t>Lead detail</t>
        </is>
      </c>
      <c r="D184" s="14" t="inlineStr">
        <is>
          <t>Journey section: hold, resume, close</t>
        </is>
      </c>
      <c r="E184" s="14" t="inlineStr">
        <is>
          <t>Excluded</t>
        </is>
      </c>
      <c r="F184" s="12" t="inlineStr">
        <is>
          <t>Journey mode excluded; its rules live in On Hold and Lost</t>
        </is>
      </c>
      <c r="G184" s="12" t="inlineStr"/>
      <c r="H184" s="12" t="inlineStr"/>
      <c r="I184" s="17" t="n"/>
      <c r="J184" s="17" t="n"/>
    </row>
    <row r="185">
      <c r="A185" s="12" t="inlineStr">
        <is>
          <t>Leads</t>
        </is>
      </c>
      <c r="B185" s="12" t="inlineStr">
        <is>
          <t>D-33</t>
        </is>
      </c>
      <c r="C185" s="12" t="inlineStr">
        <is>
          <t>Lead detail</t>
        </is>
      </c>
      <c r="D185" s="14" t="inlineStr">
        <is>
          <t>Files section</t>
        </is>
      </c>
      <c r="E185" s="14" t="inlineStr">
        <is>
          <t>Built</t>
        </is>
      </c>
      <c r="F185" s="12" t="inlineStr"/>
      <c r="G185" s="12" t="inlineStr">
        <is>
          <t>5.14, 5.15</t>
        </is>
      </c>
      <c r="H185" s="12" t="inlineStr"/>
      <c r="I185" s="17" t="n"/>
      <c r="J185" s="17" t="n"/>
    </row>
    <row r="186">
      <c r="A186" s="12" t="inlineStr">
        <is>
          <t>Leads</t>
        </is>
      </c>
      <c r="B186" s="12" t="inlineStr">
        <is>
          <t>D-34</t>
        </is>
      </c>
      <c r="C186" s="12" t="inlineStr">
        <is>
          <t>Lead detail</t>
        </is>
      </c>
      <c r="D186" s="14" t="inlineStr">
        <is>
          <t>Journey evidence artifacts</t>
        </is>
      </c>
      <c r="E186" s="14" t="inlineStr">
        <is>
          <t>Excluded</t>
        </is>
      </c>
      <c r="F186" s="12" t="inlineStr">
        <is>
          <t>Excluded with Journey mode</t>
        </is>
      </c>
      <c r="G186" s="12" t="inlineStr"/>
      <c r="H186" s="12" t="inlineStr"/>
      <c r="I186" s="17" t="n"/>
      <c r="J186" s="17" t="n"/>
    </row>
    <row r="187">
      <c r="A187" s="12" t="inlineStr">
        <is>
          <t>Leads</t>
        </is>
      </c>
      <c r="B187" s="12" t="inlineStr">
        <is>
          <t>D-35</t>
        </is>
      </c>
      <c r="C187" s="12" t="inlineStr">
        <is>
          <t>Lead detail</t>
        </is>
      </c>
      <c r="D187" s="14" t="inlineStr">
        <is>
          <t>Homeowner questionnaire</t>
        </is>
      </c>
      <c r="E187" s="14" t="inlineStr">
        <is>
          <t>Built in parity round 6</t>
        </is>
      </c>
      <c r="F187" s="12" t="inlineStr"/>
      <c r="G187" s="12" t="inlineStr">
        <is>
          <t>5.17</t>
        </is>
      </c>
      <c r="H187" s="12" t="inlineStr"/>
      <c r="I187" s="17" t="n"/>
      <c r="J187" s="17" t="n"/>
    </row>
    <row r="188">
      <c r="A188" s="12" t="inlineStr">
        <is>
          <t>Leads</t>
        </is>
      </c>
      <c r="B188" s="12" t="inlineStr">
        <is>
          <t>D-36</t>
        </is>
      </c>
      <c r="C188" s="12" t="inlineStr">
        <is>
          <t>Lead detail</t>
        </is>
      </c>
      <c r="D188" s="14" t="inlineStr">
        <is>
          <t>Ask the homeowner to answer</t>
        </is>
      </c>
      <c r="E188" s="14" t="inlineStr">
        <is>
          <t>Built in parity round 3</t>
        </is>
      </c>
      <c r="F188" s="12" t="inlineStr">
        <is>
          <t>Ask recorded; no 5-minute throttle, by design</t>
        </is>
      </c>
      <c r="G188" s="12" t="inlineStr">
        <is>
          <t>5.18</t>
        </is>
      </c>
      <c r="H188" s="12" t="inlineStr"/>
      <c r="I188" s="17" t="n"/>
      <c r="J188" s="17" t="n"/>
    </row>
    <row r="189">
      <c r="A189" s="12" t="inlineStr">
        <is>
          <t>Leads</t>
        </is>
      </c>
      <c r="B189" s="12" t="inlineStr">
        <is>
          <t>D-37</t>
        </is>
      </c>
      <c r="C189" s="12" t="inlineStr">
        <is>
          <t>Lead detail</t>
        </is>
      </c>
      <c r="D189" s="14" t="inlineStr">
        <is>
          <t>Activity log</t>
        </is>
      </c>
      <c r="E189" s="14" t="inlineStr">
        <is>
          <t>Built in parity round 7</t>
        </is>
      </c>
      <c r="F189" s="12" t="inlineStr"/>
      <c r="G189" s="12" t="inlineStr">
        <is>
          <t>5.22</t>
        </is>
      </c>
      <c r="H189" s="12" t="inlineStr"/>
      <c r="I189" s="17" t="n"/>
      <c r="J189" s="17" t="n"/>
    </row>
    <row r="190">
      <c r="A190" s="12" t="inlineStr">
        <is>
          <t>Leads</t>
        </is>
      </c>
      <c r="B190" s="12" t="inlineStr">
        <is>
          <t>D-38</t>
        </is>
      </c>
      <c r="C190" s="12" t="inlineStr">
        <is>
          <t>Lead detail</t>
        </is>
      </c>
      <c r="D190" s="14" t="inlineStr">
        <is>
          <t>Who may return a lead, and when</t>
        </is>
      </c>
      <c r="E190" s="14" t="inlineStr">
        <is>
          <t>Built in parity round 3</t>
        </is>
      </c>
      <c r="F190" s="12" t="inlineStr">
        <is>
          <t>Rules shown, not enforced; any-stage return kept (Q-08, Q-44)</t>
        </is>
      </c>
      <c r="G190" s="12" t="inlineStr">
        <is>
          <t>9.10, 9.12</t>
        </is>
      </c>
      <c r="H190" s="12" t="inlineStr"/>
      <c r="I190" s="17" t="n"/>
      <c r="J190" s="17" t="n"/>
    </row>
    <row r="191">
      <c r="A191" s="12" t="inlineStr">
        <is>
          <t>Leads</t>
        </is>
      </c>
      <c r="B191" s="12" t="inlineStr">
        <is>
          <t>D-39</t>
        </is>
      </c>
      <c r="C191" s="12" t="inlineStr">
        <is>
          <t>Lead detail</t>
        </is>
      </c>
      <c r="D191" s="14" t="inlineStr">
        <is>
          <t>Return wizard with seven reasons</t>
        </is>
      </c>
      <c r="E191" s="14" t="inlineStr">
        <is>
          <t>Built in parity round 3</t>
        </is>
      </c>
      <c r="F191" s="12" t="inlineStr">
        <is>
          <t>Return policy PDF and 1.0's eight tips not ported</t>
        </is>
      </c>
      <c r="G191" s="12" t="inlineStr">
        <is>
          <t>9.11</t>
        </is>
      </c>
      <c r="H191" s="12" t="inlineStr"/>
      <c r="I191" s="17" t="n"/>
      <c r="J191" s="17" t="n"/>
    </row>
    <row r="192">
      <c r="A192" s="12" t="inlineStr">
        <is>
          <t>Leads</t>
        </is>
      </c>
      <c r="B192" s="12" t="inlineStr">
        <is>
          <t>D-40</t>
        </is>
      </c>
      <c r="C192" s="12" t="inlineStr">
        <is>
          <t>Lead detail</t>
        </is>
      </c>
      <c r="D192" s="14" t="inlineStr">
        <is>
          <t>Refund request kept on record</t>
        </is>
      </c>
      <c r="E192" s="14" t="inlineStr">
        <is>
          <t>Built</t>
        </is>
      </c>
      <c r="F192" s="12" t="inlineStr"/>
      <c r="G192" s="12" t="inlineStr">
        <is>
          <t>9.11</t>
        </is>
      </c>
      <c r="H192" s="12" t="inlineStr"/>
      <c r="I192" s="17" t="n"/>
      <c r="J192" s="17" t="n"/>
    </row>
    <row r="193">
      <c r="A193" s="12" t="inlineStr">
        <is>
          <t>Leads</t>
        </is>
      </c>
      <c r="B193" s="12" t="inlineStr">
        <is>
          <t>D-41</t>
        </is>
      </c>
      <c r="C193" s="12" t="inlineStr">
        <is>
          <t>Lead detail</t>
        </is>
      </c>
      <c r="D193" s="14" t="inlineStr">
        <is>
          <t>Quote summary, approvals and comments on the lead</t>
        </is>
      </c>
      <c r="E193" s="14" t="inlineStr">
        <is>
          <t>Later</t>
        </is>
      </c>
      <c r="F193" s="12" t="inlineStr">
        <is>
          <t>Quotes module; see the quote audits</t>
        </is>
      </c>
      <c r="G193" s="12" t="inlineStr"/>
      <c r="H193" s="12" t="inlineStr"/>
      <c r="I193" s="17" t="n"/>
      <c r="J193" s="17" t="n"/>
    </row>
    <row r="194">
      <c r="A194" s="12" t="inlineStr">
        <is>
          <t>Leads</t>
        </is>
      </c>
      <c r="B194" s="12" t="inlineStr">
        <is>
          <t>D-42</t>
        </is>
      </c>
      <c r="C194" s="12" t="inlineStr">
        <is>
          <t>Lead detail</t>
        </is>
      </c>
      <c r="D194" s="14" t="inlineStr">
        <is>
          <t>Move a lead's quotes to another entity</t>
        </is>
      </c>
      <c r="E194" s="14" t="inlineStr">
        <is>
          <t>Later</t>
        </is>
      </c>
      <c r="F194" s="12" t="inlineStr">
        <is>
          <t>Quotes module</t>
        </is>
      </c>
      <c r="G194" s="12" t="inlineStr"/>
      <c r="H194" s="12" t="inlineStr"/>
      <c r="I194" s="17" t="n"/>
      <c r="J194" s="17" t="n"/>
    </row>
    <row r="195">
      <c r="A195" s="12" t="inlineStr">
        <is>
          <t>Leads</t>
        </is>
      </c>
      <c r="B195" s="12" t="inlineStr">
        <is>
          <t>D-43</t>
        </is>
      </c>
      <c r="C195" s="12" t="inlineStr">
        <is>
          <t>Lead detail</t>
        </is>
      </c>
      <c r="D195" s="14" t="inlineStr">
        <is>
          <t>Archive and revive</t>
        </is>
      </c>
      <c r="E195" s="14" t="inlineStr">
        <is>
          <t>Excluded</t>
        </is>
      </c>
      <c r="F195" s="12" t="inlineStr">
        <is>
          <t>Archive excluded; Deleted Leads restores instead</t>
        </is>
      </c>
      <c r="G195" s="12" t="inlineStr">
        <is>
          <t>9.15</t>
        </is>
      </c>
      <c r="H195" s="12" t="inlineStr"/>
      <c r="I195" s="17" t="n"/>
      <c r="J195" s="17" t="n"/>
    </row>
    <row r="196">
      <c r="A196" s="12" t="inlineStr">
        <is>
          <t>Leads</t>
        </is>
      </c>
      <c r="B196" s="12" t="inlineStr">
        <is>
          <t>D-44</t>
        </is>
      </c>
      <c r="C196" s="12" t="inlineStr">
        <is>
          <t>Lead detail</t>
        </is>
      </c>
      <c r="D196" s="14" t="inlineStr">
        <is>
          <t>Engagement state</t>
        </is>
      </c>
      <c r="E196" s="14" t="inlineStr">
        <is>
          <t>Dead</t>
        </is>
      </c>
      <c r="F196" s="12" t="inlineStr">
        <is>
          <t>Only hold and resume survive</t>
        </is>
      </c>
      <c r="G196" s="12" t="inlineStr"/>
      <c r="H196" s="12" t="inlineStr"/>
      <c r="I196" s="17" t="n"/>
      <c r="J196" s="17" t="n"/>
    </row>
    <row r="197">
      <c r="A197" s="12" t="inlineStr">
        <is>
          <t>Leads</t>
        </is>
      </c>
      <c r="B197" s="12" t="inlineStr">
        <is>
          <t>D-45</t>
        </is>
      </c>
      <c r="C197" s="12" t="inlineStr">
        <is>
          <t>Lead detail</t>
        </is>
      </c>
      <c r="D197" s="14" t="inlineStr">
        <is>
          <t>Promote a lead link to a project</t>
        </is>
      </c>
      <c r="E197" s="14" t="inlineStr">
        <is>
          <t>Later</t>
        </is>
      </c>
      <c r="F197" s="12" t="inlineStr">
        <is>
          <t>Projects module</t>
        </is>
      </c>
      <c r="G197" s="12" t="inlineStr"/>
      <c r="H197" s="12" t="inlineStr"/>
      <c r="I197" s="17" t="n"/>
      <c r="J197" s="17" t="n"/>
    </row>
    <row r="198">
      <c r="A198" s="12" t="inlineStr">
        <is>
          <t>Leads</t>
        </is>
      </c>
      <c r="B198" s="12" t="inlineStr">
        <is>
          <t>D-46</t>
        </is>
      </c>
      <c r="C198" s="12" t="inlineStr">
        <is>
          <t>Lead detail</t>
        </is>
      </c>
      <c r="D198" s="14" t="inlineStr">
        <is>
          <t>Conversion readiness and Create Project</t>
        </is>
      </c>
      <c r="E198" s="14" t="inlineStr">
        <is>
          <t>Built</t>
        </is>
      </c>
      <c r="F198" s="12" t="inlineStr"/>
      <c r="G198" s="12" t="inlineStr">
        <is>
          <t>9.02</t>
        </is>
      </c>
      <c r="H198" s="12" t="inlineStr"/>
      <c r="I198" s="17" t="n"/>
      <c r="J198" s="17" t="n"/>
    </row>
    <row r="199">
      <c r="A199" s="12" t="inlineStr">
        <is>
          <t>Leads</t>
        </is>
      </c>
      <c r="B199" s="12" t="inlineStr">
        <is>
          <t>D-47</t>
        </is>
      </c>
      <c r="C199" s="12" t="inlineStr">
        <is>
          <t>Lead detail</t>
        </is>
      </c>
      <c r="D199" s="14" t="inlineStr">
        <is>
          <t>Contract flow and signing picker</t>
        </is>
      </c>
      <c r="E199" s="14" t="inlineStr">
        <is>
          <t>Later</t>
        </is>
      </c>
      <c r="F199" s="12" t="inlineStr">
        <is>
          <t>Contracts module; see the Contracts audit</t>
        </is>
      </c>
      <c r="G199" s="12" t="inlineStr"/>
      <c r="H199" s="12" t="inlineStr"/>
      <c r="I199" s="17" t="n"/>
      <c r="J199" s="17" t="n"/>
    </row>
    <row r="200">
      <c r="A200" s="12" t="inlineStr">
        <is>
          <t>Leads</t>
        </is>
      </c>
      <c r="B200" s="12" t="inlineStr">
        <is>
          <t>D-48</t>
        </is>
      </c>
      <c r="C200" s="12" t="inlineStr">
        <is>
          <t>Lead detail</t>
        </is>
      </c>
      <c r="D200" s="14" t="inlineStr">
        <is>
          <t>Quote approval as a task</t>
        </is>
      </c>
      <c r="E200" s="14" t="inlineStr">
        <is>
          <t>Later</t>
        </is>
      </c>
      <c r="F200" s="12" t="inlineStr">
        <is>
          <t>Quotes module</t>
        </is>
      </c>
      <c r="G200" s="12" t="inlineStr"/>
      <c r="H200" s="12" t="inlineStr"/>
      <c r="I200" s="17" t="n"/>
      <c r="J200" s="17" t="n"/>
    </row>
    <row r="201">
      <c r="A201" s="12" t="inlineStr">
        <is>
          <t>Leads</t>
        </is>
      </c>
      <c r="B201" s="12" t="inlineStr">
        <is>
          <t>D-49</t>
        </is>
      </c>
      <c r="C201" s="12" t="inlineStr">
        <is>
          <t>Lead detail</t>
        </is>
      </c>
      <c r="D201" s="14" t="inlineStr">
        <is>
          <t>Cancel a lead's tasks</t>
        </is>
      </c>
      <c r="E201" s="14" t="inlineStr">
        <is>
          <t>Not built — by design</t>
        </is>
      </c>
      <c r="F201" s="12" t="inlineStr">
        <is>
          <t>Tasks stay open after Lost (Q-29)</t>
        </is>
      </c>
      <c r="G201" s="12" t="inlineStr"/>
      <c r="H201" s="12" t="inlineStr"/>
      <c r="I201" s="17" t="n"/>
      <c r="J201" s="17" t="n"/>
    </row>
    <row r="202">
      <c r="A202" s="12" t="inlineStr">
        <is>
          <t>Leads</t>
        </is>
      </c>
      <c r="B202" s="12" t="inlineStr">
        <is>
          <t>D-50</t>
        </is>
      </c>
      <c r="C202" s="12" t="inlineStr">
        <is>
          <t>Lead detail</t>
        </is>
      </c>
      <c r="D202" s="14" t="inlineStr">
        <is>
          <t>Copilot brief saved to the lead</t>
        </is>
      </c>
      <c r="E202" s="14" t="inlineStr">
        <is>
          <t>Later</t>
        </is>
      </c>
      <c r="F202" s="12" t="inlineStr">
        <is>
          <t>Tools module</t>
        </is>
      </c>
      <c r="G202" s="12" t="inlineStr"/>
      <c r="H202" s="12" t="inlineStr"/>
      <c r="I202" s="17" t="n"/>
      <c r="J202" s="17" t="n"/>
    </row>
    <row r="203">
      <c r="A203" s="12" t="inlineStr">
        <is>
          <t>Leads</t>
        </is>
      </c>
      <c r="B203" s="12" t="inlineStr">
        <is>
          <t>D-51</t>
        </is>
      </c>
      <c r="C203" s="12" t="inlineStr">
        <is>
          <t>Lead detail</t>
        </is>
      </c>
      <c r="D203" s="14" t="inlineStr">
        <is>
          <t>Hangout lead</t>
        </is>
      </c>
      <c r="E203" s="14" t="inlineStr">
        <is>
          <t>Later</t>
        </is>
      </c>
      <c r="F203" s="12" t="inlineStr">
        <is>
          <t>Hangouts module</t>
        </is>
      </c>
      <c r="G203" s="12" t="inlineStr"/>
      <c r="H203" s="12" t="inlineStr"/>
      <c r="I203" s="17" t="n"/>
      <c r="J203" s="17" t="n"/>
    </row>
    <row r="204">
      <c r="A204" s="12" t="inlineStr">
        <is>
          <t>Leads</t>
        </is>
      </c>
      <c r="B204" s="12" t="inlineStr">
        <is>
          <t>D-52</t>
        </is>
      </c>
      <c r="C204" s="12" t="inlineStr">
        <is>
          <t>Lead detail</t>
        </is>
      </c>
      <c r="D204" s="14" t="inlineStr">
        <is>
          <t>What each role may do inside the lead</t>
        </is>
      </c>
      <c r="E204" s="14" t="inlineStr">
        <is>
          <t>Built</t>
        </is>
      </c>
      <c r="F204" s="12" t="inlineStr"/>
      <c r="G204" s="12" t="inlineStr"/>
      <c r="H204" s="28" t="inlineStr">
        <is>
          <t>Team check</t>
        </is>
      </c>
      <c r="I204" s="17" t="n"/>
      <c r="J204" s="17" t="n"/>
    </row>
    <row r="205">
      <c r="A205" s="12" t="inlineStr">
        <is>
          <t>Leads</t>
        </is>
      </c>
      <c r="B205" s="12" t="inlineStr">
        <is>
          <t>D-53</t>
        </is>
      </c>
      <c r="C205" s="12" t="inlineStr">
        <is>
          <t>Lead detail</t>
        </is>
      </c>
      <c r="D205" s="14" t="inlineStr">
        <is>
          <t>Flags, workflow switches, region, manager setting</t>
        </is>
      </c>
      <c r="E205" s="14" t="inlineStr">
        <is>
          <t>Not built — by design</t>
        </is>
      </c>
      <c r="F205" s="12" t="inlineStr">
        <is>
          <t>Switches declined (Q-26); region is platform; managers are built</t>
        </is>
      </c>
      <c r="G205" s="12" t="inlineStr"/>
      <c r="H205" s="12" t="inlineStr"/>
      <c r="I205" s="17" t="n"/>
      <c r="J205" s="17" t="n"/>
    </row>
    <row r="206">
      <c r="A206" s="12" t="inlineStr">
        <is>
          <t>Leads</t>
        </is>
      </c>
      <c r="B206" s="12" t="inlineStr">
        <is>
          <t>D-54</t>
        </is>
      </c>
      <c r="C206" s="12" t="inlineStr">
        <is>
          <t>Lead detail</t>
        </is>
      </c>
      <c r="D206" s="14" t="inlineStr">
        <is>
          <t>Tasks, Files, Notes, Questionnaire and Activity tabs</t>
        </is>
      </c>
      <c r="E206" s="14" t="inlineStr">
        <is>
          <t>2.0 only</t>
        </is>
      </c>
      <c r="F206" s="12" t="inlineStr">
        <is>
          <t>1.0 folded these into the drawer</t>
        </is>
      </c>
      <c r="G206" s="12" t="inlineStr">
        <is>
          <t>5.09, 5.10, 5.11, 5.12, 5.13, 5.16</t>
        </is>
      </c>
      <c r="H206" s="12" t="inlineStr"/>
      <c r="I206" s="17" t="n"/>
      <c r="J206" s="17" t="n"/>
    </row>
    <row r="207">
      <c r="A207" s="12" t="inlineStr">
        <is>
          <t>Leads</t>
        </is>
      </c>
      <c r="B207" s="12" t="inlineStr">
        <is>
          <t>S-01</t>
        </is>
      </c>
      <c r="C207" s="12" t="inlineStr">
        <is>
          <t>Stage engine</t>
        </is>
      </c>
      <c r="D207" s="14" t="inlineStr">
        <is>
          <t>Default funnel with per-status requirements</t>
        </is>
      </c>
      <c r="E207" s="14" t="inlineStr">
        <is>
          <t>Not built — by design</t>
        </is>
      </c>
      <c r="F207" s="12" t="inlineStr">
        <is>
          <t>Seven fixed stages, each asking its own fields (Q-01)</t>
        </is>
      </c>
      <c r="G207" s="12" t="inlineStr">
        <is>
          <t>5.07, 9.03</t>
        </is>
      </c>
      <c r="H207" s="12" t="inlineStr"/>
      <c r="I207" s="17" t="n"/>
      <c r="J207" s="17" t="n"/>
    </row>
    <row r="208">
      <c r="A208" s="12" t="inlineStr">
        <is>
          <t>Leads</t>
        </is>
      </c>
      <c r="B208" s="12" t="inlineStr">
        <is>
          <t>S-02</t>
        </is>
      </c>
      <c r="C208" s="12" t="inlineStr">
        <is>
          <t>Stage engine</t>
        </is>
      </c>
      <c r="D208" s="14" t="inlineStr">
        <is>
          <t>Deriving positions from old statuses</t>
        </is>
      </c>
      <c r="E208" s="14" t="inlineStr">
        <is>
          <t>Built</t>
        </is>
      </c>
      <c r="F208" s="12" t="inlineStr"/>
      <c r="G208" s="12" t="inlineStr"/>
      <c r="H208" s="28" t="inlineStr">
        <is>
          <t>Team check</t>
        </is>
      </c>
      <c r="I208" s="17" t="n"/>
      <c r="J208" s="17" t="n"/>
    </row>
    <row r="209">
      <c r="A209" s="12" t="inlineStr">
        <is>
          <t>Leads</t>
        </is>
      </c>
      <c r="B209" s="12" t="inlineStr">
        <is>
          <t>S-03</t>
        </is>
      </c>
      <c r="C209" s="12" t="inlineStr">
        <is>
          <t>Stage engine</t>
        </is>
      </c>
      <c r="D209" s="14" t="inlineStr">
        <is>
          <t>Checks before a move</t>
        </is>
      </c>
      <c r="E209" s="14" t="inlineStr">
        <is>
          <t>Built</t>
        </is>
      </c>
      <c r="F209" s="12" t="inlineStr"/>
      <c r="G209" s="12" t="inlineStr">
        <is>
          <t>4.23, 5.03, 5.07, 5.19, 6.39, 9.01, 9.02</t>
        </is>
      </c>
      <c r="H209" s="12" t="inlineStr"/>
      <c r="I209" s="17" t="n"/>
      <c r="J209" s="17" t="n"/>
    </row>
    <row r="210">
      <c r="A210" s="12" t="inlineStr">
        <is>
          <t>Leads</t>
        </is>
      </c>
      <c r="B210" s="12" t="inlineStr">
        <is>
          <t>S-04</t>
        </is>
      </c>
      <c r="C210" s="12" t="inlineStr">
        <is>
          <t>Stage engine</t>
        </is>
      </c>
      <c r="D210" s="14" t="inlineStr">
        <is>
          <t>Designers move forward only</t>
        </is>
      </c>
      <c r="E210" s="14" t="inlineStr">
        <is>
          <t>Built</t>
        </is>
      </c>
      <c r="F210" s="12" t="inlineStr"/>
      <c r="G210" s="12" t="inlineStr">
        <is>
          <t>5.20</t>
        </is>
      </c>
      <c r="H210" s="12" t="inlineStr"/>
      <c r="I210" s="17" t="n"/>
      <c r="J210" s="17" t="n"/>
    </row>
    <row r="211">
      <c r="A211" s="12" t="inlineStr">
        <is>
          <t>Leads</t>
        </is>
      </c>
      <c r="B211" s="12" t="inlineStr">
        <is>
          <t>S-05</t>
        </is>
      </c>
      <c r="C211" s="12" t="inlineStr">
        <is>
          <t>Stage engine</t>
        </is>
      </c>
      <c r="D211" s="14" t="inlineStr">
        <is>
          <t>Assignment writes and downgrade</t>
        </is>
      </c>
      <c r="E211" s="14" t="inlineStr">
        <is>
          <t>Not built — by design</t>
        </is>
      </c>
      <c r="F211" s="12" t="inlineStr">
        <is>
          <t>Past New the last member stays (Q-09)</t>
        </is>
      </c>
      <c r="G211" s="12" t="inlineStr"/>
      <c r="H211" s="12" t="inlineStr"/>
      <c r="I211" s="17" t="n"/>
      <c r="J211" s="17" t="n"/>
    </row>
    <row r="212">
      <c r="A212" s="12" t="inlineStr">
        <is>
          <t>Leads</t>
        </is>
      </c>
      <c r="B212" s="12" t="inlineStr">
        <is>
          <t>S-06</t>
        </is>
      </c>
      <c r="C212" s="12" t="inlineStr">
        <is>
          <t>Stage engine</t>
        </is>
      </c>
      <c r="D212" s="14" t="inlineStr">
        <is>
          <t>Where a new lead starts</t>
        </is>
      </c>
      <c r="E212" s="14" t="inlineStr">
        <is>
          <t>Built</t>
        </is>
      </c>
      <c r="F212" s="12" t="inlineStr"/>
      <c r="G212" s="12" t="inlineStr">
        <is>
          <t>4.05</t>
        </is>
      </c>
      <c r="H212" s="12" t="inlineStr"/>
      <c r="I212" s="17" t="n"/>
      <c r="J212" s="17" t="n"/>
    </row>
    <row r="213">
      <c r="A213" s="12" t="inlineStr">
        <is>
          <t>Leads</t>
        </is>
      </c>
      <c r="B213" s="12" t="inlineStr">
        <is>
          <t>S-07</t>
        </is>
      </c>
      <c r="C213" s="12" t="inlineStr">
        <is>
          <t>Stage engine</t>
        </is>
      </c>
      <c r="D213" s="14" t="inlineStr">
        <is>
          <t>Server guards on stage writes</t>
        </is>
      </c>
      <c r="E213" s="14" t="inlineStr">
        <is>
          <t>Built</t>
        </is>
      </c>
      <c r="F213" s="12" t="inlineStr"/>
      <c r="G213" s="12" t="inlineStr"/>
      <c r="H213" s="28" t="inlineStr">
        <is>
          <t>Team check</t>
        </is>
      </c>
      <c r="I213" s="17" t="n"/>
      <c r="J213" s="17" t="n"/>
    </row>
    <row r="214">
      <c r="A214" s="12" t="inlineStr">
        <is>
          <t>Leads</t>
        </is>
      </c>
      <c r="B214" s="12" t="inlineStr">
        <is>
          <t>S-08</t>
        </is>
      </c>
      <c r="C214" s="12" t="inlineStr">
        <is>
          <t>Stage engine</t>
        </is>
      </c>
      <c r="D214" s="14" t="inlineStr">
        <is>
          <t>Journey spine, tracker and mini-rail</t>
        </is>
      </c>
      <c r="E214" s="14" t="inlineStr">
        <is>
          <t>Excluded</t>
        </is>
      </c>
      <c r="F214" s="12" t="inlineStr">
        <is>
          <t>Journey mode excluded by the owner</t>
        </is>
      </c>
      <c r="G214" s="12" t="inlineStr"/>
      <c r="H214" s="12" t="inlineStr"/>
      <c r="I214" s="17" t="n"/>
      <c r="J214" s="17" t="n"/>
    </row>
    <row r="215">
      <c r="A215" s="12" t="inlineStr">
        <is>
          <t>Leads</t>
        </is>
      </c>
      <c r="B215" s="12" t="inlineStr">
        <is>
          <t>S-09</t>
        </is>
      </c>
      <c r="C215" s="12" t="inlineStr">
        <is>
          <t>Stage engine</t>
        </is>
      </c>
      <c r="D215" s="14" t="inlineStr">
        <is>
          <t>Contact attempts</t>
        </is>
      </c>
      <c r="E215" s="14" t="inlineStr">
        <is>
          <t>Built in parity round 1</t>
        </is>
      </c>
      <c r="F215" s="12" t="inlineStr"/>
      <c r="G215" s="12" t="inlineStr">
        <is>
          <t>5.08, 5.09</t>
        </is>
      </c>
      <c r="H215" s="12" t="inlineStr"/>
      <c r="I215" s="17" t="n"/>
      <c r="J215" s="17" t="n"/>
    </row>
    <row r="216">
      <c r="A216" s="12" t="inlineStr">
        <is>
          <t>Leads</t>
        </is>
      </c>
      <c r="B216" s="12" t="inlineStr">
        <is>
          <t>S-10</t>
        </is>
      </c>
      <c r="C216" s="12" t="inlineStr">
        <is>
          <t>Stage engine</t>
        </is>
      </c>
      <c r="D216" s="14" t="inlineStr">
        <is>
          <t>AI reads a chat screenshot</t>
        </is>
      </c>
      <c r="E216" s="14" t="inlineStr">
        <is>
          <t>Platform</t>
        </is>
      </c>
      <c r="F216" s="12" t="inlineStr">
        <is>
          <t>Auto Fill is a scripted stand-in</t>
        </is>
      </c>
      <c r="G216" s="12" t="inlineStr">
        <is>
          <t>5.11</t>
        </is>
      </c>
      <c r="H216" s="12" t="inlineStr"/>
      <c r="I216" s="17" t="n"/>
      <c r="J216" s="17" t="n"/>
    </row>
    <row r="217">
      <c r="A217" s="12" t="inlineStr">
        <is>
          <t>Leads</t>
        </is>
      </c>
      <c r="B217" s="12" t="inlineStr">
        <is>
          <t>S-11</t>
        </is>
      </c>
      <c r="C217" s="12" t="inlineStr">
        <is>
          <t>Stage engine</t>
        </is>
      </c>
      <c r="D217" s="14" t="inlineStr">
        <is>
          <t>Evidence files per step</t>
        </is>
      </c>
      <c r="E217" s="14" t="inlineStr">
        <is>
          <t>Excluded</t>
        </is>
      </c>
      <c r="F217" s="12" t="inlineStr">
        <is>
          <t>Journey mode excluded by the owner</t>
        </is>
      </c>
      <c r="G217" s="12" t="inlineStr"/>
      <c r="H217" s="12" t="inlineStr"/>
      <c r="I217" s="17" t="n"/>
      <c r="J217" s="17" t="n"/>
    </row>
    <row r="218">
      <c r="A218" s="12" t="inlineStr">
        <is>
          <t>Leads</t>
        </is>
      </c>
      <c r="B218" s="12" t="inlineStr">
        <is>
          <t>S-12</t>
        </is>
      </c>
      <c r="C218" s="12" t="inlineStr">
        <is>
          <t>Stage engine</t>
        </is>
      </c>
      <c r="D218" s="14" t="inlineStr">
        <is>
          <t>Engagement state and suggestions</t>
        </is>
      </c>
      <c r="E218" s="14" t="inlineStr">
        <is>
          <t>Dead</t>
        </is>
      </c>
      <c r="F218" s="12" t="inlineStr">
        <is>
          <t>1.0 had already removed it</t>
        </is>
      </c>
      <c r="G218" s="12" t="inlineStr"/>
      <c r="H218" s="12" t="inlineStr"/>
      <c r="I218" s="17" t="n"/>
      <c r="J218" s="17" t="n"/>
    </row>
    <row r="219">
      <c r="A219" s="12" t="inlineStr">
        <is>
          <t>Leads</t>
        </is>
      </c>
      <c r="B219" s="12" t="inlineStr">
        <is>
          <t>S-13</t>
        </is>
      </c>
      <c r="C219" s="12" t="inlineStr">
        <is>
          <t>Stage engine</t>
        </is>
      </c>
      <c r="D219" s="14" t="inlineStr">
        <is>
          <t>Put on hold and resume</t>
        </is>
      </c>
      <c r="E219" s="14" t="inlineStr">
        <is>
          <t>Built in parity round 1</t>
        </is>
      </c>
      <c r="F219" s="12" t="inlineStr">
        <is>
          <t>Reasons in round 1; the date reminder in round 2</t>
        </is>
      </c>
      <c r="G219" s="12" t="inlineStr">
        <is>
          <t>9.05, 9.06</t>
        </is>
      </c>
      <c r="H219" s="12" t="inlineStr"/>
      <c r="I219" s="17" t="n"/>
      <c r="J219" s="17" t="n"/>
    </row>
    <row r="220">
      <c r="A220" s="12" t="inlineStr">
        <is>
          <t>Leads</t>
        </is>
      </c>
      <c r="B220" s="12" t="inlineStr">
        <is>
          <t>S-14</t>
        </is>
      </c>
      <c r="C220" s="12" t="inlineStr">
        <is>
          <t>Stage engine</t>
        </is>
      </c>
      <c r="D220" s="14" t="inlineStr">
        <is>
          <t>Close a lead</t>
        </is>
      </c>
      <c r="E220" s="14" t="inlineStr">
        <is>
          <t>Built in parity round 1</t>
        </is>
      </c>
      <c r="F220" s="12" t="inlineStr">
        <is>
          <t>Tasks stay open after Lost, by design (Q-29)</t>
        </is>
      </c>
      <c r="G220" s="12" t="inlineStr">
        <is>
          <t>9.07, 9.08</t>
        </is>
      </c>
      <c r="H220" s="12" t="inlineStr"/>
      <c r="I220" s="17" t="n"/>
      <c r="J220" s="17" t="n"/>
    </row>
    <row r="221">
      <c r="A221" s="12" t="inlineStr">
        <is>
          <t>Leads</t>
        </is>
      </c>
      <c r="B221" s="12" t="inlineStr">
        <is>
          <t>S-15</t>
        </is>
      </c>
      <c r="C221" s="12" t="inlineStr">
        <is>
          <t>Stage engine</t>
        </is>
      </c>
      <c r="D221" s="14" t="inlineStr">
        <is>
          <t>Follow-up automation</t>
        </is>
      </c>
      <c r="E221" s="14" t="inlineStr">
        <is>
          <t>Built in parity round 2</t>
        </is>
      </c>
      <c r="F221" s="12" t="inlineStr"/>
      <c r="G221" s="12" t="inlineStr">
        <is>
          <t>5.05, 5.08</t>
        </is>
      </c>
      <c r="H221" s="12" t="inlineStr"/>
      <c r="I221" s="17" t="n"/>
      <c r="J221" s="17" t="n"/>
    </row>
    <row r="222">
      <c r="A222" s="12" t="inlineStr">
        <is>
          <t>Leads</t>
        </is>
      </c>
      <c r="B222" s="12" t="inlineStr">
        <is>
          <t>S-16</t>
        </is>
      </c>
      <c r="C222" s="12" t="inlineStr">
        <is>
          <t>Stage engine</t>
        </is>
      </c>
      <c r="D222" s="14" t="inlineStr">
        <is>
          <t>Reminder 30 minutes before a follow-up</t>
        </is>
      </c>
      <c r="E222" s="14" t="inlineStr">
        <is>
          <t>Built in parity round 2</t>
        </is>
      </c>
      <c r="F222" s="12" t="inlineStr"/>
      <c r="G222" s="12" t="inlineStr">
        <is>
          <t>5.05</t>
        </is>
      </c>
      <c r="H222" s="12" t="inlineStr"/>
      <c r="I222" s="17" t="n"/>
      <c r="J222" s="17" t="n"/>
    </row>
    <row r="223">
      <c r="A223" s="12" t="inlineStr">
        <is>
          <t>Leads</t>
        </is>
      </c>
      <c r="B223" s="12" t="inlineStr">
        <is>
          <t>S-17</t>
        </is>
      </c>
      <c r="C223" s="12" t="inlineStr">
        <is>
          <t>Stage engine</t>
        </is>
      </c>
      <c r="D223" s="14" t="inlineStr">
        <is>
          <t>Turnaround stamps and report</t>
        </is>
      </c>
      <c r="E223" s="14" t="inlineStr">
        <is>
          <t>Built in parity round 5</t>
        </is>
      </c>
      <c r="F223" s="12" t="inlineStr"/>
      <c r="G223" s="12" t="inlineStr"/>
      <c r="H223" s="28" t="inlineStr">
        <is>
          <t>Team check</t>
        </is>
      </c>
      <c r="I223" s="17" t="n"/>
      <c r="J223" s="17" t="n"/>
    </row>
    <row r="224">
      <c r="A224" s="12" t="inlineStr">
        <is>
          <t>Leads</t>
        </is>
      </c>
      <c r="B224" s="12" t="inlineStr">
        <is>
          <t>S-18</t>
        </is>
      </c>
      <c r="C224" s="12" t="inlineStr">
        <is>
          <t>Stage engine</t>
        </is>
      </c>
      <c r="D224" s="14" t="inlineStr">
        <is>
          <t>Client signature moves the lead to Signed</t>
        </is>
      </c>
      <c r="E224" s="14" t="inlineStr">
        <is>
          <t>Not built — by design</t>
        </is>
      </c>
      <c r="F224" s="12" t="inlineStr">
        <is>
          <t>Signing doesn't win the lead; Won keeps its step (Q-37)</t>
        </is>
      </c>
      <c r="G224" s="12" t="inlineStr">
        <is>
          <t>9.01</t>
        </is>
      </c>
      <c r="H224" s="12" t="inlineStr"/>
      <c r="I224" s="17" t="n"/>
      <c r="J224" s="17" t="n"/>
    </row>
    <row r="225">
      <c r="A225" s="12" t="inlineStr">
        <is>
          <t>Leads</t>
        </is>
      </c>
      <c r="B225" s="12" t="inlineStr">
        <is>
          <t>S-19</t>
        </is>
      </c>
      <c r="C225" s="12" t="inlineStr">
        <is>
          <t>Stage engine</t>
        </is>
      </c>
      <c r="D225" s="14" t="inlineStr">
        <is>
          <t>Project created moves the lead</t>
        </is>
      </c>
      <c r="E225" s="14" t="inlineStr">
        <is>
          <t>Later</t>
        </is>
      </c>
      <c r="F225" s="12" t="inlineStr">
        <is>
          <t>Projects module</t>
        </is>
      </c>
      <c r="G225" s="12" t="inlineStr"/>
      <c r="H225" s="12" t="inlineStr"/>
      <c r="I225" s="17" t="n"/>
      <c r="J225" s="17" t="n"/>
    </row>
    <row r="226">
      <c r="A226" s="12" t="inlineStr">
        <is>
          <t>Leads</t>
        </is>
      </c>
      <c r="B226" s="12" t="inlineStr">
        <is>
          <t>S-20</t>
        </is>
      </c>
      <c r="C226" s="12" t="inlineStr">
        <is>
          <t>Stage engine</t>
        </is>
      </c>
      <c r="D226" s="14" t="inlineStr">
        <is>
          <t>AI agent moves stages</t>
        </is>
      </c>
      <c r="E226" s="14" t="inlineStr">
        <is>
          <t>Later</t>
        </is>
      </c>
      <c r="F226" s="12" t="inlineStr">
        <is>
          <t>AI tools</t>
        </is>
      </c>
      <c r="G226" s="12" t="inlineStr"/>
      <c r="H226" s="12" t="inlineStr"/>
      <c r="I226" s="17" t="n"/>
      <c r="J226" s="17" t="n"/>
    </row>
    <row r="227">
      <c r="A227" s="12" t="inlineStr">
        <is>
          <t>Leads</t>
        </is>
      </c>
      <c r="B227" s="12" t="inlineStr">
        <is>
          <t>S-21</t>
        </is>
      </c>
      <c r="C227" s="12" t="inlineStr">
        <is>
          <t>Stage engine</t>
        </is>
      </c>
      <c r="D227" s="14" t="inlineStr">
        <is>
          <t>Unused stage routes</t>
        </is>
      </c>
      <c r="E227" s="14" t="inlineStr">
        <is>
          <t>Dead</t>
        </is>
      </c>
      <c r="F227" s="12" t="inlineStr">
        <is>
          <t>No user could reach them</t>
        </is>
      </c>
      <c r="G227" s="12" t="inlineStr"/>
      <c r="H227" s="12" t="inlineStr"/>
      <c r="I227" s="17" t="n"/>
      <c r="J227" s="17" t="n"/>
    </row>
    <row r="228">
      <c r="A228" s="12" t="inlineStr">
        <is>
          <t>Leads</t>
        </is>
      </c>
      <c r="B228" s="12" t="inlineStr">
        <is>
          <t>S-22</t>
        </is>
      </c>
      <c r="C228" s="12" t="inlineStr">
        <is>
          <t>Stage engine</t>
        </is>
      </c>
      <c r="D228" s="14" t="inlineStr">
        <is>
          <t>Activity wording</t>
        </is>
      </c>
      <c r="E228" s="14" t="inlineStr">
        <is>
          <t>Built in parity round 7</t>
        </is>
      </c>
      <c r="F228" s="12" t="inlineStr"/>
      <c r="G228" s="12" t="inlineStr">
        <is>
          <t>5.22, 11.10</t>
        </is>
      </c>
      <c r="H228" s="12" t="inlineStr"/>
      <c r="I228" s="17" t="n"/>
      <c r="J228" s="17" t="n"/>
    </row>
    <row r="229">
      <c r="A229" s="12" t="inlineStr">
        <is>
          <t>Leads</t>
        </is>
      </c>
      <c r="B229" s="12" t="inlineStr">
        <is>
          <t>G-01</t>
        </is>
      </c>
      <c r="C229" s="12" t="inlineStr">
        <is>
          <t>Settings</t>
        </is>
      </c>
      <c r="D229" s="14" t="inlineStr">
        <is>
          <t>Classic or Journey lead experience</t>
        </is>
      </c>
      <c r="E229" s="14" t="inlineStr">
        <is>
          <t>Excluded</t>
        </is>
      </c>
      <c r="F229" s="12" t="inlineStr">
        <is>
          <t>2.0 has Linear or Flexible stage movement instead</t>
        </is>
      </c>
      <c r="G229" s="12" t="inlineStr">
        <is>
          <t>2.17</t>
        </is>
      </c>
      <c r="H229" s="12" t="inlineStr"/>
      <c r="I229" s="17" t="n"/>
      <c r="J229" s="17" t="n"/>
    </row>
    <row r="230">
      <c r="A230" s="12" t="inlineStr">
        <is>
          <t>Leads</t>
        </is>
      </c>
      <c r="B230" s="12" t="inlineStr">
        <is>
          <t>G-02</t>
        </is>
      </c>
      <c r="C230" s="12" t="inlineStr">
        <is>
          <t>Settings</t>
        </is>
      </c>
      <c r="D230" s="14" t="inlineStr">
        <is>
          <t>Editable Lost reasons with a contacts gate</t>
        </is>
      </c>
      <c r="E230" s="14" t="inlineStr">
        <is>
          <t>Built in parity round 1</t>
        </is>
      </c>
      <c r="F230" s="12" t="inlineStr"/>
      <c r="G230" s="12" t="inlineStr">
        <is>
          <t>2.21, 9.05, 9.07</t>
        </is>
      </c>
      <c r="H230" s="12" t="inlineStr"/>
      <c r="I230" s="17" t="n"/>
      <c r="J230" s="17" t="n"/>
    </row>
    <row r="231">
      <c r="A231" s="12" t="inlineStr">
        <is>
          <t>Leads</t>
        </is>
      </c>
      <c r="B231" s="12" t="inlineStr">
        <is>
          <t>G-03</t>
        </is>
      </c>
      <c r="C231" s="12" t="inlineStr">
        <is>
          <t>Settings</t>
        </is>
      </c>
      <c r="D231" s="14" t="inlineStr">
        <is>
          <t>Detect duplicate leads switch</t>
        </is>
      </c>
      <c r="E231" s="14" t="inlineStr">
        <is>
          <t>Not built — by design</t>
        </is>
      </c>
      <c r="F231" s="12" t="inlineStr">
        <is>
          <t>Always checked; no switch (Q-18)</t>
        </is>
      </c>
      <c r="G231" s="12" t="inlineStr">
        <is>
          <t>4.03</t>
        </is>
      </c>
      <c r="H231" s="12" t="inlineStr"/>
      <c r="I231" s="17" t="n"/>
      <c r="J231" s="17" t="n"/>
    </row>
    <row r="232">
      <c r="A232" s="12" t="inlineStr">
        <is>
          <t>Leads</t>
        </is>
      </c>
      <c r="B232" s="12" t="inlineStr">
        <is>
          <t>G-04</t>
        </is>
      </c>
      <c r="C232" s="12" t="inlineStr">
        <is>
          <t>Settings</t>
        </is>
      </c>
      <c r="D232" s="14" t="inlineStr">
        <is>
          <t>Designer lead preferences</t>
        </is>
      </c>
      <c r="E232" s="14" t="inlineStr">
        <is>
          <t>Built in parity round 6</t>
        </is>
      </c>
      <c r="F232" s="12" t="inlineStr"/>
      <c r="G232" s="12" t="inlineStr">
        <is>
          <t>2.09, 5.04</t>
        </is>
      </c>
      <c r="H232" s="12" t="inlineStr"/>
      <c r="I232" s="17" t="n"/>
      <c r="J232" s="17" t="n"/>
    </row>
    <row r="233">
      <c r="A233" s="12" t="inlineStr">
        <is>
          <t>Leads</t>
        </is>
      </c>
      <c r="B233" s="12" t="inlineStr">
        <is>
          <t>G-05</t>
        </is>
      </c>
      <c r="C233" s="12" t="inlineStr">
        <is>
          <t>Settings</t>
        </is>
      </c>
      <c r="D233" s="14" t="inlineStr">
        <is>
          <t>Open to new leads, per member</t>
        </is>
      </c>
      <c r="E233" s="14" t="inlineStr">
        <is>
          <t>Built in parity round 6</t>
        </is>
      </c>
      <c r="F233" s="12" t="inlineStr"/>
      <c r="G233" s="12" t="inlineStr">
        <is>
          <t>2.06, 2.10, 5.04</t>
        </is>
      </c>
      <c r="H233" s="12" t="inlineStr"/>
      <c r="I233" s="17" t="n"/>
      <c r="J233" s="17" t="n"/>
    </row>
    <row r="234">
      <c r="A234" s="12" t="inlineStr">
        <is>
          <t>Leads</t>
        </is>
      </c>
      <c r="B234" s="12" t="inlineStr">
        <is>
          <t>G-06</t>
        </is>
      </c>
      <c r="C234" s="12" t="inlineStr">
        <is>
          <t>Settings</t>
        </is>
      </c>
      <c r="D234" s="14" t="inlineStr">
        <is>
          <t>Studio region</t>
        </is>
      </c>
      <c r="E234" s="14" t="inlineStr">
        <is>
          <t>Platform</t>
        </is>
      </c>
      <c r="F234" s="12" t="inlineStr">
        <is>
          <t>Singapore only</t>
        </is>
      </c>
      <c r="G234" s="12" t="inlineStr"/>
      <c r="H234" s="12" t="inlineStr"/>
      <c r="I234" s="17" t="n"/>
      <c r="J234" s="17" t="n"/>
    </row>
    <row r="235">
      <c r="A235" s="12" t="inlineStr">
        <is>
          <t>Leads</t>
        </is>
      </c>
      <c r="B235" s="12" t="inlineStr">
        <is>
          <t>G-07</t>
        </is>
      </c>
      <c r="C235" s="12" t="inlineStr">
        <is>
          <t>Settings</t>
        </is>
      </c>
      <c r="D235" s="14" t="inlineStr">
        <is>
          <t>Email lead sources</t>
        </is>
      </c>
      <c r="E235" s="14" t="inlineStr">
        <is>
          <t>Built in parity round 6</t>
        </is>
      </c>
      <c r="F235" s="12" t="inlineStr">
        <is>
          <t>A stand-in on Company › Integrations</t>
        </is>
      </c>
      <c r="G235" s="12" t="inlineStr">
        <is>
          <t>4.14</t>
        </is>
      </c>
      <c r="H235" s="12" t="inlineStr"/>
      <c r="I235" s="17" t="n"/>
      <c r="J235" s="17" t="n"/>
    </row>
    <row r="236">
      <c r="A236" s="12" t="inlineStr">
        <is>
          <t>Leads</t>
        </is>
      </c>
      <c r="B236" s="12" t="inlineStr">
        <is>
          <t>G-08</t>
        </is>
      </c>
      <c r="C236" s="12" t="inlineStr">
        <is>
          <t>Settings</t>
        </is>
      </c>
      <c r="D236" s="14" t="inlineStr">
        <is>
          <t>Lead funnel editor</t>
        </is>
      </c>
      <c r="E236" s="14" t="inlineStr">
        <is>
          <t>Not built — by design</t>
        </is>
      </c>
      <c r="F236" s="12" t="inlineStr">
        <is>
          <t>Held; 'Manage Stages' answers coming soon (Q-02)</t>
        </is>
      </c>
      <c r="G236" s="12" t="inlineStr">
        <is>
          <t>1.05</t>
        </is>
      </c>
      <c r="H236" s="12" t="inlineStr"/>
      <c r="I236" s="17" t="n"/>
      <c r="J236" s="17" t="n"/>
    </row>
    <row r="237">
      <c r="A237" s="12" t="inlineStr">
        <is>
          <t>Leads</t>
        </is>
      </c>
      <c r="B237" s="12" t="inlineStr">
        <is>
          <t>G-09</t>
        </is>
      </c>
      <c r="C237" s="12" t="inlineStr">
        <is>
          <t>Settings</t>
        </is>
      </c>
      <c r="D237" s="14" t="inlineStr">
        <is>
          <t>Lead categories</t>
        </is>
      </c>
      <c r="E237" s="14" t="inlineStr">
        <is>
          <t>Dead</t>
        </is>
      </c>
      <c r="F237" s="12" t="inlineStr">
        <is>
          <t>Saved in 1.0 but never used</t>
        </is>
      </c>
      <c r="G237" s="12" t="inlineStr"/>
      <c r="H237" s="12" t="inlineStr"/>
      <c r="I237" s="17" t="n"/>
      <c r="J237" s="17" t="n"/>
    </row>
    <row r="238">
      <c r="A238" s="12" t="inlineStr">
        <is>
          <t>Leads</t>
        </is>
      </c>
      <c r="B238" s="12" t="inlineStr">
        <is>
          <t>G-10</t>
        </is>
      </c>
      <c r="C238" s="12" t="inlineStr">
        <is>
          <t>Settings</t>
        </is>
      </c>
      <c r="D238" s="14" t="inlineStr">
        <is>
          <t>Pipeline stages table</t>
        </is>
      </c>
      <c r="E238" s="14" t="inlineStr">
        <is>
          <t>Dead</t>
        </is>
      </c>
      <c r="F238" s="12" t="inlineStr">
        <is>
          <t>The 1.0 board no longer read it</t>
        </is>
      </c>
      <c r="G238" s="12" t="inlineStr"/>
      <c r="H238" s="12" t="inlineStr"/>
      <c r="I238" s="17" t="n"/>
      <c r="J238" s="17" t="n"/>
    </row>
    <row r="239">
      <c r="A239" s="12" t="inlineStr">
        <is>
          <t>Leads</t>
        </is>
      </c>
      <c r="B239" s="12" t="inlineStr">
        <is>
          <t>G-11</t>
        </is>
      </c>
      <c r="C239" s="12" t="inlineStr">
        <is>
          <t>Settings</t>
        </is>
      </c>
      <c r="D239" s="14" t="inlineStr">
        <is>
          <t>Custom lead fields editor</t>
        </is>
      </c>
      <c r="E239" s="14" t="inlineStr">
        <is>
          <t>Built in parity round 6</t>
        </is>
      </c>
      <c r="F239" s="12" t="inlineStr"/>
      <c r="G239" s="12" t="inlineStr">
        <is>
          <t>2.22</t>
        </is>
      </c>
      <c r="H239" s="12" t="inlineStr"/>
      <c r="I239" s="17" t="n"/>
      <c r="J239" s="17" t="n"/>
    </row>
    <row r="240">
      <c r="A240" s="12" t="inlineStr">
        <is>
          <t>Leads</t>
        </is>
      </c>
      <c r="B240" s="12" t="inlineStr">
        <is>
          <t>G-12</t>
        </is>
      </c>
      <c r="C240" s="12" t="inlineStr">
        <is>
          <t>Settings</t>
        </is>
      </c>
      <c r="D240" s="14" t="inlineStr">
        <is>
          <t>Lead sources list</t>
        </is>
      </c>
      <c r="E240" s="14" t="inlineStr">
        <is>
          <t>Built</t>
        </is>
      </c>
      <c r="F240" s="12" t="inlineStr"/>
      <c r="G240" s="12" t="inlineStr">
        <is>
          <t>2.18</t>
        </is>
      </c>
      <c r="H240" s="12" t="inlineStr"/>
      <c r="I240" s="17" t="n"/>
      <c r="J240" s="17" t="n"/>
    </row>
    <row r="241">
      <c r="A241" s="12" t="inlineStr">
        <is>
          <t>Leads</t>
        </is>
      </c>
      <c r="B241" s="12" t="inlineStr">
        <is>
          <t>G-13</t>
        </is>
      </c>
      <c r="C241" s="12" t="inlineStr">
        <is>
          <t>Settings</t>
        </is>
      </c>
      <c r="D241" s="14" t="inlineStr">
        <is>
          <t>Workflow rules and approvers</t>
        </is>
      </c>
      <c r="E241" s="14" t="inlineStr">
        <is>
          <t>Not built — by design</t>
        </is>
      </c>
      <c r="F241" s="12" t="inlineStr">
        <is>
          <t>Quote approval and backup approver only; no lead switches (Q-26)</t>
        </is>
      </c>
      <c r="G241" s="12" t="inlineStr">
        <is>
          <t>2.30</t>
        </is>
      </c>
      <c r="H241" s="12" t="inlineStr"/>
      <c r="I241" s="17" t="n"/>
      <c r="J241" s="17" t="n"/>
    </row>
    <row r="242">
      <c r="A242" s="12" t="inlineStr">
        <is>
          <t>Leads</t>
        </is>
      </c>
      <c r="B242" s="12" t="inlineStr">
        <is>
          <t>G-14</t>
        </is>
      </c>
      <c r="C242" s="12" t="inlineStr">
        <is>
          <t>Settings</t>
        </is>
      </c>
      <c r="D242" s="14" t="inlineStr">
        <is>
          <t>Lead webhooks page</t>
        </is>
      </c>
      <c r="E242" s="14" t="inlineStr">
        <is>
          <t>Built in parity round 6</t>
        </is>
      </c>
      <c r="F242" s="12" t="inlineStr">
        <is>
          <t>A stand-in on Company › Integrations</t>
        </is>
      </c>
      <c r="G242" s="12" t="inlineStr">
        <is>
          <t>4.13</t>
        </is>
      </c>
      <c r="H242" s="12" t="inlineStr"/>
      <c r="I242" s="17" t="n"/>
      <c r="J242" s="17" t="n"/>
    </row>
    <row r="243">
      <c r="A243" s="12" t="inlineStr">
        <is>
          <t>Leads</t>
        </is>
      </c>
      <c r="B243" s="12" t="inlineStr">
        <is>
          <t>G-15</t>
        </is>
      </c>
      <c r="C243" s="12" t="inlineStr">
        <is>
          <t>Settings</t>
        </is>
      </c>
      <c r="D243" s="14" t="inlineStr">
        <is>
          <t>Legal entities on leads</t>
        </is>
      </c>
      <c r="E243" s="14" t="inlineStr">
        <is>
          <t>Later</t>
        </is>
      </c>
      <c r="F243" s="12" t="inlineStr">
        <is>
          <t>Entities live on quotes and contracts</t>
        </is>
      </c>
      <c r="G243" s="12" t="inlineStr"/>
      <c r="H243" s="12" t="inlineStr"/>
      <c r="I243" s="17" t="n"/>
      <c r="J243" s="17" t="n"/>
    </row>
    <row r="244">
      <c r="A244" s="12" t="inlineStr">
        <is>
          <t>Leads</t>
        </is>
      </c>
      <c r="B244" s="12" t="inlineStr">
        <is>
          <t>G-16</t>
        </is>
      </c>
      <c r="C244" s="12" t="inlineStr">
        <is>
          <t>Settings</t>
        </is>
      </c>
      <c r="D244" s="14" t="inlineStr">
        <is>
          <t>Feature flags page</t>
        </is>
      </c>
      <c r="E244" s="14" t="inlineStr">
        <is>
          <t>Platform</t>
        </is>
      </c>
      <c r="F244" s="12" t="inlineStr">
        <is>
          <t>Not a page in 2.0</t>
        </is>
      </c>
      <c r="G244" s="12" t="inlineStr"/>
      <c r="H244" s="12" t="inlineStr"/>
      <c r="I244" s="17" t="n"/>
      <c r="J244" s="17" t="n"/>
    </row>
    <row r="245">
      <c r="A245" s="12" t="inlineStr">
        <is>
          <t>Leads</t>
        </is>
      </c>
      <c r="B245" s="12" t="inlineStr">
        <is>
          <t>G-17</t>
        </is>
      </c>
      <c r="C245" s="12" t="inlineStr">
        <is>
          <t>Settings</t>
        </is>
      </c>
      <c r="D245" s="14" t="inlineStr">
        <is>
          <t>Region config, lead country, CaseTrust</t>
        </is>
      </c>
      <c r="E245" s="14" t="inlineStr">
        <is>
          <t>Platform</t>
        </is>
      </c>
      <c r="F245" s="12" t="inlineStr">
        <is>
          <t>Singapore only; CaseTrust belongs to Contracts</t>
        </is>
      </c>
      <c r="G245" s="12" t="inlineStr"/>
      <c r="H245" s="12" t="inlineStr"/>
      <c r="I245" s="17" t="n"/>
      <c r="J245" s="17" t="n"/>
    </row>
    <row r="246">
      <c r="A246" s="12" t="inlineStr">
        <is>
          <t>Leads</t>
        </is>
      </c>
      <c r="B246" s="12" t="inlineStr">
        <is>
          <t>G-18</t>
        </is>
      </c>
      <c r="C246" s="12" t="inlineStr">
        <is>
          <t>Settings</t>
        </is>
      </c>
      <c r="D246" s="14" t="inlineStr">
        <is>
          <t>Stage movement, lead capture, who sees leads</t>
        </is>
      </c>
      <c r="E246" s="14" t="inlineStr">
        <is>
          <t>2.0 only</t>
        </is>
      </c>
      <c r="F246" s="12" t="inlineStr">
        <is>
          <t>Settings 1.0 did not have</t>
        </is>
      </c>
      <c r="G246" s="12" t="inlineStr">
        <is>
          <t>2.17</t>
        </is>
      </c>
      <c r="H246" s="12" t="inlineStr"/>
      <c r="I246" s="17" t="n"/>
      <c r="J246" s="17" t="n"/>
    </row>
    <row r="247">
      <c r="A247" s="12" t="inlineStr">
        <is>
          <t>Leads</t>
        </is>
      </c>
      <c r="B247" s="12" t="inlineStr">
        <is>
          <t>P-01</t>
        </is>
      </c>
      <c r="C247" s="12" t="inlineStr">
        <is>
          <t>Roles</t>
        </is>
      </c>
      <c r="D247" s="14" t="inlineStr">
        <is>
          <t>Role tags including Accounting</t>
        </is>
      </c>
      <c r="E247" s="14" t="inlineStr">
        <is>
          <t>Later</t>
        </is>
      </c>
      <c r="F247" s="12" t="inlineStr">
        <is>
          <t>An Accounting role comes with Finance (Q-39)</t>
        </is>
      </c>
      <c r="G247" s="12" t="inlineStr">
        <is>
          <t>10.15</t>
        </is>
      </c>
      <c r="H247" s="12" t="inlineStr"/>
      <c r="I247" s="17" t="n"/>
      <c r="J247" s="17" t="n"/>
    </row>
    <row r="248">
      <c r="A248" s="12" t="inlineStr">
        <is>
          <t>Leads</t>
        </is>
      </c>
      <c r="B248" s="12" t="inlineStr">
        <is>
          <t>P-02</t>
        </is>
      </c>
      <c r="C248" s="12" t="inlineStr">
        <is>
          <t>Roles</t>
        </is>
      </c>
      <c r="D248" s="14" t="inlineStr">
        <is>
          <t>Custom roles and per-member permissions</t>
        </is>
      </c>
      <c r="E248" s="14" t="inlineStr">
        <is>
          <t>Not built — by design</t>
        </is>
      </c>
      <c r="F248" s="12" t="inlineStr">
        <is>
          <t>Four fixed roles; custom roles held (Q-40)</t>
        </is>
      </c>
      <c r="G248" s="12" t="inlineStr">
        <is>
          <t>2.16</t>
        </is>
      </c>
      <c r="H248" s="12" t="inlineStr"/>
      <c r="I248" s="17" t="n"/>
      <c r="J248" s="17" t="n"/>
    </row>
    <row r="249">
      <c r="A249" s="12" t="inlineStr">
        <is>
          <t>Leads</t>
        </is>
      </c>
      <c r="B249" s="12" t="inlineStr">
        <is>
          <t>P-03</t>
        </is>
      </c>
      <c r="C249" s="12" t="inlineStr">
        <is>
          <t>Roles</t>
        </is>
      </c>
      <c r="D249" s="14" t="inlineStr">
        <is>
          <t>What the server enforces</t>
        </is>
      </c>
      <c r="E249" s="14" t="inlineStr">
        <is>
          <t>Built</t>
        </is>
      </c>
      <c r="F249" s="12" t="inlineStr"/>
      <c r="G249" s="12" t="inlineStr">
        <is>
          <t>2.23, 10.03</t>
        </is>
      </c>
      <c r="H249" s="12" t="inlineStr"/>
      <c r="I249" s="17" t="n"/>
      <c r="J249" s="17" t="n"/>
    </row>
    <row r="250">
      <c r="A250" s="12" t="inlineStr">
        <is>
          <t>Leads</t>
        </is>
      </c>
      <c r="B250" s="12" t="inlineStr">
        <is>
          <t>P-04</t>
        </is>
      </c>
      <c r="C250" s="12" t="inlineStr">
        <is>
          <t>Roles</t>
        </is>
      </c>
      <c r="D250" s="14" t="inlineStr">
        <is>
          <t>Manager hierarchy</t>
        </is>
      </c>
      <c r="E250" s="14" t="inlineStr">
        <is>
          <t>Built</t>
        </is>
      </c>
      <c r="F250" s="12" t="inlineStr"/>
      <c r="G250" s="12" t="inlineStr">
        <is>
          <t>2.08, 10.09</t>
        </is>
      </c>
      <c r="H250" s="12" t="inlineStr"/>
      <c r="I250" s="17" t="n"/>
      <c r="J250" s="17" t="n"/>
    </row>
    <row r="251">
      <c r="A251" s="12" t="inlineStr">
        <is>
          <t>Leads</t>
        </is>
      </c>
      <c r="B251" s="12" t="inlineStr">
        <is>
          <t>P-05</t>
        </is>
      </c>
      <c r="C251" s="12" t="inlineStr">
        <is>
          <t>Roles</t>
        </is>
      </c>
      <c r="D251" s="14" t="inlineStr">
        <is>
          <t>Who may do what with leads</t>
        </is>
      </c>
      <c r="E251" s="14" t="inlineStr">
        <is>
          <t>Built in parity round 1</t>
        </is>
      </c>
      <c r="F251" s="12" t="inlineStr">
        <is>
          <t>Delete, Settings and Insights for Owners and Admins (Q-41)</t>
        </is>
      </c>
      <c r="G251" s="12" t="inlineStr">
        <is>
          <t>2.16, 9.14, 10.03, 10.04, 10.10</t>
        </is>
      </c>
      <c r="H251" s="12" t="inlineStr"/>
      <c r="I251" s="17" t="n"/>
      <c r="J251" s="17" t="n"/>
    </row>
    <row r="252">
      <c r="A252" s="12" t="inlineStr">
        <is>
          <t>Leads</t>
        </is>
      </c>
      <c r="B252" s="12" t="inlineStr">
        <is>
          <t>N-01</t>
        </is>
      </c>
      <c r="C252" s="12" t="inlineStr">
        <is>
          <t>Notifications</t>
        </is>
      </c>
      <c r="D252" s="14" t="inlineStr">
        <is>
          <t>Lead assigned</t>
        </is>
      </c>
      <c r="E252" s="14" t="inlineStr">
        <is>
          <t>Built</t>
        </is>
      </c>
      <c r="F252" s="12" t="inlineStr"/>
      <c r="G252" s="12" t="inlineStr">
        <is>
          <t>4.18, 5.04</t>
        </is>
      </c>
      <c r="H252" s="12" t="inlineStr"/>
      <c r="I252" s="17" t="n"/>
      <c r="J252" s="17" t="n"/>
    </row>
    <row r="253">
      <c r="A253" s="12" t="inlineStr">
        <is>
          <t>Leads</t>
        </is>
      </c>
      <c r="B253" s="12" t="inlineStr">
        <is>
          <t>N-02</t>
        </is>
      </c>
      <c r="C253" s="12" t="inlineStr">
        <is>
          <t>Notifications</t>
        </is>
      </c>
      <c r="D253" s="14" t="inlineStr">
        <is>
          <t>Lead status changed</t>
        </is>
      </c>
      <c r="E253" s="14" t="inlineStr">
        <is>
          <t>Built in parity round 2</t>
        </is>
      </c>
      <c r="F253" s="12" t="inlineStr"/>
      <c r="G253" s="12" t="inlineStr">
        <is>
          <t>5.08</t>
        </is>
      </c>
      <c r="H253" s="12" t="inlineStr"/>
      <c r="I253" s="17" t="n"/>
      <c r="J253" s="17" t="n"/>
    </row>
    <row r="254">
      <c r="A254" s="12" t="inlineStr">
        <is>
          <t>Leads</t>
        </is>
      </c>
      <c r="B254" s="12" t="inlineStr">
        <is>
          <t>N-03</t>
        </is>
      </c>
      <c r="C254" s="12" t="inlineStr">
        <is>
          <t>Notifications</t>
        </is>
      </c>
      <c r="D254" s="14" t="inlineStr">
        <is>
          <t>Lead captured</t>
        </is>
      </c>
      <c r="E254" s="14" t="inlineStr">
        <is>
          <t>Built</t>
        </is>
      </c>
      <c r="F254" s="12" t="inlineStr"/>
      <c r="G254" s="12" t="inlineStr">
        <is>
          <t>1.08, 4.07</t>
        </is>
      </c>
      <c r="H254" s="12" t="inlineStr"/>
      <c r="I254" s="17" t="n"/>
      <c r="J254" s="17" t="n"/>
    </row>
    <row r="255">
      <c r="A255" s="12" t="inlineStr">
        <is>
          <t>Leads</t>
        </is>
      </c>
      <c r="B255" s="12" t="inlineStr">
        <is>
          <t>N-04</t>
        </is>
      </c>
      <c r="C255" s="12" t="inlineStr">
        <is>
          <t>Notifications</t>
        </is>
      </c>
      <c r="D255" s="14" t="inlineStr">
        <is>
          <t>Follow-up reminder 30 minutes before</t>
        </is>
      </c>
      <c r="E255" s="14" t="inlineStr">
        <is>
          <t>Built in parity round 2</t>
        </is>
      </c>
      <c r="F255" s="12" t="inlineStr"/>
      <c r="G255" s="12" t="inlineStr">
        <is>
          <t>5.05</t>
        </is>
      </c>
      <c r="H255" s="12" t="inlineStr"/>
      <c r="I255" s="17" t="n"/>
      <c r="J255" s="17" t="n"/>
    </row>
    <row r="256">
      <c r="A256" s="12" t="inlineStr">
        <is>
          <t>Leads</t>
        </is>
      </c>
      <c r="B256" s="12" t="inlineStr">
        <is>
          <t>N-05</t>
        </is>
      </c>
      <c r="C256" s="12" t="inlineStr">
        <is>
          <t>Notifications</t>
        </is>
      </c>
      <c r="D256" s="14" t="inlineStr">
        <is>
          <t>Hold ended — revisit</t>
        </is>
      </c>
      <c r="E256" s="14" t="inlineStr">
        <is>
          <t>Built in parity round 2</t>
        </is>
      </c>
      <c r="F256" s="12" t="inlineStr"/>
      <c r="G256" s="12" t="inlineStr">
        <is>
          <t>9.05</t>
        </is>
      </c>
      <c r="H256" s="12" t="inlineStr"/>
      <c r="I256" s="17" t="n"/>
      <c r="J256" s="17" t="n"/>
    </row>
    <row r="257">
      <c r="A257" s="12" t="inlineStr">
        <is>
          <t>Leads</t>
        </is>
      </c>
      <c r="B257" s="12" t="inlineStr">
        <is>
          <t>N-06</t>
        </is>
      </c>
      <c r="C257" s="12" t="inlineStr">
        <is>
          <t>Notifications</t>
        </is>
      </c>
      <c r="D257" s="14" t="inlineStr">
        <is>
          <t>Questionnaire requested and answered</t>
        </is>
      </c>
      <c r="E257" s="14" t="inlineStr">
        <is>
          <t>Built in parity round 3</t>
        </is>
      </c>
      <c r="F257" s="12" t="inlineStr">
        <is>
          <t>Ask recorded; 'client answered' waits for the portal</t>
        </is>
      </c>
      <c r="G257" s="12" t="inlineStr">
        <is>
          <t>5.18</t>
        </is>
      </c>
      <c r="H257" s="12" t="inlineStr"/>
      <c r="I257" s="17" t="n"/>
      <c r="J257" s="17" t="n"/>
    </row>
    <row r="258">
      <c r="A258" s="12" t="inlineStr">
        <is>
          <t>Leads</t>
        </is>
      </c>
      <c r="B258" s="12" t="inlineStr">
        <is>
          <t>N-07</t>
        </is>
      </c>
      <c r="C258" s="12" t="inlineStr">
        <is>
          <t>Notifications</t>
        </is>
      </c>
      <c r="D258" s="14" t="inlineStr">
        <is>
          <t>Task assigned and task due soon</t>
        </is>
      </c>
      <c r="E258" s="14" t="inlineStr">
        <is>
          <t>Built in parity round 2</t>
        </is>
      </c>
      <c r="F258" s="12" t="inlineStr"/>
      <c r="G258" s="12" t="inlineStr"/>
      <c r="H258" s="28" t="inlineStr">
        <is>
          <t>Team check</t>
        </is>
      </c>
      <c r="I258" s="17" t="n"/>
      <c r="J258" s="17" t="n"/>
    </row>
    <row r="259">
      <c r="A259" s="12" t="inlineStr">
        <is>
          <t>Leads</t>
        </is>
      </c>
      <c r="B259" s="12" t="inlineStr">
        <is>
          <t>N-08</t>
        </is>
      </c>
      <c r="C259" s="12" t="inlineStr">
        <is>
          <t>Notifications</t>
        </is>
      </c>
      <c r="D259" s="14" t="inlineStr">
        <is>
          <t>Untouched lead</t>
        </is>
      </c>
      <c r="E259" s="14" t="inlineStr">
        <is>
          <t>2.0 only</t>
        </is>
      </c>
      <c r="F259" s="12" t="inlineStr">
        <is>
          <t>No 1.0 counterpart</t>
        </is>
      </c>
      <c r="G259" s="12" t="inlineStr">
        <is>
          <t>11.04, 11.07</t>
        </is>
      </c>
      <c r="H259" s="12" t="inlineStr"/>
      <c r="I259" s="17" t="n"/>
      <c r="J259" s="17" t="n"/>
    </row>
    <row r="260">
      <c r="A260" s="12" t="inlineStr">
        <is>
          <t>Leads</t>
        </is>
      </c>
      <c r="B260" s="12" t="inlineStr">
        <is>
          <t>N-09</t>
        </is>
      </c>
      <c r="C260" s="12" t="inlineStr">
        <is>
          <t>Notifications</t>
        </is>
      </c>
      <c r="D260" s="14" t="inlineStr">
        <is>
          <t>Sending rules and who hears what</t>
        </is>
      </c>
      <c r="E260" s="14" t="inlineStr">
        <is>
          <t>Built</t>
        </is>
      </c>
      <c r="F260" s="12" t="inlineStr"/>
      <c r="G260" s="12" t="inlineStr"/>
      <c r="H260" s="28" t="inlineStr">
        <is>
          <t>Team check</t>
        </is>
      </c>
      <c r="I260" s="17" t="n"/>
      <c r="J260" s="17" t="n"/>
    </row>
    <row r="261">
      <c r="A261" s="12" t="inlineStr">
        <is>
          <t>Leads</t>
        </is>
      </c>
      <c r="B261" s="12" t="inlineStr">
        <is>
          <t>N-10</t>
        </is>
      </c>
      <c r="C261" s="12" t="inlineStr">
        <is>
          <t>Notifications</t>
        </is>
      </c>
      <c r="D261" s="14" t="inlineStr">
        <is>
          <t>Scheduled sends and daily digest</t>
        </is>
      </c>
      <c r="E261" s="14" t="inlineStr">
        <is>
          <t>Platform</t>
        </is>
      </c>
      <c r="F261" s="12" t="inlineStr">
        <is>
          <t>Real sending is the platform's; digest held (Q-42)</t>
        </is>
      </c>
      <c r="G261" s="12" t="inlineStr"/>
      <c r="H261" s="12" t="inlineStr"/>
      <c r="I261" s="17" t="n"/>
      <c r="J261" s="17" t="n"/>
    </row>
    <row r="262">
      <c r="A262" s="12" t="inlineStr">
        <is>
          <t>Leads</t>
        </is>
      </c>
      <c r="B262" s="12" t="inlineStr">
        <is>
          <t>N-11</t>
        </is>
      </c>
      <c r="C262" s="12" t="inlineStr">
        <is>
          <t>Notifications</t>
        </is>
      </c>
      <c r="D262" s="14" t="inlineStr">
        <is>
          <t>Notification settings page</t>
        </is>
      </c>
      <c r="E262" s="14" t="inlineStr">
        <is>
          <t>Built</t>
        </is>
      </c>
      <c r="F262" s="12" t="inlineStr"/>
      <c r="G262" s="12" t="inlineStr">
        <is>
          <t>2.32, 2.33, 11.07</t>
        </is>
      </c>
      <c r="H262" s="12" t="inlineStr"/>
      <c r="I262" s="17" t="n"/>
      <c r="J262" s="17" t="n"/>
    </row>
    <row r="263">
      <c r="A263" s="12" t="inlineStr">
        <is>
          <t>Leads</t>
        </is>
      </c>
      <c r="B263" s="12" t="inlineStr">
        <is>
          <t>T-01</t>
        </is>
      </c>
      <c r="C263" s="12" t="inlineStr">
        <is>
          <t>Touchpoints</t>
        </is>
      </c>
      <c r="D263" s="14" t="inlineStr">
        <is>
          <t>Dashboard lead widgets</t>
        </is>
      </c>
      <c r="E263" s="14" t="inlineStr">
        <is>
          <t>Later</t>
        </is>
      </c>
      <c r="F263" s="12" t="inlineStr">
        <is>
          <t>Waits for the Dashboard mocks</t>
        </is>
      </c>
      <c r="G263" s="12" t="inlineStr"/>
      <c r="H263" s="12" t="inlineStr"/>
      <c r="I263" s="17" t="n"/>
      <c r="J263" s="17" t="n"/>
    </row>
    <row r="264">
      <c r="A264" s="12" t="inlineStr">
        <is>
          <t>Leads</t>
        </is>
      </c>
      <c r="B264" s="12" t="inlineStr">
        <is>
          <t>T-02</t>
        </is>
      </c>
      <c r="C264" s="12" t="inlineStr">
        <is>
          <t>Touchpoints</t>
        </is>
      </c>
      <c r="D264" s="14" t="inlineStr">
        <is>
          <t>Inbox</t>
        </is>
      </c>
      <c r="E264" s="14" t="inlineStr">
        <is>
          <t>Built</t>
        </is>
      </c>
      <c r="F264" s="12" t="inlineStr"/>
      <c r="G264" s="12" t="inlineStr"/>
      <c r="H264" s="28" t="inlineStr">
        <is>
          <t>Team check</t>
        </is>
      </c>
      <c r="I264" s="17" t="n"/>
      <c r="J264" s="17" t="n"/>
    </row>
    <row r="265">
      <c r="A265" s="12" t="inlineStr">
        <is>
          <t>Leads</t>
        </is>
      </c>
      <c r="B265" s="12" t="inlineStr">
        <is>
          <t>T-03</t>
        </is>
      </c>
      <c r="C265" s="12" t="inlineStr">
        <is>
          <t>Touchpoints</t>
        </is>
      </c>
      <c r="D265" s="14" t="inlineStr">
        <is>
          <t>Tasks linked to leads, follow-up type</t>
        </is>
      </c>
      <c r="E265" s="14" t="inlineStr">
        <is>
          <t>Built in parity round 2</t>
        </is>
      </c>
      <c r="F265" s="12" t="inlineStr"/>
      <c r="G265" s="12" t="inlineStr">
        <is>
          <t>5.05, 5.12, 11.01, 11.02, 11.03</t>
        </is>
      </c>
      <c r="H265" s="12" t="inlineStr"/>
      <c r="I265" s="17" t="n"/>
      <c r="J265" s="17" t="n"/>
    </row>
    <row r="266">
      <c r="A266" s="12" t="inlineStr">
        <is>
          <t>Leads</t>
        </is>
      </c>
      <c r="B266" s="12" t="inlineStr">
        <is>
          <t>T-04</t>
        </is>
      </c>
      <c r="C266" s="12" t="inlineStr">
        <is>
          <t>Touchpoints</t>
        </is>
      </c>
      <c r="D266" s="14" t="inlineStr">
        <is>
          <t>Convert to a project</t>
        </is>
      </c>
      <c r="E266" s="14" t="inlineStr">
        <is>
          <t>Later</t>
        </is>
      </c>
      <c r="F266" s="12" t="inlineStr">
        <is>
          <t>Projects module</t>
        </is>
      </c>
      <c r="G266" s="12" t="inlineStr"/>
      <c r="H266" s="12" t="inlineStr"/>
      <c r="I266" s="17" t="n"/>
      <c r="J266" s="17" t="n"/>
    </row>
    <row r="267">
      <c r="A267" s="12" t="inlineStr">
        <is>
          <t>Leads</t>
        </is>
      </c>
      <c r="B267" s="12" t="inlineStr">
        <is>
          <t>T-05</t>
        </is>
      </c>
      <c r="C267" s="12" t="inlineStr">
        <is>
          <t>Touchpoints</t>
        </is>
      </c>
      <c r="D267" s="14" t="inlineStr">
        <is>
          <t>Escalations</t>
        </is>
      </c>
      <c r="E267" s="14" t="inlineStr">
        <is>
          <t>Built</t>
        </is>
      </c>
      <c r="F267" s="12" t="inlineStr"/>
      <c r="G267" s="12" t="inlineStr"/>
      <c r="H267" s="28" t="inlineStr">
        <is>
          <t>Team check</t>
        </is>
      </c>
      <c r="I267" s="17" t="n"/>
      <c r="J267" s="17" t="n"/>
    </row>
    <row r="268">
      <c r="A268" s="12" t="inlineStr">
        <is>
          <t>Leads</t>
        </is>
      </c>
      <c r="B268" s="12" t="inlineStr">
        <is>
          <t>T-06</t>
        </is>
      </c>
      <c r="C268" s="12" t="inlineStr">
        <is>
          <t>Touchpoints</t>
        </is>
      </c>
      <c r="D268" s="14" t="inlineStr">
        <is>
          <t>Return and refund</t>
        </is>
      </c>
      <c r="E268" s="14" t="inlineStr">
        <is>
          <t>Built in parity round 3</t>
        </is>
      </c>
      <c r="F268" s="12" t="inlineStr"/>
      <c r="G268" s="12" t="inlineStr">
        <is>
          <t>9.10, 9.11</t>
        </is>
      </c>
      <c r="H268" s="12" t="inlineStr"/>
      <c r="I268" s="17" t="n"/>
      <c r="J268" s="17" t="n"/>
    </row>
    <row r="269">
      <c r="A269" s="12" t="inlineStr">
        <is>
          <t>Leads</t>
        </is>
      </c>
      <c r="B269" s="12" t="inlineStr">
        <is>
          <t>T-07</t>
        </is>
      </c>
      <c r="C269" s="12" t="inlineStr">
        <is>
          <t>Touchpoints</t>
        </is>
      </c>
      <c r="D269" s="14" t="inlineStr">
        <is>
          <t>Homeowner page and automatic link</t>
        </is>
      </c>
      <c r="E269" s="14" t="inlineStr">
        <is>
          <t>Later</t>
        </is>
      </c>
      <c r="F269" s="12" t="inlineStr">
        <is>
          <t>Portal pages come later; invites are recorded (Q-22)</t>
        </is>
      </c>
      <c r="G269" s="12" t="inlineStr">
        <is>
          <t>9.13</t>
        </is>
      </c>
      <c r="H269" s="12" t="inlineStr"/>
      <c r="I269" s="17" t="n"/>
      <c r="J269" s="17" t="n"/>
    </row>
    <row r="270">
      <c r="A270" s="12" t="inlineStr">
        <is>
          <t>Leads</t>
        </is>
      </c>
      <c r="B270" s="12" t="inlineStr">
        <is>
          <t>T-08</t>
        </is>
      </c>
      <c r="C270" s="12" t="inlineStr">
        <is>
          <t>Touchpoints</t>
        </is>
      </c>
      <c r="D270" s="14" t="inlineStr">
        <is>
          <t>Scope questionnaire builder</t>
        </is>
      </c>
      <c r="E270" s="14" t="inlineStr">
        <is>
          <t>Built in parity round 6</t>
        </is>
      </c>
      <c r="F270" s="12" t="inlineStr"/>
      <c r="G270" s="12" t="inlineStr">
        <is>
          <t>3.37, 5.17</t>
        </is>
      </c>
      <c r="H270" s="12" t="inlineStr"/>
      <c r="I270" s="17" t="n"/>
      <c r="J270" s="17" t="n"/>
    </row>
    <row r="271">
      <c r="A271" s="12" t="inlineStr">
        <is>
          <t>Leads</t>
        </is>
      </c>
      <c r="B271" s="12" t="inlineStr">
        <is>
          <t>T-09</t>
        </is>
      </c>
      <c r="C271" s="12" t="inlineStr">
        <is>
          <t>Touchpoints</t>
        </is>
      </c>
      <c r="D271" s="14" t="inlineStr">
        <is>
          <t>Admin studio detail</t>
        </is>
      </c>
      <c r="E271" s="14" t="inlineStr">
        <is>
          <t>Platform</t>
        </is>
      </c>
      <c r="F271" s="12" t="inlineStr">
        <is>
          <t>Qanvast admin tooling, not ported</t>
        </is>
      </c>
      <c r="G271" s="12" t="inlineStr"/>
      <c r="H271" s="12" t="inlineStr"/>
      <c r="I271" s="17" t="n"/>
      <c r="J271" s="17" t="n"/>
    </row>
    <row r="272">
      <c r="A272" s="12" t="inlineStr">
        <is>
          <t>Leads</t>
        </is>
      </c>
      <c r="B272" s="12" t="inlineStr">
        <is>
          <t>T-10</t>
        </is>
      </c>
      <c r="C272" s="12" t="inlineStr">
        <is>
          <t>Touchpoints</t>
        </is>
      </c>
      <c r="D272" s="14" t="inlineStr">
        <is>
          <t>Qanvast Ops leads with export and return rules</t>
        </is>
      </c>
      <c r="E272" s="14" t="inlineStr">
        <is>
          <t>Built in parity round 3</t>
        </is>
      </c>
      <c r="F272" s="12" t="inlineStr"/>
      <c r="G272" s="12" t="inlineStr">
        <is>
          <t>4.15, 9.12</t>
        </is>
      </c>
      <c r="H272" s="12" t="inlineStr"/>
      <c r="I272" s="17" t="n"/>
      <c r="J272" s="17" t="n"/>
    </row>
    <row r="273">
      <c r="A273" s="12" t="inlineStr">
        <is>
          <t>Leads</t>
        </is>
      </c>
      <c r="B273" s="12" t="inlineStr">
        <is>
          <t>T-11</t>
        </is>
      </c>
      <c r="C273" s="12" t="inlineStr">
        <is>
          <t>Touchpoints</t>
        </is>
      </c>
      <c r="D273" s="14" t="inlineStr">
        <is>
          <t>Hangouts, copilot and entity</t>
        </is>
      </c>
      <c r="E273" s="14" t="inlineStr">
        <is>
          <t>Later</t>
        </is>
      </c>
      <c r="F273" s="12" t="inlineStr">
        <is>
          <t>Their own modules come later</t>
        </is>
      </c>
      <c r="G273" s="12" t="inlineStr"/>
      <c r="H273" s="12" t="inlineStr"/>
      <c r="I273" s="17" t="n"/>
      <c r="J273" s="17" t="n"/>
    </row>
    <row r="274">
      <c r="A274" s="12" t="inlineStr">
        <is>
          <t>Quote templates</t>
        </is>
      </c>
      <c r="B274" s="12" t="inlineStr">
        <is>
          <t>DEF-01</t>
        </is>
      </c>
      <c r="C274" s="12" t="inlineStr">
        <is>
          <t>Definitions</t>
        </is>
      </c>
      <c r="D274" s="14" t="inlineStr">
        <is>
          <t>What 'template' means: a design, a starter quote, a package</t>
        </is>
      </c>
      <c r="E274" s="14" t="inlineStr">
        <is>
          <t>Built</t>
        </is>
      </c>
      <c r="F274" s="12" t="inlineStr">
        <is>
          <t>One quote template; priced lines live in My Sections (Q-01)</t>
        </is>
      </c>
      <c r="G274" s="12" t="inlineStr">
        <is>
          <t>3.23</t>
        </is>
      </c>
      <c r="H274" s="12" t="inlineStr"/>
      <c r="I274" s="17" t="n"/>
      <c r="J274" s="17" t="n"/>
    </row>
    <row r="275">
      <c r="A275" s="12" t="inlineStr">
        <is>
          <t>Quote templates</t>
        </is>
      </c>
      <c r="B275" s="12" t="inlineStr">
        <is>
          <t>DEF-02</t>
        </is>
      </c>
      <c r="C275" s="12" t="inlineStr">
        <is>
          <t>Definitions</t>
        </is>
      </c>
      <c r="D275" s="14" t="inlineStr">
        <is>
          <t>Two template editors and three print engines</t>
        </is>
      </c>
      <c r="E275" s="14" t="inlineStr">
        <is>
          <t>Built</t>
        </is>
      </c>
      <c r="F275" s="12" t="inlineStr">
        <is>
          <t>One editor and one renderer for every surface</t>
        </is>
      </c>
      <c r="G275" s="12" t="inlineStr"/>
      <c r="H275" s="28" t="inlineStr">
        <is>
          <t>Team check</t>
        </is>
      </c>
      <c r="I275" s="17" t="n"/>
      <c r="J275" s="17" t="n"/>
    </row>
    <row r="276">
      <c r="A276" s="12" t="inlineStr">
        <is>
          <t>Quote templates</t>
        </is>
      </c>
      <c r="B276" s="12" t="inlineStr">
        <is>
          <t>DEF-03</t>
        </is>
      </c>
      <c r="C276" s="12" t="inlineStr">
        <is>
          <t>Definitions</t>
        </is>
      </c>
      <c r="D276" s="14" t="inlineStr">
        <is>
          <t>A quote's design edited per lead (Layout tab)</t>
        </is>
      </c>
      <c r="E276" s="14" t="inlineStr">
        <is>
          <t>Not built — by design</t>
        </is>
      </c>
      <c r="F276" s="12" t="inlineStr">
        <is>
          <t>Designs live on the template; edit it from the quote (Q-02)</t>
        </is>
      </c>
      <c r="G276" s="12" t="inlineStr"/>
      <c r="H276" s="12" t="inlineStr"/>
      <c r="I276" s="17" t="n"/>
      <c r="J276" s="17" t="n"/>
    </row>
    <row r="277">
      <c r="A277" s="12" t="inlineStr">
        <is>
          <t>Quote templates</t>
        </is>
      </c>
      <c r="B277" s="12" t="inlineStr">
        <is>
          <t>DEF-04</t>
        </is>
      </c>
      <c r="C277" s="12" t="inlineStr">
        <is>
          <t>Definitions</t>
        </is>
      </c>
      <c r="D277" s="14" t="inlineStr">
        <is>
          <t>Knobs: the fine settings on each block</t>
        </is>
      </c>
      <c r="E277" s="14" t="inlineStr">
        <is>
          <t>Built</t>
        </is>
      </c>
      <c r="F277" s="12" t="inlineStr"/>
      <c r="G277" s="12" t="inlineStr">
        <is>
          <t>3.24</t>
        </is>
      </c>
      <c r="H277" s="12" t="inlineStr"/>
      <c r="I277" s="17" t="n"/>
      <c r="J277" s="17" t="n"/>
    </row>
    <row r="278">
      <c r="A278" s="12" t="inlineStr">
        <is>
          <t>Quote templates</t>
        </is>
      </c>
      <c r="B278" s="12" t="inlineStr">
        <is>
          <t>DEF-05</t>
        </is>
      </c>
      <c r="C278" s="12" t="inlineStr">
        <is>
          <t>Definitions</t>
        </is>
      </c>
      <c r="D278" s="14" t="inlineStr">
        <is>
          <t>Theme presets and house styles</t>
        </is>
      </c>
      <c r="E278" s="14" t="inlineStr">
        <is>
          <t>Built</t>
        </is>
      </c>
      <c r="F278" s="12" t="inlineStr">
        <is>
          <t>Four ready-made designs start a template; no preset overlay (Q-03)</t>
        </is>
      </c>
      <c r="G278" s="12" t="inlineStr">
        <is>
          <t>3.23</t>
        </is>
      </c>
      <c r="H278" s="12" t="inlineStr"/>
      <c r="I278" s="17" t="n"/>
      <c r="J278" s="17" t="n"/>
    </row>
    <row r="279">
      <c r="A279" s="12" t="inlineStr">
        <is>
          <t>Quote templates</t>
        </is>
      </c>
      <c r="B279" s="12" t="inlineStr">
        <is>
          <t>DEF-06</t>
        </is>
      </c>
      <c r="C279" s="12" t="inlineStr">
        <is>
          <t>Definitions</t>
        </is>
      </c>
      <c r="D279" s="14" t="inlineStr">
        <is>
          <t>One default template</t>
        </is>
      </c>
      <c r="E279" s="14" t="inlineStr">
        <is>
          <t>Built</t>
        </is>
      </c>
      <c r="F279" s="12" t="inlineStr">
        <is>
          <t>One default per studio; published templates only</t>
        </is>
      </c>
      <c r="G279" s="12" t="inlineStr">
        <is>
          <t>3.17, 3.31, 3.36</t>
        </is>
      </c>
      <c r="H279" s="12" t="inlineStr"/>
      <c r="I279" s="17" t="n"/>
      <c r="J279" s="17" t="n"/>
    </row>
    <row r="280">
      <c r="A280" s="12" t="inlineStr">
        <is>
          <t>Quote templates</t>
        </is>
      </c>
      <c r="B280" s="12" t="inlineStr">
        <is>
          <t>DEF-07</t>
        </is>
      </c>
      <c r="C280" s="12" t="inlineStr">
        <is>
          <t>Definitions</t>
        </is>
      </c>
      <c r="D280" s="14" t="inlineStr">
        <is>
          <t>Quote templates per legal entity</t>
        </is>
      </c>
      <c r="E280" s="14" t="inlineStr">
        <is>
          <t>Not built — by design</t>
        </is>
      </c>
      <c r="F280" s="12" t="inlineStr">
        <is>
          <t>The quote's issuing entity picks bank, QR, GST and letterhead (Q-04)</t>
        </is>
      </c>
      <c r="G280" s="12" t="inlineStr"/>
      <c r="H280" s="12" t="inlineStr"/>
      <c r="I280" s="17" t="n"/>
      <c r="J280" s="17" t="n"/>
    </row>
    <row r="281">
      <c r="A281" s="12" t="inlineStr">
        <is>
          <t>Quote templates</t>
        </is>
      </c>
      <c r="B281" s="12" t="inlineStr">
        <is>
          <t>DEF-08</t>
        </is>
      </c>
      <c r="C281" s="12" t="inlineStr">
        <is>
          <t>Definitions</t>
        </is>
      </c>
      <c r="D281" s="14" t="inlineStr">
        <is>
          <t>Template lifecycle (a save is live at once)</t>
        </is>
      </c>
      <c r="E281" s="14" t="inlineStr">
        <is>
          <t>2.0 only</t>
        </is>
      </c>
      <c r="F281" s="12" t="inlineStr">
        <is>
          <t>Draft, publish, versions, roll back and pinned quotes are new</t>
        </is>
      </c>
      <c r="G281" s="12" t="inlineStr">
        <is>
          <t>3.31</t>
        </is>
      </c>
      <c r="H281" s="12" t="inlineStr"/>
      <c r="I281" s="17" t="n"/>
      <c r="J281" s="17" t="n"/>
    </row>
    <row r="282">
      <c r="A282" s="12" t="inlineStr">
        <is>
          <t>Quote templates</t>
        </is>
      </c>
      <c r="B282" s="12" t="inlineStr">
        <is>
          <t>DEF-09</t>
        </is>
      </c>
      <c r="C282" s="12" t="inlineStr">
        <is>
          <t>Definitions</t>
        </is>
      </c>
      <c r="D282" s="14" t="inlineStr">
        <is>
          <t>Who may edit templates</t>
        </is>
      </c>
      <c r="E282" s="14" t="inlineStr">
        <is>
          <t>Built</t>
        </is>
      </c>
      <c r="F282" s="12" t="inlineStr">
        <is>
          <t>Owners and Admins publish; Designers submit for approval (Q-05)</t>
        </is>
      </c>
      <c r="G282" s="12" t="inlineStr">
        <is>
          <t>10.06, 10.14</t>
        </is>
      </c>
      <c r="H282" s="12" t="inlineStr"/>
      <c r="I282" s="17" t="n"/>
      <c r="J282" s="17" t="n"/>
    </row>
    <row r="283">
      <c r="A283" s="12" t="inlineStr">
        <is>
          <t>Quote templates</t>
        </is>
      </c>
      <c r="B283" s="12" t="inlineStr">
        <is>
          <t>DEF-10</t>
        </is>
      </c>
      <c r="C283" s="12" t="inlineStr">
        <is>
          <t>Definitions</t>
        </is>
      </c>
      <c r="D283" s="14" t="inlineStr">
        <is>
          <t>Deleting a template</t>
        </is>
      </c>
      <c r="E283" s="14" t="inlineStr">
        <is>
          <t>Built</t>
        </is>
      </c>
      <c r="F283" s="12" t="inlineStr"/>
      <c r="G283" s="12" t="inlineStr">
        <is>
          <t>3.35</t>
        </is>
      </c>
      <c r="H283" s="12" t="inlineStr"/>
      <c r="I283" s="17" t="n"/>
      <c r="J283" s="17" t="n"/>
    </row>
    <row r="284">
      <c r="A284" s="12" t="inlineStr">
        <is>
          <t>Quote templates</t>
        </is>
      </c>
      <c r="B284" s="12" t="inlineStr">
        <is>
          <t>DEF-11</t>
        </is>
      </c>
      <c r="C284" s="12" t="inlineStr">
        <is>
          <t>Definitions</t>
        </is>
      </c>
      <c r="D284" s="14" t="inlineStr">
        <is>
          <t>Tokens in a template's text</t>
        </is>
      </c>
      <c r="E284" s="14" t="inlineStr">
        <is>
          <t>Built</t>
        </is>
      </c>
      <c r="F284" s="12" t="inlineStr"/>
      <c r="G284" s="12" t="inlineStr">
        <is>
          <t>3.25</t>
        </is>
      </c>
      <c r="H284" s="12" t="inlineStr"/>
      <c r="I284" s="17" t="n"/>
      <c r="J284" s="17" t="n"/>
    </row>
    <row r="285">
      <c r="A285" s="12" t="inlineStr">
        <is>
          <t>Quote templates</t>
        </is>
      </c>
      <c r="B285" s="12" t="inlineStr">
        <is>
          <t>DEF-12</t>
        </is>
      </c>
      <c r="C285" s="12" t="inlineStr">
        <is>
          <t>Definitions</t>
        </is>
      </c>
      <c r="D285" s="14" t="inlineStr">
        <is>
          <t>Per-quote design overrides within a lock map</t>
        </is>
      </c>
      <c r="E285" s="14" t="inlineStr">
        <is>
          <t>Not built — by design</t>
        </is>
      </c>
      <c r="F285" s="12" t="inlineStr">
        <is>
          <t>A quote keeps client-view switches, not design edits (Q-02)</t>
        </is>
      </c>
      <c r="G285" s="12" t="inlineStr"/>
      <c r="H285" s="12" t="inlineStr"/>
      <c r="I285" s="17" t="n"/>
      <c r="J285" s="17" t="n"/>
    </row>
    <row r="286">
      <c r="A286" s="12" t="inlineStr">
        <is>
          <t>Quote templates</t>
        </is>
      </c>
      <c r="B286" s="12" t="inlineStr">
        <is>
          <t>DEF-13</t>
        </is>
      </c>
      <c r="C286" s="12" t="inlineStr">
        <is>
          <t>Definitions</t>
        </is>
      </c>
      <c r="D286" s="14" t="inlineStr">
        <is>
          <t>Sample data drawn in the editor</t>
        </is>
      </c>
      <c r="E286" s="14" t="inlineStr">
        <is>
          <t>Built</t>
        </is>
      </c>
      <c r="F286" s="12" t="inlineStr"/>
      <c r="G286" s="12" t="inlineStr">
        <is>
          <t>3.27</t>
        </is>
      </c>
      <c r="H286" s="12" t="inlineStr"/>
      <c r="I286" s="17" t="n"/>
      <c r="J286" s="17" t="n"/>
    </row>
    <row r="287">
      <c r="A287" s="12" t="inlineStr">
        <is>
          <t>Quote templates</t>
        </is>
      </c>
      <c r="B287" s="12" t="inlineStr">
        <is>
          <t>DEF-14</t>
        </is>
      </c>
      <c r="C287" s="12" t="inlineStr">
        <is>
          <t>Definitions</t>
        </is>
      </c>
      <c r="D287" s="14" t="inlineStr">
        <is>
          <t>Starter content with priced items</t>
        </is>
      </c>
      <c r="E287" s="14" t="inlineStr">
        <is>
          <t>Not built — by design</t>
        </is>
      </c>
      <c r="F287" s="12" t="inlineStr">
        <is>
          <t>Templates start empty sections; priced lines come from My Sections (Q-06)</t>
        </is>
      </c>
      <c r="G287" s="12" t="inlineStr">
        <is>
          <t>3.30</t>
        </is>
      </c>
      <c r="H287" s="12" t="inlineStr"/>
      <c r="I287" s="17" t="n"/>
      <c r="J287" s="17" t="n"/>
    </row>
    <row r="288">
      <c r="A288" s="12" t="inlineStr">
        <is>
          <t>Quote templates</t>
        </is>
      </c>
      <c r="B288" s="12" t="inlineStr">
        <is>
          <t>DEF-15</t>
        </is>
      </c>
      <c r="C288" s="12" t="inlineStr">
        <is>
          <t>Definitions</t>
        </is>
      </c>
      <c r="D288" s="14" t="inlineStr">
        <is>
          <t>Sections / trades with a printed description</t>
        </is>
      </c>
      <c r="E288" s="14" t="inlineStr">
        <is>
          <t>Built in parity round 1</t>
        </is>
      </c>
      <c r="F288" s="12" t="inlineStr"/>
      <c r="G288" s="12" t="inlineStr">
        <is>
          <t>2.26</t>
        </is>
      </c>
      <c r="H288" s="12" t="inlineStr"/>
      <c r="I288" s="17" t="n"/>
      <c r="J288" s="17" t="n"/>
    </row>
    <row r="289">
      <c r="A289" s="12" t="inlineStr">
        <is>
          <t>Quote templates</t>
        </is>
      </c>
      <c r="B289" s="12" t="inlineStr">
        <is>
          <t>DEF-16</t>
        </is>
      </c>
      <c r="C289" s="12" t="inlineStr">
        <is>
          <t>Definitions</t>
        </is>
      </c>
      <c r="D289" s="14" t="inlineStr">
        <is>
          <t>Quote Sharing settings (link expiry, switches)</t>
        </is>
      </c>
      <c r="E289" s="14" t="inlineStr">
        <is>
          <t>Dead</t>
        </is>
      </c>
      <c r="F289" s="12" t="inlineStr">
        <is>
          <t>Saved but never read in 1.0; nothing to port (Q-09)</t>
        </is>
      </c>
      <c r="G289" s="12" t="inlineStr"/>
      <c r="H289" s="12" t="inlineStr"/>
      <c r="I289" s="17" t="n"/>
      <c r="J289" s="17" t="n"/>
    </row>
    <row r="290">
      <c r="A290" s="12" t="inlineStr">
        <is>
          <t>Quote templates</t>
        </is>
      </c>
      <c r="B290" s="12" t="inlineStr">
        <is>
          <t>MM-01</t>
        </is>
      </c>
      <c r="C290" s="12" t="inlineStr">
        <is>
          <t>Mismatches</t>
        </is>
      </c>
      <c r="D290" s="14" t="inlineStr">
        <is>
          <t>Where a quote's design is stored (per lead)</t>
        </is>
      </c>
      <c r="E290" s="14" t="inlineStr">
        <is>
          <t>Not built — by design</t>
        </is>
      </c>
      <c r="F290" s="12" t="inlineStr">
        <is>
          <t>The design lives on a template version pinned per quote (Q-02)</t>
        </is>
      </c>
      <c r="G290" s="12" t="inlineStr"/>
      <c r="H290" s="12" t="inlineStr"/>
      <c r="I290" s="17" t="n"/>
      <c r="J290" s="17" t="n"/>
    </row>
    <row r="291">
      <c r="A291" s="12" t="inlineStr">
        <is>
          <t>Quote templates</t>
        </is>
      </c>
      <c r="B291" s="12" t="inlineStr">
        <is>
          <t>MM-02</t>
        </is>
      </c>
      <c r="C291" s="12" t="inlineStr">
        <is>
          <t>Mismatches</t>
        </is>
      </c>
      <c r="D291" s="14" t="inlineStr">
        <is>
          <t>Editing one quote's look</t>
        </is>
      </c>
      <c r="E291" s="14" t="inlineStr">
        <is>
          <t>Built</t>
        </is>
      </c>
      <c r="F291" s="12" t="inlineStr">
        <is>
          <t>Edit the template from the quote, or change template (Q-02)</t>
        </is>
      </c>
      <c r="G291" s="12" t="inlineStr"/>
      <c r="H291" s="28" t="inlineStr">
        <is>
          <t>Team check</t>
        </is>
      </c>
      <c r="I291" s="17" t="n"/>
      <c r="J291" s="17" t="n"/>
    </row>
    <row r="292">
      <c r="A292" s="12" t="inlineStr">
        <is>
          <t>Quote templates</t>
        </is>
      </c>
      <c r="B292" s="12" t="inlineStr">
        <is>
          <t>MM-03</t>
        </is>
      </c>
      <c r="C292" s="12" t="inlineStr">
        <is>
          <t>Mismatches</t>
        </is>
      </c>
      <c r="D292" s="14" t="inlineStr">
        <is>
          <t>Presets as overlays plus one custom slot</t>
        </is>
      </c>
      <c r="E292" s="14" t="inlineStr">
        <is>
          <t>Built</t>
        </is>
      </c>
      <c r="F292" s="12" t="inlineStr">
        <is>
          <t>Whole ready-made designs; save a look as a template (Q-03)</t>
        </is>
      </c>
      <c r="G292" s="12" t="inlineStr">
        <is>
          <t>3.23</t>
        </is>
      </c>
      <c r="H292" s="12" t="inlineStr"/>
      <c r="I292" s="17" t="n"/>
      <c r="J292" s="17" t="n"/>
    </row>
    <row r="293">
      <c r="A293" s="12" t="inlineStr">
        <is>
          <t>Quote templates</t>
        </is>
      </c>
      <c r="B293" s="12" t="inlineStr">
        <is>
          <t>MM-04</t>
        </is>
      </c>
      <c r="C293" s="12" t="inlineStr">
        <is>
          <t>Mismatches</t>
        </is>
      </c>
      <c r="D293" s="14" t="inlineStr">
        <is>
          <t>Templates per legal entity</t>
        </is>
      </c>
      <c r="E293" s="14" t="inlineStr">
        <is>
          <t>Not built — by design</t>
        </is>
      </c>
      <c r="F293" s="12" t="inlineStr">
        <is>
          <t>Never applied in 1.0; the entity sets bank and letterhead (Q-04)</t>
        </is>
      </c>
      <c r="G293" s="12" t="inlineStr"/>
      <c r="H293" s="12" t="inlineStr"/>
      <c r="I293" s="17" t="n"/>
      <c r="J293" s="17" t="n"/>
    </row>
    <row r="294">
      <c r="A294" s="12" t="inlineStr">
        <is>
          <t>Quote templates</t>
        </is>
      </c>
      <c r="B294" s="12" t="inlineStr">
        <is>
          <t>MM-05</t>
        </is>
      </c>
      <c r="C294" s="12" t="inlineStr">
        <is>
          <t>Mismatches</t>
        </is>
      </c>
      <c r="D294" s="14" t="inlineStr">
        <is>
          <t>Everyone may edit templates</t>
        </is>
      </c>
      <c r="E294" s="14" t="inlineStr">
        <is>
          <t>Built</t>
        </is>
      </c>
      <c r="F294" s="12" t="inlineStr">
        <is>
          <t>Owners and Admins publish; Designers submit (Q-05)</t>
        </is>
      </c>
      <c r="G294" s="12" t="inlineStr">
        <is>
          <t>10.06</t>
        </is>
      </c>
      <c r="H294" s="12" t="inlineStr"/>
      <c r="I294" s="17" t="n"/>
      <c r="J294" s="17" t="n"/>
    </row>
    <row r="295">
      <c r="A295" s="12" t="inlineStr">
        <is>
          <t>Quote templates</t>
        </is>
      </c>
      <c r="B295" s="12" t="inlineStr">
        <is>
          <t>MM-06</t>
        </is>
      </c>
      <c r="C295" s="12" t="inlineStr">
        <is>
          <t>Mismatches</t>
        </is>
      </c>
      <c r="D295" s="14" t="inlineStr">
        <is>
          <t>Templates carry priced starter lines</t>
        </is>
      </c>
      <c r="E295" s="14" t="inlineStr">
        <is>
          <t>Not built — by design</t>
        </is>
      </c>
      <c r="F295" s="12" t="inlineStr">
        <is>
          <t>Starter sections only; priced lines via My Sections (Q-06)</t>
        </is>
      </c>
      <c r="G295" s="12" t="inlineStr">
        <is>
          <t>3.30</t>
        </is>
      </c>
      <c r="H295" s="12" t="inlineStr"/>
      <c r="I295" s="17" t="n"/>
      <c r="J295" s="17" t="n"/>
    </row>
    <row r="296">
      <c r="A296" s="12" t="inlineStr">
        <is>
          <t>Quote templates</t>
        </is>
      </c>
      <c r="B296" s="12" t="inlineStr">
        <is>
          <t>MM-07</t>
        </is>
      </c>
      <c r="C296" s="12" t="inlineStr">
        <is>
          <t>Mismatches</t>
        </is>
      </c>
      <c r="D296" s="14" t="inlineStr">
        <is>
          <t>Save as template, full or clean</t>
        </is>
      </c>
      <c r="E296" s="14" t="inlineStr">
        <is>
          <t>Not built — by design</t>
        </is>
      </c>
      <c r="F296" s="12" t="inlineStr">
        <is>
          <t>Save as template carries design and defaults, never lines (Q-06)</t>
        </is>
      </c>
      <c r="G296" s="12" t="inlineStr"/>
      <c r="H296" s="12" t="inlineStr"/>
      <c r="I296" s="17" t="n"/>
      <c r="J296" s="17" t="n"/>
    </row>
    <row r="297">
      <c r="A297" s="12" t="inlineStr">
        <is>
          <t>Quote templates</t>
        </is>
      </c>
      <c r="B297" s="12" t="inlineStr">
        <is>
          <t>MM-08</t>
        </is>
      </c>
      <c r="C297" s="12" t="inlineStr">
        <is>
          <t>Mismatches</t>
        </is>
      </c>
      <c r="D297" s="14" t="inlineStr">
        <is>
          <t>Seven item-numbering modes (A1, A2…)</t>
        </is>
      </c>
      <c r="E297" s="14" t="inlineStr">
        <is>
          <t>Built in parity round 1</t>
        </is>
      </c>
      <c r="F297" s="12" t="inlineStr"/>
      <c r="G297" s="12" t="inlineStr">
        <is>
          <t>3.29</t>
        </is>
      </c>
      <c r="H297" s="12" t="inlineStr"/>
      <c r="I297" s="17" t="n"/>
      <c r="J297" s="17" t="n"/>
    </row>
    <row r="298">
      <c r="A298" s="12" t="inlineStr">
        <is>
          <t>Quote templates</t>
        </is>
      </c>
      <c r="B298" s="12" t="inlineStr">
        <is>
          <t>MM-09</t>
        </is>
      </c>
      <c r="C298" s="12" t="inlineStr">
        <is>
          <t>Mismatches</t>
        </is>
      </c>
      <c r="D298" s="14" t="inlineStr">
        <is>
          <t>Optional lines counted in totals, or their own column</t>
        </is>
      </c>
      <c r="E298" s="14" t="inlineStr">
        <is>
          <t>Built in parity round 1</t>
        </is>
      </c>
      <c r="F298" s="12" t="inlineStr">
        <is>
          <t>Optional price column built; optional lines stay out of the totals</t>
        </is>
      </c>
      <c r="G298" s="12" t="inlineStr"/>
      <c r="H298" s="28" t="inlineStr">
        <is>
          <t>Team check</t>
        </is>
      </c>
      <c r="I298" s="17" t="n"/>
      <c r="J298" s="17" t="n"/>
    </row>
    <row r="299">
      <c r="A299" s="12" t="inlineStr">
        <is>
          <t>Quote templates</t>
        </is>
      </c>
      <c r="B299" s="12" t="inlineStr">
        <is>
          <t>MM-10</t>
        </is>
      </c>
      <c r="C299" s="12" t="inlineStr">
        <is>
          <t>Mismatches</t>
        </is>
      </c>
      <c r="D299" s="14" t="inlineStr">
        <is>
          <t>Totals shapes and a Round Off row</t>
        </is>
      </c>
      <c r="E299" s="14" t="inlineStr">
        <is>
          <t>Built</t>
        </is>
      </c>
      <c r="F299" s="12" t="inlineStr">
        <is>
          <t>Every totals shape is a setting; no Round off line (Q-12)</t>
        </is>
      </c>
      <c r="G299" s="12" t="inlineStr"/>
      <c r="H299" s="28" t="inlineStr">
        <is>
          <t>Team check</t>
        </is>
      </c>
      <c r="I299" s="17" t="n"/>
      <c r="J299" s="17" t="n"/>
    </row>
    <row r="300">
      <c r="A300" s="12" t="inlineStr">
        <is>
          <t>Quote templates</t>
        </is>
      </c>
      <c r="B300" s="12" t="inlineStr">
        <is>
          <t>MM-11</t>
        </is>
      </c>
      <c r="C300" s="12" t="inlineStr">
        <is>
          <t>Mismatches</t>
        </is>
      </c>
      <c r="D300" s="14" t="inlineStr">
        <is>
          <t>Printing prices GST-inclusive</t>
        </is>
      </c>
      <c r="E300" s="14" t="inlineStr">
        <is>
          <t>Later</t>
        </is>
      </c>
      <c r="F300" s="12" t="inlineStr">
        <is>
          <t>Held — ask the studios first (Q-13)</t>
        </is>
      </c>
      <c r="G300" s="12" t="inlineStr"/>
      <c r="H300" s="12" t="inlineStr"/>
      <c r="I300" s="17" t="n"/>
      <c r="J300" s="17" t="n"/>
    </row>
    <row r="301">
      <c r="A301" s="12" t="inlineStr">
        <is>
          <t>Quote templates</t>
        </is>
      </c>
      <c r="B301" s="12" t="inlineStr">
        <is>
          <t>MM-12</t>
        </is>
      </c>
      <c r="C301" s="12" t="inlineStr">
        <is>
          <t>Mismatches</t>
        </is>
      </c>
      <c r="D301" s="14" t="inlineStr">
        <is>
          <t>Header and footer repetition</t>
        </is>
      </c>
      <c r="E301" s="14" t="inlineStr">
        <is>
          <t>Built</t>
        </is>
      </c>
      <c r="F301" s="12" t="inlineStr"/>
      <c r="G301" s="12" t="inlineStr"/>
      <c r="H301" s="28" t="inlineStr">
        <is>
          <t>Team check</t>
        </is>
      </c>
      <c r="I301" s="17" t="n"/>
      <c r="J301" s="17" t="n"/>
    </row>
    <row r="302">
      <c r="A302" s="12" t="inlineStr">
        <is>
          <t>Quote templates</t>
        </is>
      </c>
      <c r="B302" s="12" t="inlineStr">
        <is>
          <t>MM-13</t>
        </is>
      </c>
      <c r="C302" s="12" t="inlineStr">
        <is>
          <t>Mismatches</t>
        </is>
      </c>
      <c r="D302" s="14" t="inlineStr">
        <is>
          <t>Fonts, incl. Outfit and uploaded fonts</t>
        </is>
      </c>
      <c r="E302" s="14" t="inlineStr">
        <is>
          <t>Later</t>
        </is>
      </c>
      <c r="F302" s="12" t="inlineStr">
        <is>
          <t>Outfit and uploaded fonts held until the port shows the need (Q-14)</t>
        </is>
      </c>
      <c r="G302" s="12" t="inlineStr"/>
      <c r="H302" s="12" t="inlineStr"/>
      <c r="I302" s="17" t="n"/>
      <c r="J302" s="17" t="n"/>
    </row>
    <row r="303">
      <c r="A303" s="12" t="inlineStr">
        <is>
          <t>Quote templates</t>
        </is>
      </c>
      <c r="B303" s="12" t="inlineStr">
        <is>
          <t>MM-14</t>
        </is>
      </c>
      <c r="C303" s="12" t="inlineStr">
        <is>
          <t>Mismatches</t>
        </is>
      </c>
      <c r="D303" s="14" t="inlineStr">
        <is>
          <t>Platform accreditation catalogue</t>
        </is>
      </c>
      <c r="E303" s="14" t="inlineStr">
        <is>
          <t>Built</t>
        </is>
      </c>
      <c r="F303" s="12" t="inlineStr">
        <is>
          <t>The studio's own badges in the brand kit (Q-15)</t>
        </is>
      </c>
      <c r="G303" s="12" t="inlineStr"/>
      <c r="H303" s="28" t="inlineStr">
        <is>
          <t>Team check</t>
        </is>
      </c>
      <c r="I303" s="17" t="n"/>
      <c r="J303" s="17" t="n"/>
    </row>
    <row r="304">
      <c r="A304" s="12" t="inlineStr">
        <is>
          <t>Quote templates</t>
        </is>
      </c>
      <c r="B304" s="12" t="inlineStr">
        <is>
          <t>MM-15</t>
        </is>
      </c>
      <c r="C304" s="12" t="inlineStr">
        <is>
          <t>Mismatches</t>
        </is>
      </c>
      <c r="D304" s="14" t="inlineStr">
        <is>
          <t>Payment milestones: fixed amounts, ordinals, footnote</t>
        </is>
      </c>
      <c r="E304" s="14" t="inlineStr">
        <is>
          <t>Built in parity round 2</t>
        </is>
      </c>
      <c r="F304" s="12" t="inlineStr">
        <is>
          <t>Ordinals and footnote built; fixed-amount rows held for Finance</t>
        </is>
      </c>
      <c r="G304" s="12" t="inlineStr"/>
      <c r="H304" s="28" t="inlineStr">
        <is>
          <t>Team check</t>
        </is>
      </c>
      <c r="I304" s="17" t="n"/>
      <c r="J304" s="17" t="n"/>
    </row>
    <row r="305">
      <c r="A305" s="12" t="inlineStr">
        <is>
          <t>Quote templates</t>
        </is>
      </c>
      <c r="B305" s="12" t="inlineStr">
        <is>
          <t>MM-16</t>
        </is>
      </c>
      <c r="C305" s="12" t="inlineStr">
        <is>
          <t>Mismatches</t>
        </is>
      </c>
      <c r="D305" s="14" t="inlineStr">
        <is>
          <t>Signature stamped on the PDF, fallback signature footer</t>
        </is>
      </c>
      <c r="E305" s="14" t="inlineStr">
        <is>
          <t>Not built — by design</t>
        </is>
      </c>
      <c r="F305" s="12" t="inlineStr">
        <is>
          <t>No automatic signature block; Client signs online is per quote (Q-17)</t>
        </is>
      </c>
      <c r="G305" s="12" t="inlineStr"/>
      <c r="H305" s="12" t="inlineStr"/>
      <c r="I305" s="17" t="n"/>
      <c r="J305" s="17" t="n"/>
    </row>
    <row r="306">
      <c r="A306" s="12" t="inlineStr">
        <is>
          <t>Quote templates</t>
        </is>
      </c>
      <c r="B306" s="12" t="inlineStr">
        <is>
          <t>MM-17</t>
        </is>
      </c>
      <c r="C306" s="12" t="inlineStr">
        <is>
          <t>Mismatches</t>
        </is>
      </c>
      <c r="D306" s="14" t="inlineStr">
        <is>
          <t>Unknown tokens print empty in documents</t>
        </is>
      </c>
      <c r="E306" s="14" t="inlineStr">
        <is>
          <t>Built</t>
        </is>
      </c>
      <c r="F306" s="12" t="inlineStr">
        <is>
          <t>An unknown field prints as typed, so typos show</t>
        </is>
      </c>
      <c r="G306" s="12" t="inlineStr"/>
      <c r="H306" s="28" t="inlineStr">
        <is>
          <t>Team check</t>
        </is>
      </c>
      <c r="I306" s="17" t="n"/>
      <c r="J306" s="17" t="n"/>
    </row>
    <row r="307">
      <c r="A307" s="12" t="inlineStr">
        <is>
          <t>Quote templates</t>
        </is>
      </c>
      <c r="B307" s="12" t="inlineStr">
        <is>
          <t>MM-18</t>
        </is>
      </c>
      <c r="C307" s="12" t="inlineStr">
        <is>
          <t>Mismatches</t>
        </is>
      </c>
      <c r="D307" s="14" t="inlineStr">
        <is>
          <t>Watermark: text, opacity, rotation, logo</t>
        </is>
      </c>
      <c r="E307" s="14" t="inlineStr">
        <is>
          <t>Built in parity round 2</t>
        </is>
      </c>
      <c r="F307" s="12" t="inlineStr">
        <is>
          <t>A word with a strength; no angle or logo watermark (Q-18)</t>
        </is>
      </c>
      <c r="G307" s="12" t="inlineStr"/>
      <c r="H307" s="28" t="inlineStr">
        <is>
          <t>Team check</t>
        </is>
      </c>
      <c r="I307" s="17" t="n"/>
      <c r="J307" s="17" t="n"/>
    </row>
    <row r="308">
      <c r="A308" s="12" t="inlineStr">
        <is>
          <t>Quote templates</t>
        </is>
      </c>
      <c r="B308" s="12" t="inlineStr">
        <is>
          <t>TL-01</t>
        </is>
      </c>
      <c r="C308" s="12" t="inlineStr">
        <is>
          <t>Library and lifecycle</t>
        </is>
      </c>
      <c r="D308" s="14" t="inlineStr">
        <is>
          <t>Document Templates page with six kinds</t>
        </is>
      </c>
      <c r="E308" s="14" t="inlineStr">
        <is>
          <t>Built</t>
        </is>
      </c>
      <c r="F308" s="12" t="inlineStr">
        <is>
          <t>Invoice, PO and VO templates wait for Finance</t>
        </is>
      </c>
      <c r="G308" s="12" t="inlineStr">
        <is>
          <t>3.17</t>
        </is>
      </c>
      <c r="H308" s="12" t="inlineStr"/>
      <c r="I308" s="17" t="n"/>
      <c r="J308" s="17" t="n"/>
    </row>
    <row r="309">
      <c r="A309" s="12" t="inlineStr">
        <is>
          <t>Quote templates</t>
        </is>
      </c>
      <c r="B309" s="12" t="inlineStr">
        <is>
          <t>TL-02</t>
        </is>
      </c>
      <c r="C309" s="12" t="inlineStr">
        <is>
          <t>Library and lifecycle</t>
        </is>
      </c>
      <c r="D309" s="14" t="inlineStr">
        <is>
          <t>Template list with name and default badge</t>
        </is>
      </c>
      <c r="E309" s="14" t="inlineStr">
        <is>
          <t>Built</t>
        </is>
      </c>
      <c r="F309" s="12" t="inlineStr"/>
      <c r="G309" s="12" t="inlineStr">
        <is>
          <t>3.17, 3.33</t>
        </is>
      </c>
      <c r="H309" s="12" t="inlineStr"/>
      <c r="I309" s="17" t="n"/>
      <c r="J309" s="17" t="n"/>
    </row>
    <row r="310">
      <c r="A310" s="12" t="inlineStr">
        <is>
          <t>Quote templates</t>
        </is>
      </c>
      <c r="B310" s="12" t="inlineStr">
        <is>
          <t>TL-03</t>
        </is>
      </c>
      <c r="C310" s="12" t="inlineStr">
        <is>
          <t>Library and lifecycle</t>
        </is>
      </c>
      <c r="D310" s="14" t="inlineStr">
        <is>
          <t>Add a template</t>
        </is>
      </c>
      <c r="E310" s="14" t="inlineStr">
        <is>
          <t>Built</t>
        </is>
      </c>
      <c r="F310" s="12" t="inlineStr"/>
      <c r="G310" s="12" t="inlineStr">
        <is>
          <t>3.23</t>
        </is>
      </c>
      <c r="H310" s="12" t="inlineStr"/>
      <c r="I310" s="17" t="n"/>
      <c r="J310" s="17" t="n"/>
    </row>
    <row r="311">
      <c r="A311" s="12" t="inlineStr">
        <is>
          <t>Quote templates</t>
        </is>
      </c>
      <c r="B311" s="12" t="inlineStr">
        <is>
          <t>TL-04</t>
        </is>
      </c>
      <c r="C311" s="12" t="inlineStr">
        <is>
          <t>Library and lifecycle</t>
        </is>
      </c>
      <c r="D311" s="14" t="inlineStr">
        <is>
          <t>Save, discard and unsaved changes</t>
        </is>
      </c>
      <c r="E311" s="14" t="inlineStr">
        <is>
          <t>Built</t>
        </is>
      </c>
      <c r="F311" s="12" t="inlineStr"/>
      <c r="G311" s="12" t="inlineStr"/>
      <c r="H311" s="28" t="inlineStr">
        <is>
          <t>Team check</t>
        </is>
      </c>
      <c r="I311" s="17" t="n"/>
      <c r="J311" s="17" t="n"/>
    </row>
    <row r="312">
      <c r="A312" s="12" t="inlineStr">
        <is>
          <t>Quote templates</t>
        </is>
      </c>
      <c r="B312" s="12" t="inlineStr">
        <is>
          <t>TL-05</t>
        </is>
      </c>
      <c r="C312" s="12" t="inlineStr">
        <is>
          <t>Library and lifecycle</t>
        </is>
      </c>
      <c r="D312" s="14" t="inlineStr">
        <is>
          <t>Set as default</t>
        </is>
      </c>
      <c r="E312" s="14" t="inlineStr">
        <is>
          <t>Built</t>
        </is>
      </c>
      <c r="F312" s="12" t="inlineStr"/>
      <c r="G312" s="12" t="inlineStr">
        <is>
          <t>3.31, 3.33, 3.36</t>
        </is>
      </c>
      <c r="H312" s="12" t="inlineStr"/>
      <c r="I312" s="17" t="n"/>
      <c r="J312" s="17" t="n"/>
    </row>
    <row r="313">
      <c r="A313" s="12" t="inlineStr">
        <is>
          <t>Quote templates</t>
        </is>
      </c>
      <c r="B313" s="12" t="inlineStr">
        <is>
          <t>TL-06</t>
        </is>
      </c>
      <c r="C313" s="12" t="inlineStr">
        <is>
          <t>Library and lifecycle</t>
        </is>
      </c>
      <c r="D313" s="14" t="inlineStr">
        <is>
          <t>Rename and duplicate</t>
        </is>
      </c>
      <c r="E313" s="14" t="inlineStr">
        <is>
          <t>Built</t>
        </is>
      </c>
      <c r="F313" s="12" t="inlineStr"/>
      <c r="G313" s="12" t="inlineStr"/>
      <c r="H313" s="28" t="inlineStr">
        <is>
          <t>Team check</t>
        </is>
      </c>
      <c r="I313" s="17" t="n"/>
      <c r="J313" s="17" t="n"/>
    </row>
    <row r="314">
      <c r="A314" s="12" t="inlineStr">
        <is>
          <t>Quote templates</t>
        </is>
      </c>
      <c r="B314" s="12" t="inlineStr">
        <is>
          <t>TL-07</t>
        </is>
      </c>
      <c r="C314" s="12" t="inlineStr">
        <is>
          <t>Library and lifecycle</t>
        </is>
      </c>
      <c r="D314" s="14" t="inlineStr">
        <is>
          <t>Delete a template</t>
        </is>
      </c>
      <c r="E314" s="14" t="inlineStr">
        <is>
          <t>Built</t>
        </is>
      </c>
      <c r="F314" s="12" t="inlineStr"/>
      <c r="G314" s="12" t="inlineStr">
        <is>
          <t>3.35</t>
        </is>
      </c>
      <c r="H314" s="12" t="inlineStr"/>
      <c r="I314" s="17" t="n"/>
      <c r="J314" s="17" t="n"/>
    </row>
    <row r="315">
      <c r="A315" s="12" t="inlineStr">
        <is>
          <t>Quote templates</t>
        </is>
      </c>
      <c r="B315" s="12" t="inlineStr">
        <is>
          <t>TL-08</t>
        </is>
      </c>
      <c r="C315" s="12" t="inlineStr">
        <is>
          <t>Library and lifecycle</t>
        </is>
      </c>
      <c r="D315" s="14" t="inlineStr">
        <is>
          <t>Last used order</t>
        </is>
      </c>
      <c r="E315" s="14" t="inlineStr">
        <is>
          <t>Built</t>
        </is>
      </c>
      <c r="F315" s="12" t="inlineStr"/>
      <c r="G315" s="12" t="inlineStr"/>
      <c r="H315" s="28" t="inlineStr">
        <is>
          <t>Team check</t>
        </is>
      </c>
      <c r="I315" s="17" t="n"/>
      <c r="J315" s="17" t="n"/>
    </row>
    <row r="316">
      <c r="A316" s="12" t="inlineStr">
        <is>
          <t>Quote templates</t>
        </is>
      </c>
      <c r="B316" s="12" t="inlineStr">
        <is>
          <t>TL-09</t>
        </is>
      </c>
      <c r="C316" s="12" t="inlineStr">
        <is>
          <t>Library and lifecycle</t>
        </is>
      </c>
      <c r="D316" s="14" t="inlineStr">
        <is>
          <t>Versions, history, roll back</t>
        </is>
      </c>
      <c r="E316" s="14" t="inlineStr">
        <is>
          <t>2.0 only</t>
        </is>
      </c>
      <c r="F316" s="12" t="inlineStr">
        <is>
          <t>1.0 had none; 2.0 keeps every published version</t>
        </is>
      </c>
      <c r="G316" s="12" t="inlineStr">
        <is>
          <t>3.32</t>
        </is>
      </c>
      <c r="H316" s="12" t="inlineStr"/>
      <c r="I316" s="17" t="n"/>
      <c r="J316" s="17" t="n"/>
    </row>
    <row r="317">
      <c r="A317" s="12" t="inlineStr">
        <is>
          <t>Quote templates</t>
        </is>
      </c>
      <c r="B317" s="12" t="inlineStr">
        <is>
          <t>TL-10</t>
        </is>
      </c>
      <c r="C317" s="12" t="inlineStr">
        <is>
          <t>Library and lifecycle</t>
        </is>
      </c>
      <c r="D317" s="14" t="inlineStr">
        <is>
          <t>Approval before publishing</t>
        </is>
      </c>
      <c r="E317" s="14" t="inlineStr">
        <is>
          <t>2.0 only</t>
        </is>
      </c>
      <c r="F317" s="12" t="inlineStr">
        <is>
          <t>1.0 had none; Designers submit, Owners and Admins approve</t>
        </is>
      </c>
      <c r="G317" s="12" t="inlineStr">
        <is>
          <t>10.06, 10.14</t>
        </is>
      </c>
      <c r="H317" s="12" t="inlineStr"/>
      <c r="I317" s="17" t="n"/>
      <c r="J317" s="17" t="n"/>
    </row>
    <row r="318">
      <c r="A318" s="12" t="inlineStr">
        <is>
          <t>Quote templates</t>
        </is>
      </c>
      <c r="B318" s="12" t="inlineStr">
        <is>
          <t>TL-11</t>
        </is>
      </c>
      <c r="C318" s="12" t="inlineStr">
        <is>
          <t>Library and lifecycle</t>
        </is>
      </c>
      <c r="D318" s="14" t="inlineStr">
        <is>
          <t>Editing templates per entity</t>
        </is>
      </c>
      <c r="E318" s="14" t="inlineStr">
        <is>
          <t>Not built — by design</t>
        </is>
      </c>
      <c r="F318" s="12" t="inlineStr">
        <is>
          <t>Never applied to a quote in 1.0 (Q-04)</t>
        </is>
      </c>
      <c r="G318" s="12" t="inlineStr"/>
      <c r="H318" s="12" t="inlineStr"/>
      <c r="I318" s="17" t="n"/>
      <c r="J318" s="17" t="n"/>
    </row>
    <row r="319">
      <c r="A319" s="12" t="inlineStr">
        <is>
          <t>Quote templates</t>
        </is>
      </c>
      <c r="B319" s="12" t="inlineStr">
        <is>
          <t>TL-12</t>
        </is>
      </c>
      <c r="C319" s="12" t="inlineStr">
        <is>
          <t>Library and lifecycle</t>
        </is>
      </c>
      <c r="D319" s="14" t="inlineStr">
        <is>
          <t>Old settings fallback when no template exists</t>
        </is>
      </c>
      <c r="E319" s="14" t="inlineStr">
        <is>
          <t>Platform</t>
        </is>
      </c>
      <c r="F319" s="12" t="inlineStr">
        <is>
          <t>Handled once by the data port</t>
        </is>
      </c>
      <c r="G319" s="12" t="inlineStr"/>
      <c r="H319" s="12" t="inlineStr"/>
      <c r="I319" s="17" t="n"/>
      <c r="J319" s="17" t="n"/>
    </row>
    <row r="320">
      <c r="A320" s="12" t="inlineStr">
        <is>
          <t>Quote templates</t>
        </is>
      </c>
      <c r="B320" s="12" t="inlineStr">
        <is>
          <t>TL-13</t>
        </is>
      </c>
      <c r="C320" s="12" t="inlineStr">
        <is>
          <t>Library and lifecycle</t>
        </is>
      </c>
      <c r="D320" s="14" t="inlineStr">
        <is>
          <t>Seeded starter templates</t>
        </is>
      </c>
      <c r="E320" s="14" t="inlineStr">
        <is>
          <t>Built</t>
        </is>
      </c>
      <c r="F320" s="12" t="inlineStr"/>
      <c r="G320" s="12" t="inlineStr">
        <is>
          <t>3.17</t>
        </is>
      </c>
      <c r="H320" s="12" t="inlineStr"/>
      <c r="I320" s="17" t="n"/>
      <c r="J320" s="17" t="n"/>
    </row>
    <row r="321">
      <c r="A321" s="12" t="inlineStr">
        <is>
          <t>Quote templates</t>
        </is>
      </c>
      <c r="B321" s="12" t="inlineStr">
        <is>
          <t>TE-01</t>
        </is>
      </c>
      <c r="C321" s="12" t="inlineStr">
        <is>
          <t>Editor frame</t>
        </is>
      </c>
      <c r="D321" s="14" t="inlineStr">
        <is>
          <t>The editor's tabs</t>
        </is>
      </c>
      <c r="E321" s="14" t="inlineStr">
        <is>
          <t>Built</t>
        </is>
      </c>
      <c r="F321" s="12" t="inlineStr"/>
      <c r="G321" s="12" t="inlineStr">
        <is>
          <t>3.24</t>
        </is>
      </c>
      <c r="H321" s="12" t="inlineStr"/>
      <c r="I321" s="17" t="n"/>
      <c r="J321" s="17" t="n"/>
    </row>
    <row r="322">
      <c r="A322" s="12" t="inlineStr">
        <is>
          <t>Quote templates</t>
        </is>
      </c>
      <c r="B322" s="12" t="inlineStr">
        <is>
          <t>TE-02</t>
        </is>
      </c>
      <c r="C322" s="12" t="inlineStr">
        <is>
          <t>Editor frame</t>
        </is>
      </c>
      <c r="D322" s="14" t="inlineStr">
        <is>
          <t>Live preview with sample data</t>
        </is>
      </c>
      <c r="E322" s="14" t="inlineStr">
        <is>
          <t>Built</t>
        </is>
      </c>
      <c r="F322" s="12" t="inlineStr"/>
      <c r="G322" s="12" t="inlineStr">
        <is>
          <t>3.27</t>
        </is>
      </c>
      <c r="H322" s="12" t="inlineStr"/>
      <c r="I322" s="17" t="n"/>
      <c r="J322" s="17" t="n"/>
    </row>
    <row r="323">
      <c r="A323" s="12" t="inlineStr">
        <is>
          <t>Quote templates</t>
        </is>
      </c>
      <c r="B323" s="12" t="inlineStr">
        <is>
          <t>TE-03</t>
        </is>
      </c>
      <c r="C323" s="12" t="inlineStr">
        <is>
          <t>Editor frame</t>
        </is>
      </c>
      <c r="D323" s="14" t="inlineStr">
        <is>
          <t>Undo, and delete with Undo</t>
        </is>
      </c>
      <c r="E323" s="14" t="inlineStr">
        <is>
          <t>Built</t>
        </is>
      </c>
      <c r="F323" s="12" t="inlineStr"/>
      <c r="G323" s="12" t="inlineStr">
        <is>
          <t>3.26</t>
        </is>
      </c>
      <c r="H323" s="12" t="inlineStr"/>
      <c r="I323" s="17" t="n"/>
      <c r="J323" s="17" t="n"/>
    </row>
    <row r="324">
      <c r="A324" s="12" t="inlineStr">
        <is>
          <t>Quote templates</t>
        </is>
      </c>
      <c r="B324" s="12" t="inlineStr">
        <is>
          <t>TE-04</t>
        </is>
      </c>
      <c r="C324" s="12" t="inlineStr">
        <is>
          <t>Editor frame</t>
        </is>
      </c>
      <c r="D324" s="14" t="inlineStr">
        <is>
          <t>Search for a setting by name</t>
        </is>
      </c>
      <c r="E324" s="14" t="inlineStr">
        <is>
          <t>Not built — by design</t>
        </is>
      </c>
      <c r="F324" s="12" t="inlineStr">
        <is>
          <t>One block at a time keeps the editor simple</t>
        </is>
      </c>
      <c r="G324" s="12" t="inlineStr"/>
      <c r="H324" s="12" t="inlineStr"/>
      <c r="I324" s="17" t="n"/>
      <c r="J324" s="17" t="n"/>
    </row>
    <row r="325">
      <c r="A325" s="12" t="inlineStr">
        <is>
          <t>Quote templates</t>
        </is>
      </c>
      <c r="B325" s="12" t="inlineStr">
        <is>
          <t>TE-05</t>
        </is>
      </c>
      <c r="C325" s="12" t="inlineStr">
        <is>
          <t>Editor frame</t>
        </is>
      </c>
      <c r="D325" s="14" t="inlineStr">
        <is>
          <t>Marks on changed settings and reset</t>
        </is>
      </c>
      <c r="E325" s="14" t="inlineStr">
        <is>
          <t>Built in parity round 2</t>
        </is>
      </c>
      <c r="F325" s="12" t="inlineStr"/>
      <c r="G325" s="12" t="inlineStr">
        <is>
          <t>3.28</t>
        </is>
      </c>
      <c r="H325" s="12" t="inlineStr"/>
      <c r="I325" s="17" t="n"/>
      <c r="J325" s="17" t="n"/>
    </row>
    <row r="326">
      <c r="A326" s="12" t="inlineStr">
        <is>
          <t>Quote templates</t>
        </is>
      </c>
      <c r="B326" s="12" t="inlineStr">
        <is>
          <t>TE-06</t>
        </is>
      </c>
      <c r="C326" s="12" t="inlineStr">
        <is>
          <t>Editor frame</t>
        </is>
      </c>
      <c r="D326" s="14" t="inlineStr">
        <is>
          <t>Grouped settings shown only when relevant</t>
        </is>
      </c>
      <c r="E326" s="14" t="inlineStr">
        <is>
          <t>Built</t>
        </is>
      </c>
      <c r="F326" s="12" t="inlineStr"/>
      <c r="G326" s="12" t="inlineStr">
        <is>
          <t>3.24</t>
        </is>
      </c>
      <c r="H326" s="12" t="inlineStr"/>
      <c r="I326" s="17" t="n"/>
      <c r="J326" s="17" t="n"/>
    </row>
    <row r="327">
      <c r="A327" s="12" t="inlineStr">
        <is>
          <t>Quote templates</t>
        </is>
      </c>
      <c r="B327" s="12" t="inlineStr">
        <is>
          <t>TE-07</t>
        </is>
      </c>
      <c r="C327" s="12" t="inlineStr">
        <is>
          <t>Editor frame</t>
        </is>
      </c>
      <c r="D327" s="14" t="inlineStr">
        <is>
          <t>Lock map of what a quote may override</t>
        </is>
      </c>
      <c r="E327" s="14" t="inlineStr">
        <is>
          <t>Not built — by design</t>
        </is>
      </c>
      <c r="F327" s="12" t="inlineStr">
        <is>
          <t>No per-quote design edits, so no lock map (Q-02)</t>
        </is>
      </c>
      <c r="G327" s="12" t="inlineStr"/>
      <c r="H327" s="12" t="inlineStr"/>
      <c r="I327" s="17" t="n"/>
      <c r="J327" s="17" t="n"/>
    </row>
    <row r="328">
      <c r="A328" s="12" t="inlineStr">
        <is>
          <t>Quote templates</t>
        </is>
      </c>
      <c r="B328" s="12" t="inlineStr">
        <is>
          <t>TE-08</t>
        </is>
      </c>
      <c r="C328" s="12" t="inlineStr">
        <is>
          <t>Editor frame</t>
        </is>
      </c>
      <c r="D328" s="14" t="inlineStr">
        <is>
          <t>Assets: badges and signatures</t>
        </is>
      </c>
      <c r="E328" s="14" t="inlineStr">
        <is>
          <t>Built</t>
        </is>
      </c>
      <c r="F328" s="12" t="inlineStr"/>
      <c r="G328" s="12" t="inlineStr"/>
      <c r="H328" s="28" t="inlineStr">
        <is>
          <t>Team check</t>
        </is>
      </c>
      <c r="I328" s="17" t="n"/>
      <c r="J328" s="17" t="n"/>
    </row>
    <row r="329">
      <c r="A329" s="12" t="inlineStr">
        <is>
          <t>Quote templates</t>
        </is>
      </c>
      <c r="B329" s="12" t="inlineStr">
        <is>
          <t>TE-09</t>
        </is>
      </c>
      <c r="C329" s="12" t="inlineStr">
        <is>
          <t>Editor frame</t>
        </is>
      </c>
      <c r="D329" s="14" t="inlineStr">
        <is>
          <t>Quote Template Sandbox page</t>
        </is>
      </c>
      <c r="E329" s="14" t="inlineStr">
        <is>
          <t>Dead</t>
        </is>
      </c>
      <c r="F329" s="12" t="inlineStr">
        <is>
          <t>A developer page no studio reached</t>
        </is>
      </c>
      <c r="G329" s="12" t="inlineStr"/>
      <c r="H329" s="12" t="inlineStr"/>
      <c r="I329" s="17" t="n"/>
      <c r="J329" s="17" t="n"/>
    </row>
    <row r="330">
      <c r="A330" s="12" t="inlineStr">
        <is>
          <t>Quote templates</t>
        </is>
      </c>
      <c r="B330" s="12" t="inlineStr">
        <is>
          <t>TP-01</t>
        </is>
      </c>
      <c r="C330" s="12" t="inlineStr">
        <is>
          <t>Page, header, footer, cover</t>
        </is>
      </c>
      <c r="D330" s="14" t="inlineStr">
        <is>
          <t>Paper size and margins</t>
        </is>
      </c>
      <c r="E330" s="14" t="inlineStr">
        <is>
          <t>Built</t>
        </is>
      </c>
      <c r="F330" s="12" t="inlineStr"/>
      <c r="G330" s="12" t="inlineStr"/>
      <c r="H330" s="28" t="inlineStr">
        <is>
          <t>Team check</t>
        </is>
      </c>
      <c r="I330" s="17" t="n"/>
      <c r="J330" s="17" t="n"/>
    </row>
    <row r="331">
      <c r="A331" s="12" t="inlineStr">
        <is>
          <t>Quote templates</t>
        </is>
      </c>
      <c r="B331" s="12" t="inlineStr">
        <is>
          <t>TP-02</t>
        </is>
      </c>
      <c r="C331" s="12" t="inlineStr">
        <is>
          <t>Page, header, footer, cover</t>
        </is>
      </c>
      <c r="D331" s="14" t="inlineStr">
        <is>
          <t>Page background colour or image</t>
        </is>
      </c>
      <c r="E331" s="14" t="inlineStr">
        <is>
          <t>Not built — by design</t>
        </is>
      </c>
      <c r="F331" s="12" t="inlineStr">
        <is>
          <t>Owner chose no page background (Q-18)</t>
        </is>
      </c>
      <c r="G331" s="12" t="inlineStr"/>
      <c r="H331" s="12" t="inlineStr"/>
      <c r="I331" s="17" t="n"/>
      <c r="J331" s="17" t="n"/>
    </row>
    <row r="332">
      <c r="A332" s="12" t="inlineStr">
        <is>
          <t>Quote templates</t>
        </is>
      </c>
      <c r="B332" s="12" t="inlineStr">
        <is>
          <t>TP-03</t>
        </is>
      </c>
      <c r="C332" s="12" t="inlineStr">
        <is>
          <t>Page, header, footer, cover</t>
        </is>
      </c>
      <c r="D332" s="14" t="inlineStr">
        <is>
          <t>Watermark</t>
        </is>
      </c>
      <c r="E332" s="14" t="inlineStr">
        <is>
          <t>Built in parity round 2</t>
        </is>
      </c>
      <c r="F332" s="12" t="inlineStr"/>
      <c r="G332" s="12" t="inlineStr"/>
      <c r="H332" s="28" t="inlineStr">
        <is>
          <t>Team check</t>
        </is>
      </c>
      <c r="I332" s="17" t="n"/>
      <c r="J332" s="17" t="n"/>
    </row>
    <row r="333">
      <c r="A333" s="12" t="inlineStr">
        <is>
          <t>Quote templates</t>
        </is>
      </c>
      <c r="B333" s="12" t="inlineStr">
        <is>
          <t>TP-04</t>
        </is>
      </c>
      <c r="C333" s="12" t="inlineStr">
        <is>
          <t>Page, header, footer, cover</t>
        </is>
      </c>
      <c r="D333" s="14" t="inlineStr">
        <is>
          <t>Header layouts</t>
        </is>
      </c>
      <c r="E333" s="14" t="inlineStr">
        <is>
          <t>Built</t>
        </is>
      </c>
      <c r="F333" s="12" t="inlineStr"/>
      <c r="G333" s="12" t="inlineStr"/>
      <c r="H333" s="28" t="inlineStr">
        <is>
          <t>Team check</t>
        </is>
      </c>
      <c r="I333" s="17" t="n"/>
      <c r="J333" s="17" t="n"/>
    </row>
    <row r="334">
      <c r="A334" s="12" t="inlineStr">
        <is>
          <t>Quote templates</t>
        </is>
      </c>
      <c r="B334" s="12" t="inlineStr">
        <is>
          <t>TP-05</t>
        </is>
      </c>
      <c r="C334" s="12" t="inlineStr">
        <is>
          <t>Page, header, footer, cover</t>
        </is>
      </c>
      <c r="D334" s="14" t="inlineStr">
        <is>
          <t>Where the customer's details sit</t>
        </is>
      </c>
      <c r="E334" s="14" t="inlineStr">
        <is>
          <t>Built</t>
        </is>
      </c>
      <c r="F334" s="12" t="inlineStr"/>
      <c r="G334" s="12" t="inlineStr"/>
      <c r="H334" s="28" t="inlineStr">
        <is>
          <t>Team check</t>
        </is>
      </c>
      <c r="I334" s="17" t="n"/>
      <c r="J334" s="17" t="n"/>
    </row>
    <row r="335">
      <c r="A335" s="12" t="inlineStr">
        <is>
          <t>Quote templates</t>
        </is>
      </c>
      <c r="B335" s="12" t="inlineStr">
        <is>
          <t>TP-06</t>
        </is>
      </c>
      <c r="C335" s="12" t="inlineStr">
        <is>
          <t>Page, header, footer, cover</t>
        </is>
      </c>
      <c r="D335" s="14" t="inlineStr">
        <is>
          <t>Where the registration line sits</t>
        </is>
      </c>
      <c r="E335" s="14" t="inlineStr">
        <is>
          <t>Built</t>
        </is>
      </c>
      <c r="F335" s="12" t="inlineStr"/>
      <c r="G335" s="12" t="inlineStr"/>
      <c r="H335" s="28" t="inlineStr">
        <is>
          <t>Team check</t>
        </is>
      </c>
      <c r="I335" s="17" t="n"/>
      <c r="J335" s="17" t="n"/>
    </row>
    <row r="336">
      <c r="A336" s="12" t="inlineStr">
        <is>
          <t>Quote templates</t>
        </is>
      </c>
      <c r="B336" s="12" t="inlineStr">
        <is>
          <t>TP-07</t>
        </is>
      </c>
      <c r="C336" s="12" t="inlineStr">
        <is>
          <t>Page, header, footer, cover</t>
        </is>
      </c>
      <c r="D336" s="14" t="inlineStr">
        <is>
          <t>Logo size and style</t>
        </is>
      </c>
      <c r="E336" s="14" t="inlineStr">
        <is>
          <t>Built</t>
        </is>
      </c>
      <c r="F336" s="12" t="inlineStr"/>
      <c r="G336" s="12" t="inlineStr"/>
      <c r="H336" s="28" t="inlineStr">
        <is>
          <t>Team check</t>
        </is>
      </c>
      <c r="I336" s="17" t="n"/>
      <c r="J336" s="17" t="n"/>
    </row>
    <row r="337">
      <c r="A337" s="12" t="inlineStr">
        <is>
          <t>Quote templates</t>
        </is>
      </c>
      <c r="B337" s="12" t="inlineStr">
        <is>
          <t>TP-08</t>
        </is>
      </c>
      <c r="C337" s="12" t="inlineStr">
        <is>
          <t>Page, header, footer, cover</t>
        </is>
      </c>
      <c r="D337" s="14" t="inlineStr">
        <is>
          <t>Divider colour, weight and style</t>
        </is>
      </c>
      <c r="E337" s="14" t="inlineStr">
        <is>
          <t>Built</t>
        </is>
      </c>
      <c r="F337" s="12" t="inlineStr">
        <is>
          <t>Dashed and dotted lines not built (owner: don't build)</t>
        </is>
      </c>
      <c r="G337" s="12" t="inlineStr"/>
      <c r="H337" s="28" t="inlineStr">
        <is>
          <t>Team check</t>
        </is>
      </c>
      <c r="I337" s="17" t="n"/>
      <c r="J337" s="17" t="n"/>
    </row>
    <row r="338">
      <c r="A338" s="12" t="inlineStr">
        <is>
          <t>Quote templates</t>
        </is>
      </c>
      <c r="B338" s="12" t="inlineStr">
        <is>
          <t>TP-09</t>
        </is>
      </c>
      <c r="C338" s="12" t="inlineStr">
        <is>
          <t>Page, header, footer, cover</t>
        </is>
      </c>
      <c r="D338" s="14" t="inlineStr">
        <is>
          <t>Subtitle band (VERSION 3, DRAFT)</t>
        </is>
      </c>
      <c r="E338" s="14" t="inlineStr">
        <is>
          <t>Built</t>
        </is>
      </c>
      <c r="F338" s="12" t="inlineStr"/>
      <c r="G338" s="12" t="inlineStr"/>
      <c r="H338" s="28" t="inlineStr">
        <is>
          <t>Team check</t>
        </is>
      </c>
      <c r="I338" s="17" t="n"/>
      <c r="J338" s="17" t="n"/>
    </row>
    <row r="339">
      <c r="A339" s="12" t="inlineStr">
        <is>
          <t>Quote templates</t>
        </is>
      </c>
      <c r="B339" s="12" t="inlineStr">
        <is>
          <t>TP-10</t>
        </is>
      </c>
      <c r="C339" s="12" t="inlineStr">
        <is>
          <t>Page, header, footer, cover</t>
        </is>
      </c>
      <c r="D339" s="14" t="inlineStr">
        <is>
          <t>Editable field labels</t>
        </is>
      </c>
      <c r="E339" s="14" t="inlineStr">
        <is>
          <t>Built</t>
        </is>
      </c>
      <c r="F339" s="12" t="inlineStr"/>
      <c r="G339" s="12" t="inlineStr"/>
      <c r="H339" s="28" t="inlineStr">
        <is>
          <t>Team check</t>
        </is>
      </c>
      <c r="I339" s="17" t="n"/>
      <c r="J339" s="17" t="n"/>
    </row>
    <row r="340">
      <c r="A340" s="12" t="inlineStr">
        <is>
          <t>Quote templates</t>
        </is>
      </c>
      <c r="B340" s="12" t="inlineStr">
        <is>
          <t>TP-11</t>
        </is>
      </c>
      <c r="C340" s="12" t="inlineStr">
        <is>
          <t>Page, header, footer, cover</t>
        </is>
      </c>
      <c r="D340" s="14" t="inlineStr">
        <is>
          <t>Header and footer text slots</t>
        </is>
      </c>
      <c r="E340" s="14" t="inlineStr">
        <is>
          <t>Built</t>
        </is>
      </c>
      <c r="F340" s="12" t="inlineStr"/>
      <c r="G340" s="12" t="inlineStr"/>
      <c r="H340" s="28" t="inlineStr">
        <is>
          <t>Team check</t>
        </is>
      </c>
      <c r="I340" s="17" t="n"/>
      <c r="J340" s="17" t="n"/>
    </row>
    <row r="341">
      <c r="A341" s="12" t="inlineStr">
        <is>
          <t>Quote templates</t>
        </is>
      </c>
      <c r="B341" s="12" t="inlineStr">
        <is>
          <t>TP-12</t>
        </is>
      </c>
      <c r="C341" s="12" t="inlineStr">
        <is>
          <t>Page, header, footer, cover</t>
        </is>
      </c>
      <c r="D341" s="14" t="inlineStr">
        <is>
          <t>Header and footer heights</t>
        </is>
      </c>
      <c r="E341" s="14" t="inlineStr">
        <is>
          <t>Built</t>
        </is>
      </c>
      <c r="F341" s="12" t="inlineStr"/>
      <c r="G341" s="12" t="inlineStr"/>
      <c r="H341" s="28" t="inlineStr">
        <is>
          <t>Team check</t>
        </is>
      </c>
      <c r="I341" s="17" t="n"/>
      <c r="J341" s="17" t="n"/>
    </row>
    <row r="342">
      <c r="A342" s="12" t="inlineStr">
        <is>
          <t>Quote templates</t>
        </is>
      </c>
      <c r="B342" s="12" t="inlineStr">
        <is>
          <t>TP-13</t>
        </is>
      </c>
      <c r="C342" s="12" t="inlineStr">
        <is>
          <t>Page, header, footer, cover</t>
        </is>
      </c>
      <c r="D342" s="14" t="inlineStr">
        <is>
          <t>Header repeats: first page, every page, never</t>
        </is>
      </c>
      <c r="E342" s="14" t="inlineStr">
        <is>
          <t>Built</t>
        </is>
      </c>
      <c r="F342" s="12" t="inlineStr"/>
      <c r="G342" s="12" t="inlineStr"/>
      <c r="H342" s="28" t="inlineStr">
        <is>
          <t>Team check</t>
        </is>
      </c>
      <c r="I342" s="17" t="n"/>
      <c r="J342" s="17" t="n"/>
    </row>
    <row r="343">
      <c r="A343" s="12" t="inlineStr">
        <is>
          <t>Quote templates</t>
        </is>
      </c>
      <c r="B343" s="12" t="inlineStr">
        <is>
          <t>TP-14</t>
        </is>
      </c>
      <c r="C343" s="12" t="inlineStr">
        <is>
          <t>Page, header, footer, cover</t>
        </is>
      </c>
      <c r="D343" s="14" t="inlineStr">
        <is>
          <t>Page numbers</t>
        </is>
      </c>
      <c r="E343" s="14" t="inlineStr">
        <is>
          <t>Built</t>
        </is>
      </c>
      <c r="F343" s="12" t="inlineStr"/>
      <c r="G343" s="12" t="inlineStr"/>
      <c r="H343" s="28" t="inlineStr">
        <is>
          <t>Team check</t>
        </is>
      </c>
      <c r="I343" s="17" t="n"/>
      <c r="J343" s="17" t="n"/>
    </row>
    <row r="344">
      <c r="A344" s="12" t="inlineStr">
        <is>
          <t>Quote templates</t>
        </is>
      </c>
      <c r="B344" s="12" t="inlineStr">
        <is>
          <t>TP-15</t>
        </is>
      </c>
      <c r="C344" s="12" t="inlineStr">
        <is>
          <t>Page, header, footer, cover</t>
        </is>
      </c>
      <c r="D344" s="14" t="inlineStr">
        <is>
          <t>Cover page</t>
        </is>
      </c>
      <c r="E344" s="14" t="inlineStr">
        <is>
          <t>Built</t>
        </is>
      </c>
      <c r="F344" s="12" t="inlineStr"/>
      <c r="G344" s="12" t="inlineStr"/>
      <c r="H344" s="28" t="inlineStr">
        <is>
          <t>Team check</t>
        </is>
      </c>
      <c r="I344" s="17" t="n"/>
      <c r="J344" s="17" t="n"/>
    </row>
    <row r="345">
      <c r="A345" s="12" t="inlineStr">
        <is>
          <t>Quote templates</t>
        </is>
      </c>
      <c r="B345" s="12" t="inlineStr">
        <is>
          <t>TP-16</t>
        </is>
      </c>
      <c r="C345" s="12" t="inlineStr">
        <is>
          <t>Page, header, footer, cover</t>
        </is>
      </c>
      <c r="D345" s="14" t="inlineStr">
        <is>
          <t>Social links with icons</t>
        </is>
      </c>
      <c r="E345" s="14" t="inlineStr">
        <is>
          <t>Built in parity round 2</t>
        </is>
      </c>
      <c r="F345" s="12" t="inlineStr"/>
      <c r="G345" s="12" t="inlineStr">
        <is>
          <t>2.02</t>
        </is>
      </c>
      <c r="H345" s="12" t="inlineStr"/>
      <c r="I345" s="17" t="n"/>
      <c r="J345" s="17" t="n"/>
    </row>
    <row r="346">
      <c r="A346" s="12" t="inlineStr">
        <is>
          <t>Quote templates</t>
        </is>
      </c>
      <c r="B346" s="12" t="inlineStr">
        <is>
          <t>TP-17</t>
        </is>
      </c>
      <c r="C346" s="12" t="inlineStr">
        <is>
          <t>Page, header, footer, cover</t>
        </is>
      </c>
      <c r="D346" s="14" t="inlineStr">
        <is>
          <t>Footer styles</t>
        </is>
      </c>
      <c r="E346" s="14" t="inlineStr">
        <is>
          <t>Built</t>
        </is>
      </c>
      <c r="F346" s="12" t="inlineStr"/>
      <c r="G346" s="12" t="inlineStr"/>
      <c r="H346" s="28" t="inlineStr">
        <is>
          <t>Team check</t>
        </is>
      </c>
      <c r="I346" s="17" t="n"/>
      <c r="J346" s="17" t="n"/>
    </row>
    <row r="347">
      <c r="A347" s="12" t="inlineStr">
        <is>
          <t>Quote templates</t>
        </is>
      </c>
      <c r="B347" s="12" t="inlineStr">
        <is>
          <t>TP-18</t>
        </is>
      </c>
      <c r="C347" s="12" t="inlineStr">
        <is>
          <t>Page, header, footer, cover</t>
        </is>
      </c>
      <c r="D347" s="14" t="inlineStr">
        <is>
          <t>Table of contents</t>
        </is>
      </c>
      <c r="E347" s="14" t="inlineStr">
        <is>
          <t>Dead</t>
        </is>
      </c>
      <c r="F347" s="12" t="inlineStr">
        <is>
          <t>No control in 1.0; not ported</t>
        </is>
      </c>
      <c r="G347" s="12" t="inlineStr"/>
      <c r="H347" s="12" t="inlineStr"/>
      <c r="I347" s="17" t="n"/>
      <c r="J347" s="17" t="n"/>
    </row>
    <row r="348">
      <c r="A348" s="12" t="inlineStr">
        <is>
          <t>Quote templates</t>
        </is>
      </c>
      <c r="B348" s="12" t="inlineStr">
        <is>
          <t>TP-19</t>
        </is>
      </c>
      <c r="C348" s="12" t="inlineStr">
        <is>
          <t>Page, header, footer, cover</t>
        </is>
      </c>
      <c r="D348" s="14" t="inlineStr">
        <is>
          <t>Document title (QUOTATION)</t>
        </is>
      </c>
      <c r="E348" s="14" t="inlineStr">
        <is>
          <t>Built</t>
        </is>
      </c>
      <c r="F348" s="12" t="inlineStr"/>
      <c r="G348" s="12" t="inlineStr"/>
      <c r="H348" s="28" t="inlineStr">
        <is>
          <t>Team check</t>
        </is>
      </c>
      <c r="I348" s="17" t="n"/>
      <c r="J348" s="17" t="n"/>
    </row>
    <row r="349">
      <c r="A349" s="12" t="inlineStr">
        <is>
          <t>Quote templates</t>
        </is>
      </c>
      <c r="B349" s="12" t="inlineStr">
        <is>
          <t>TP-20</t>
        </is>
      </c>
      <c r="C349" s="12" t="inlineStr">
        <is>
          <t>Page, header, footer, cover</t>
        </is>
      </c>
      <c r="D349" s="14" t="inlineStr">
        <is>
          <t>Date formats</t>
        </is>
      </c>
      <c r="E349" s="14" t="inlineStr">
        <is>
          <t>Built</t>
        </is>
      </c>
      <c r="F349" s="12" t="inlineStr"/>
      <c r="G349" s="12" t="inlineStr"/>
      <c r="H349" s="28" t="inlineStr">
        <is>
          <t>Team check</t>
        </is>
      </c>
      <c r="I349" s="17" t="n"/>
      <c r="J349" s="17" t="n"/>
    </row>
    <row r="350">
      <c r="A350" s="12" t="inlineStr">
        <is>
          <t>Quote templates</t>
        </is>
      </c>
      <c r="B350" s="12" t="inlineStr">
        <is>
          <t>TI-01</t>
        </is>
      </c>
      <c r="C350" s="12" t="inlineStr">
        <is>
          <t>Items table</t>
        </is>
      </c>
      <c r="D350" s="14" t="inlineStr">
        <is>
          <t>Table columns: on / off, words, widths</t>
        </is>
      </c>
      <c r="E350" s="14" t="inlineStr">
        <is>
          <t>Built in parity round 1</t>
        </is>
      </c>
      <c r="F350" s="12" t="inlineStr"/>
      <c r="G350" s="12" t="inlineStr"/>
      <c r="H350" s="28" t="inlineStr">
        <is>
          <t>Team check</t>
        </is>
      </c>
      <c r="I350" s="17" t="n"/>
      <c r="J350" s="17" t="n"/>
    </row>
    <row r="351">
      <c r="A351" s="12" t="inlineStr">
        <is>
          <t>Quote templates</t>
        </is>
      </c>
      <c r="B351" s="12" t="inlineStr">
        <is>
          <t>TI-02</t>
        </is>
      </c>
      <c r="C351" s="12" t="inlineStr">
        <is>
          <t>Items table</t>
        </is>
      </c>
      <c r="D351" s="14" t="inlineStr">
        <is>
          <t>Column heading row style</t>
        </is>
      </c>
      <c r="E351" s="14" t="inlineStr">
        <is>
          <t>Built</t>
        </is>
      </c>
      <c r="F351" s="12" t="inlineStr"/>
      <c r="G351" s="12" t="inlineStr"/>
      <c r="H351" s="28" t="inlineStr">
        <is>
          <t>Team check</t>
        </is>
      </c>
      <c r="I351" s="17" t="n"/>
      <c r="J351" s="17" t="n"/>
    </row>
    <row r="352">
      <c r="A352" s="12" t="inlineStr">
        <is>
          <t>Quote templates</t>
        </is>
      </c>
      <c r="B352" s="12" t="inlineStr">
        <is>
          <t>TI-03</t>
        </is>
      </c>
      <c r="C352" s="12" t="inlineStr">
        <is>
          <t>Items table</t>
        </is>
      </c>
      <c r="D352" s="14" t="inlineStr">
        <is>
          <t>Section heading styles</t>
        </is>
      </c>
      <c r="E352" s="14" t="inlineStr">
        <is>
          <t>Built</t>
        </is>
      </c>
      <c r="F352" s="12" t="inlineStr"/>
      <c r="G352" s="12" t="inlineStr"/>
      <c r="H352" s="28" t="inlineStr">
        <is>
          <t>Team check</t>
        </is>
      </c>
      <c r="I352" s="17" t="n"/>
      <c r="J352" s="17" t="n"/>
    </row>
    <row r="353">
      <c r="A353" s="12" t="inlineStr">
        <is>
          <t>Quote templates</t>
        </is>
      </c>
      <c r="B353" s="12" t="inlineStr">
        <is>
          <t>TI-04</t>
        </is>
      </c>
      <c r="C353" s="12" t="inlineStr">
        <is>
          <t>Items table</t>
        </is>
      </c>
      <c r="D353" s="14" t="inlineStr">
        <is>
          <t>Sub-section style</t>
        </is>
      </c>
      <c r="E353" s="14" t="inlineStr">
        <is>
          <t>Built</t>
        </is>
      </c>
      <c r="F353" s="12" t="inlineStr"/>
      <c r="G353" s="12" t="inlineStr"/>
      <c r="H353" s="28" t="inlineStr">
        <is>
          <t>Team check</t>
        </is>
      </c>
      <c r="I353" s="17" t="n"/>
      <c r="J353" s="17" t="n"/>
    </row>
    <row r="354">
      <c r="A354" s="12" t="inlineStr">
        <is>
          <t>Quote templates</t>
        </is>
      </c>
      <c r="B354" s="12" t="inlineStr">
        <is>
          <t>TI-05</t>
        </is>
      </c>
      <c r="C354" s="12" t="inlineStr">
        <is>
          <t>Items table</t>
        </is>
      </c>
      <c r="D354" s="14" t="inlineStr">
        <is>
          <t>Item numbering modes, incl. A1, A2</t>
        </is>
      </c>
      <c r="E354" s="14" t="inlineStr">
        <is>
          <t>Built in parity round 1</t>
        </is>
      </c>
      <c r="F354" s="12" t="inlineStr"/>
      <c r="G354" s="12" t="inlineStr">
        <is>
          <t>3.29</t>
        </is>
      </c>
      <c r="H354" s="12" t="inlineStr"/>
      <c r="I354" s="17" t="n"/>
      <c r="J354" s="17" t="n"/>
    </row>
    <row r="355">
      <c r="A355" s="12" t="inlineStr">
        <is>
          <t>Quote templates</t>
        </is>
      </c>
      <c r="B355" s="12" t="inlineStr">
        <is>
          <t>TI-06</t>
        </is>
      </c>
      <c r="C355" s="12" t="inlineStr">
        <is>
          <t>Items table</t>
        </is>
      </c>
      <c r="D355" s="14" t="inlineStr">
        <is>
          <t>Where sub-totals print</t>
        </is>
      </c>
      <c r="E355" s="14" t="inlineStr">
        <is>
          <t>Built in parity round 1</t>
        </is>
      </c>
      <c r="F355" s="12" t="inlineStr"/>
      <c r="G355" s="12" t="inlineStr"/>
      <c r="H355" s="28" t="inlineStr">
        <is>
          <t>Team check</t>
        </is>
      </c>
      <c r="I355" s="17" t="n"/>
      <c r="J355" s="17" t="n"/>
    </row>
    <row r="356">
      <c r="A356" s="12" t="inlineStr">
        <is>
          <t>Quote templates</t>
        </is>
      </c>
      <c r="B356" s="12" t="inlineStr">
        <is>
          <t>TI-07</t>
        </is>
      </c>
      <c r="C356" s="12" t="inlineStr">
        <is>
          <t>Items table</t>
        </is>
      </c>
      <c r="D356" s="14" t="inlineStr">
        <is>
          <t>A description under each section</t>
        </is>
      </c>
      <c r="E356" s="14" t="inlineStr">
        <is>
          <t>Built in parity round 1</t>
        </is>
      </c>
      <c r="F356" s="12" t="inlineStr"/>
      <c r="G356" s="12" t="inlineStr">
        <is>
          <t>2.26</t>
        </is>
      </c>
      <c r="H356" s="12" t="inlineStr"/>
      <c r="I356" s="17" t="n"/>
      <c r="J356" s="17" t="n"/>
    </row>
    <row r="357">
      <c r="A357" s="12" t="inlineStr">
        <is>
          <t>Quote templates</t>
        </is>
      </c>
      <c r="B357" s="12" t="inlineStr">
        <is>
          <t>TI-08</t>
        </is>
      </c>
      <c r="C357" s="12" t="inlineStr">
        <is>
          <t>Items table</t>
        </is>
      </c>
      <c r="D357" s="14" t="inlineStr">
        <is>
          <t>Formatted descriptions</t>
        </is>
      </c>
      <c r="E357" s="14" t="inlineStr">
        <is>
          <t>Built</t>
        </is>
      </c>
      <c r="F357" s="12" t="inlineStr"/>
      <c r="G357" s="12" t="inlineStr"/>
      <c r="H357" s="28" t="inlineStr">
        <is>
          <t>Team check</t>
        </is>
      </c>
      <c r="I357" s="17" t="n"/>
      <c r="J357" s="17" t="n"/>
    </row>
    <row r="358">
      <c r="A358" s="12" t="inlineStr">
        <is>
          <t>Quote templates</t>
        </is>
      </c>
      <c r="B358" s="12" t="inlineStr">
        <is>
          <t>TI-09</t>
        </is>
      </c>
      <c r="C358" s="12" t="inlineStr">
        <is>
          <t>Items table</t>
        </is>
      </c>
      <c r="D358" s="14" t="inlineStr">
        <is>
          <t>Row highlight colour</t>
        </is>
      </c>
      <c r="E358" s="14" t="inlineStr">
        <is>
          <t>Built</t>
        </is>
      </c>
      <c r="F358" s="12" t="inlineStr"/>
      <c r="G358" s="12" t="inlineStr"/>
      <c r="H358" s="28" t="inlineStr">
        <is>
          <t>Team check</t>
        </is>
      </c>
      <c r="I358" s="17" t="n"/>
      <c r="J358" s="17" t="n"/>
    </row>
    <row r="359">
      <c r="A359" s="12" t="inlineStr">
        <is>
          <t>Quote templates</t>
        </is>
      </c>
      <c r="B359" s="12" t="inlineStr">
        <is>
          <t>TI-10</t>
        </is>
      </c>
      <c r="C359" s="12" t="inlineStr">
        <is>
          <t>Items table</t>
        </is>
      </c>
      <c r="D359" s="14" t="inlineStr">
        <is>
          <t>A word instead of an amount (TBC, FOC)</t>
        </is>
      </c>
      <c r="E359" s="14" t="inlineStr">
        <is>
          <t>Built</t>
        </is>
      </c>
      <c r="F359" s="12" t="inlineStr"/>
      <c r="G359" s="12" t="inlineStr"/>
      <c r="H359" s="28" t="inlineStr">
        <is>
          <t>Team check</t>
        </is>
      </c>
      <c r="I359" s="17" t="n"/>
      <c r="J359" s="17" t="n"/>
    </row>
    <row r="360">
      <c r="A360" s="12" t="inlineStr">
        <is>
          <t>Quote templates</t>
        </is>
      </c>
      <c r="B360" s="12" t="inlineStr">
        <is>
          <t>TI-11</t>
        </is>
      </c>
      <c r="C360" s="12" t="inlineStr">
        <is>
          <t>Items table</t>
        </is>
      </c>
      <c r="D360" s="14" t="inlineStr">
        <is>
          <t>Optional lines</t>
        </is>
      </c>
      <c r="E360" s="14" t="inlineStr">
        <is>
          <t>Built in parity round 1</t>
        </is>
      </c>
      <c r="F360" s="12" t="inlineStr"/>
      <c r="G360" s="12" t="inlineStr"/>
      <c r="H360" s="28" t="inlineStr">
        <is>
          <t>Team check</t>
        </is>
      </c>
      <c r="I360" s="17" t="n"/>
      <c r="J360" s="17" t="n"/>
    </row>
    <row r="361">
      <c r="A361" s="12" t="inlineStr">
        <is>
          <t>Quote templates</t>
        </is>
      </c>
      <c r="B361" s="12" t="inlineStr">
        <is>
          <t>TI-12</t>
        </is>
      </c>
      <c r="C361" s="12" t="inlineStr">
        <is>
          <t>Items table</t>
        </is>
      </c>
      <c r="D361" s="14" t="inlineStr">
        <is>
          <t>Currency symbol and its own column</t>
        </is>
      </c>
      <c r="E361" s="14" t="inlineStr">
        <is>
          <t>Built</t>
        </is>
      </c>
      <c r="F361" s="12" t="inlineStr">
        <is>
          <t>S$, $ or figures only; no separate currency column (Q-22)</t>
        </is>
      </c>
      <c r="G361" s="12" t="inlineStr"/>
      <c r="H361" s="28" t="inlineStr">
        <is>
          <t>Team check</t>
        </is>
      </c>
      <c r="I361" s="17" t="n"/>
      <c r="J361" s="17" t="n"/>
    </row>
    <row r="362">
      <c r="A362" s="12" t="inlineStr">
        <is>
          <t>Quote templates</t>
        </is>
      </c>
      <c r="B362" s="12" t="inlineStr">
        <is>
          <t>TI-13</t>
        </is>
      </c>
      <c r="C362" s="12" t="inlineStr">
        <is>
          <t>Items table</t>
        </is>
      </c>
      <c r="D362" s="14" t="inlineStr">
        <is>
          <t>Hide Qty when the unit already carries it</t>
        </is>
      </c>
      <c r="E362" s="14" t="inlineStr">
        <is>
          <t>Not built — by design</t>
        </is>
      </c>
      <c r="F362" s="12" t="inlineStr">
        <is>
          <t>Not proposed; the merged Qty · Unit column covers it</t>
        </is>
      </c>
      <c r="G362" s="12" t="inlineStr"/>
      <c r="H362" s="12" t="inlineStr"/>
      <c r="I362" s="17" t="n"/>
      <c r="J362" s="17" t="n"/>
    </row>
    <row r="363">
      <c r="A363" s="12" t="inlineStr">
        <is>
          <t>Quote templates</t>
        </is>
      </c>
      <c r="B363" s="12" t="inlineStr">
        <is>
          <t>TI-14</t>
        </is>
      </c>
      <c r="C363" s="12" t="inlineStr">
        <is>
          <t>Items table</t>
        </is>
      </c>
      <c r="D363" s="14" t="inlineStr">
        <is>
          <t>Striped rows, grid lines, row spacing</t>
        </is>
      </c>
      <c r="E363" s="14" t="inlineStr">
        <is>
          <t>Built</t>
        </is>
      </c>
      <c r="F363" s="12" t="inlineStr"/>
      <c r="G363" s="12" t="inlineStr"/>
      <c r="H363" s="28" t="inlineStr">
        <is>
          <t>Team check</t>
        </is>
      </c>
      <c r="I363" s="17" t="n"/>
      <c r="J363" s="17" t="n"/>
    </row>
    <row r="364">
      <c r="A364" s="12" t="inlineStr">
        <is>
          <t>Quote templates</t>
        </is>
      </c>
      <c r="B364" s="12" t="inlineStr">
        <is>
          <t>TI-15</t>
        </is>
      </c>
      <c r="C364" s="12" t="inlineStr">
        <is>
          <t>Items table</t>
        </is>
      </c>
      <c r="D364" s="14" t="inlineStr">
        <is>
          <t>Continuation marker</t>
        </is>
      </c>
      <c r="E364" s="14" t="inlineStr">
        <is>
          <t>Dead</t>
        </is>
      </c>
      <c r="F364" s="12" t="inlineStr">
        <is>
          <t>No control in 1.0; not ported</t>
        </is>
      </c>
      <c r="G364" s="12" t="inlineStr"/>
      <c r="H364" s="12" t="inlineStr"/>
      <c r="I364" s="17" t="n"/>
      <c r="J364" s="17" t="n"/>
    </row>
    <row r="365">
      <c r="A365" s="12" t="inlineStr">
        <is>
          <t>Quote templates</t>
        </is>
      </c>
      <c r="B365" s="12" t="inlineStr">
        <is>
          <t>TI-16</t>
        </is>
      </c>
      <c r="C365" s="12" t="inlineStr">
        <is>
          <t>Items table</t>
        </is>
      </c>
      <c r="D365" s="14" t="inlineStr">
        <is>
          <t>Item photos</t>
        </is>
      </c>
      <c r="E365" s="14" t="inlineStr">
        <is>
          <t>Built</t>
        </is>
      </c>
      <c r="F365" s="12" t="inlineStr"/>
      <c r="G365" s="12" t="inlineStr"/>
      <c r="H365" s="28" t="inlineStr">
        <is>
          <t>Team check</t>
        </is>
      </c>
      <c r="I365" s="17" t="n"/>
      <c r="J365" s="17" t="n"/>
    </row>
    <row r="366">
      <c r="A366" s="12" t="inlineStr">
        <is>
          <t>Quote templates</t>
        </is>
      </c>
      <c r="B366" s="12" t="inlineStr">
        <is>
          <t>TI-17</t>
        </is>
      </c>
      <c r="C366" s="12" t="inlineStr">
        <is>
          <t>Items table</t>
        </is>
      </c>
      <c r="D366" s="14" t="inlineStr">
        <is>
          <t>Lump sum, page totals, fill the page</t>
        </is>
      </c>
      <c r="E366" s="14" t="inlineStr">
        <is>
          <t>2.0 only</t>
        </is>
      </c>
      <c r="F366" s="12" t="inlineStr">
        <is>
          <t>New print options in 2.0</t>
        </is>
      </c>
      <c r="G366" s="12" t="inlineStr"/>
      <c r="H366" s="28" t="inlineStr">
        <is>
          <t>Team check</t>
        </is>
      </c>
      <c r="I366" s="17" t="n"/>
      <c r="J366" s="17" t="n"/>
    </row>
    <row r="367">
      <c r="A367" s="12" t="inlineStr">
        <is>
          <t>Quote templates</t>
        </is>
      </c>
      <c r="B367" s="12" t="inlineStr">
        <is>
          <t>TI-18</t>
        </is>
      </c>
      <c r="C367" s="12" t="inlineStr">
        <is>
          <t>Items table</t>
        </is>
      </c>
      <c r="D367" s="14" t="inlineStr">
        <is>
          <t>Variation order lanes</t>
        </is>
      </c>
      <c r="E367" s="14" t="inlineStr">
        <is>
          <t>Later</t>
        </is>
      </c>
      <c r="F367" s="12" t="inlineStr">
        <is>
          <t>Belongs to Finance</t>
        </is>
      </c>
      <c r="G367" s="12" t="inlineStr"/>
      <c r="H367" s="12" t="inlineStr"/>
      <c r="I367" s="17" t="n"/>
      <c r="J367" s="17" t="n"/>
    </row>
    <row r="368">
      <c r="A368" s="12" t="inlineStr">
        <is>
          <t>Quote templates</t>
        </is>
      </c>
      <c r="B368" s="12" t="inlineStr">
        <is>
          <t>TI-19</t>
        </is>
      </c>
      <c r="C368" s="12" t="inlineStr">
        <is>
          <t>Items table</t>
        </is>
      </c>
      <c r="D368" s="14" t="inlineStr">
        <is>
          <t>Blocks between table sections</t>
        </is>
      </c>
      <c r="E368" s="14" t="inlineStr">
        <is>
          <t>Not built — by design</t>
        </is>
      </c>
      <c r="F368" s="12" t="inlineStr">
        <is>
          <t>Section notes cover it (Q-23)</t>
        </is>
      </c>
      <c r="G368" s="12" t="inlineStr"/>
      <c r="H368" s="12" t="inlineStr"/>
      <c r="I368" s="17" t="n"/>
      <c r="J368" s="17" t="n"/>
    </row>
    <row r="369">
      <c r="A369" s="12" t="inlineStr">
        <is>
          <t>Quote templates</t>
        </is>
      </c>
      <c r="B369" s="12" t="inlineStr">
        <is>
          <t>TB-01</t>
        </is>
      </c>
      <c r="C369" s="12" t="inlineStr">
        <is>
          <t>Totals, payments, bank, signature</t>
        </is>
      </c>
      <c r="D369" s="14" t="inlineStr">
        <is>
          <t>Totals shapes and GST label</t>
        </is>
      </c>
      <c r="E369" s="14" t="inlineStr">
        <is>
          <t>Built</t>
        </is>
      </c>
      <c r="F369" s="12" t="inlineStr"/>
      <c r="G369" s="12" t="inlineStr"/>
      <c r="H369" s="28" t="inlineStr">
        <is>
          <t>Team check</t>
        </is>
      </c>
      <c r="I369" s="17" t="n"/>
      <c r="J369" s="17" t="n"/>
    </row>
    <row r="370">
      <c r="A370" s="12" t="inlineStr">
        <is>
          <t>Quote templates</t>
        </is>
      </c>
      <c r="B370" s="12" t="inlineStr">
        <is>
          <t>TB-02</t>
        </is>
      </c>
      <c r="C370" s="12" t="inlineStr">
        <is>
          <t>Totals, payments, bank, signature</t>
        </is>
      </c>
      <c r="D370" s="14" t="inlineStr">
        <is>
          <t>Round Off row</t>
        </is>
      </c>
      <c r="E370" s="14" t="inlineStr">
        <is>
          <t>Not built — by design</t>
        </is>
      </c>
      <c r="F370" s="12" t="inlineStr">
        <is>
          <t>Never wired in 1.0; 2.0 rounds each price (Q-12)</t>
        </is>
      </c>
      <c r="G370" s="12" t="inlineStr"/>
      <c r="H370" s="12" t="inlineStr"/>
      <c r="I370" s="17" t="n"/>
      <c r="J370" s="17" t="n"/>
    </row>
    <row r="371">
      <c r="A371" s="12" t="inlineStr">
        <is>
          <t>Quote templates</t>
        </is>
      </c>
      <c r="B371" s="12" t="inlineStr">
        <is>
          <t>TB-03</t>
        </is>
      </c>
      <c r="C371" s="12" t="inlineStr">
        <is>
          <t>Totals, payments, bank, signature</t>
        </is>
      </c>
      <c r="D371" s="14" t="inlineStr">
        <is>
          <t>GST-inclusive printing</t>
        </is>
      </c>
      <c r="E371" s="14" t="inlineStr">
        <is>
          <t>Later</t>
        </is>
      </c>
      <c r="F371" s="12" t="inlineStr">
        <is>
          <t>Held — ask the studios first (Q-13)</t>
        </is>
      </c>
      <c r="G371" s="12" t="inlineStr"/>
      <c r="H371" s="12" t="inlineStr"/>
      <c r="I371" s="17" t="n"/>
      <c r="J371" s="17" t="n"/>
    </row>
    <row r="372">
      <c r="A372" s="12" t="inlineStr">
        <is>
          <t>Quote templates</t>
        </is>
      </c>
      <c r="B372" s="12" t="inlineStr">
        <is>
          <t>TB-04</t>
        </is>
      </c>
      <c r="C372" s="12" t="inlineStr">
        <is>
          <t>Totals, payments, bank, signature</t>
        </is>
      </c>
      <c r="D372" s="14" t="inlineStr">
        <is>
          <t>Payment milestones: layout, ordinals, footnote</t>
        </is>
      </c>
      <c r="E372" s="14" t="inlineStr">
        <is>
          <t>Built in parity round 2</t>
        </is>
      </c>
      <c r="F372" s="12" t="inlineStr">
        <is>
          <t>Fixed-amount rows held for Finance</t>
        </is>
      </c>
      <c r="G372" s="12" t="inlineStr"/>
      <c r="H372" s="28" t="inlineStr">
        <is>
          <t>Team check</t>
        </is>
      </c>
      <c r="I372" s="17" t="n"/>
      <c r="J372" s="17" t="n"/>
    </row>
    <row r="373">
      <c r="A373" s="12" t="inlineStr">
        <is>
          <t>Quote templates</t>
        </is>
      </c>
      <c r="B373" s="12" t="inlineStr">
        <is>
          <t>TB-05</t>
        </is>
      </c>
      <c r="C373" s="12" t="inlineStr">
        <is>
          <t>Totals, payments, bank, signature</t>
        </is>
      </c>
      <c r="D373" s="14" t="inlineStr">
        <is>
          <t>Payment terms as free text</t>
        </is>
      </c>
      <c r="E373" s="14" t="inlineStr">
        <is>
          <t>Built</t>
        </is>
      </c>
      <c r="F373" s="12" t="inlineStr"/>
      <c r="G373" s="12" t="inlineStr"/>
      <c r="H373" s="28" t="inlineStr">
        <is>
          <t>Team check</t>
        </is>
      </c>
      <c r="I373" s="17" t="n"/>
      <c r="J373" s="17" t="n"/>
    </row>
    <row r="374">
      <c r="A374" s="12" t="inlineStr">
        <is>
          <t>Quote templates</t>
        </is>
      </c>
      <c r="B374" s="12" t="inlineStr">
        <is>
          <t>TB-06</t>
        </is>
      </c>
      <c r="C374" s="12" t="inlineStr">
        <is>
          <t>Totals, payments, bank, signature</t>
        </is>
      </c>
      <c r="D374" s="14" t="inlineStr">
        <is>
          <t>Bank details: labels, SWIFT, extra rows</t>
        </is>
      </c>
      <c r="E374" s="14" t="inlineStr">
        <is>
          <t>Built in parity round 2</t>
        </is>
      </c>
      <c r="F374" s="12" t="inlineStr">
        <is>
          <t>No extra rows (Q-24)</t>
        </is>
      </c>
      <c r="G374" s="12" t="inlineStr">
        <is>
          <t>2.03</t>
        </is>
      </c>
      <c r="H374" s="12" t="inlineStr"/>
      <c r="I374" s="17" t="n"/>
      <c r="J374" s="17" t="n"/>
    </row>
    <row r="375">
      <c r="A375" s="12" t="inlineStr">
        <is>
          <t>Quote templates</t>
        </is>
      </c>
      <c r="B375" s="12" t="inlineStr">
        <is>
          <t>TB-07</t>
        </is>
      </c>
      <c r="C375" s="12" t="inlineStr">
        <is>
          <t>Totals, payments, bank, signature</t>
        </is>
      </c>
      <c r="D375" s="14" t="inlineStr">
        <is>
          <t>PayNow QR</t>
        </is>
      </c>
      <c r="E375" s="14" t="inlineStr">
        <is>
          <t>Built</t>
        </is>
      </c>
      <c r="F375" s="12" t="inlineStr"/>
      <c r="G375" s="12" t="inlineStr"/>
      <c r="H375" s="28" t="inlineStr">
        <is>
          <t>Team check</t>
        </is>
      </c>
      <c r="I375" s="17" t="n"/>
      <c r="J375" s="17" t="n"/>
    </row>
    <row r="376">
      <c r="A376" s="12" t="inlineStr">
        <is>
          <t>Quote templates</t>
        </is>
      </c>
      <c r="B376" s="12" t="inlineStr">
        <is>
          <t>TB-08</t>
        </is>
      </c>
      <c r="C376" s="12" t="inlineStr">
        <is>
          <t>Totals, payments, bank, signature</t>
        </is>
      </c>
      <c r="D376" s="14" t="inlineStr">
        <is>
          <t>GST registration line</t>
        </is>
      </c>
      <c r="E376" s="14" t="inlineStr">
        <is>
          <t>Built</t>
        </is>
      </c>
      <c r="F376" s="12" t="inlineStr">
        <is>
          <t>Singapore wording only; other regions are the platform's</t>
        </is>
      </c>
      <c r="G376" s="12" t="inlineStr"/>
      <c r="H376" s="28" t="inlineStr">
        <is>
          <t>Team check</t>
        </is>
      </c>
      <c r="I376" s="17" t="n"/>
      <c r="J376" s="17" t="n"/>
    </row>
    <row r="377">
      <c r="A377" s="12" t="inlineStr">
        <is>
          <t>Quote templates</t>
        </is>
      </c>
      <c r="B377" s="12" t="inlineStr">
        <is>
          <t>TB-09</t>
        </is>
      </c>
      <c r="C377" s="12" t="inlineStr">
        <is>
          <t>Totals, payments, bank, signature</t>
        </is>
      </c>
      <c r="D377" s="14" t="inlineStr">
        <is>
          <t>Signature block</t>
        </is>
      </c>
      <c r="E377" s="14" t="inlineStr">
        <is>
          <t>Built</t>
        </is>
      </c>
      <c r="F377" s="12" t="inlineStr"/>
      <c r="G377" s="12" t="inlineStr">
        <is>
          <t>6.23</t>
        </is>
      </c>
      <c r="H377" s="12" t="inlineStr"/>
      <c r="I377" s="17" t="n"/>
      <c r="J377" s="17" t="n"/>
    </row>
    <row r="378">
      <c r="A378" s="12" t="inlineStr">
        <is>
          <t>Quote templates</t>
        </is>
      </c>
      <c r="B378" s="12" t="inlineStr">
        <is>
          <t>TB-10</t>
        </is>
      </c>
      <c r="C378" s="12" t="inlineStr">
        <is>
          <t>Totals, payments, bank, signature</t>
        </is>
      </c>
      <c r="D378" s="14" t="inlineStr">
        <is>
          <t>Intro, remarks and closing text</t>
        </is>
      </c>
      <c r="E378" s="14" t="inlineStr">
        <is>
          <t>Built</t>
        </is>
      </c>
      <c r="F378" s="12" t="inlineStr"/>
      <c r="G378" s="12" t="inlineStr">
        <is>
          <t>3.24</t>
        </is>
      </c>
      <c r="H378" s="12" t="inlineStr"/>
      <c r="I378" s="17" t="n"/>
      <c r="J378" s="17" t="n"/>
    </row>
    <row r="379">
      <c r="A379" s="12" t="inlineStr">
        <is>
          <t>Quote templates</t>
        </is>
      </c>
      <c r="B379" s="12" t="inlineStr">
        <is>
          <t>TB-11</t>
        </is>
      </c>
      <c r="C379" s="12" t="inlineStr">
        <is>
          <t>Totals, payments, bank, signature</t>
        </is>
      </c>
      <c r="D379" s="14" t="inlineStr">
        <is>
          <t>Subject line</t>
        </is>
      </c>
      <c r="E379" s="14" t="inlineStr">
        <is>
          <t>Built</t>
        </is>
      </c>
      <c r="F379" s="12" t="inlineStr"/>
      <c r="G379" s="12" t="inlineStr"/>
      <c r="H379" s="28" t="inlineStr">
        <is>
          <t>Team check</t>
        </is>
      </c>
      <c r="I379" s="17" t="n"/>
      <c r="J379" s="17" t="n"/>
    </row>
    <row r="380">
      <c r="A380" s="12" t="inlineStr">
        <is>
          <t>Quote templates</t>
        </is>
      </c>
      <c r="B380" s="12" t="inlineStr">
        <is>
          <t>TB-12</t>
        </is>
      </c>
      <c r="C380" s="12" t="inlineStr">
        <is>
          <t>Totals, payments, bank, signature</t>
        </is>
      </c>
      <c r="D380" s="14" t="inlineStr">
        <is>
          <t>Terms &amp; Conditions section</t>
        </is>
      </c>
      <c r="E380" s="14" t="inlineStr">
        <is>
          <t>Built</t>
        </is>
      </c>
      <c r="F380" s="12" t="inlineStr"/>
      <c r="G380" s="12" t="inlineStr">
        <is>
          <t>6.20</t>
        </is>
      </c>
      <c r="H380" s="12" t="inlineStr"/>
      <c r="I380" s="17" t="n"/>
      <c r="J380" s="17" t="n"/>
    </row>
    <row r="381">
      <c r="A381" s="12" t="inlineStr">
        <is>
          <t>Quote templates</t>
        </is>
      </c>
      <c r="B381" s="12" t="inlineStr">
        <is>
          <t>TB-13</t>
        </is>
      </c>
      <c r="C381" s="12" t="inlineStr">
        <is>
          <t>Totals, payments, bank, signature</t>
        </is>
      </c>
      <c r="D381" s="14" t="inlineStr">
        <is>
          <t>Picture, spacer, divider, page break</t>
        </is>
      </c>
      <c r="E381" s="14" t="inlineStr">
        <is>
          <t>Built</t>
        </is>
      </c>
      <c r="F381" s="12" t="inlineStr"/>
      <c r="G381" s="12" t="inlineStr"/>
      <c r="H381" s="28" t="inlineStr">
        <is>
          <t>Team check</t>
        </is>
      </c>
      <c r="I381" s="17" t="n"/>
      <c r="J381" s="17" t="n"/>
    </row>
    <row r="382">
      <c r="A382" s="12" t="inlineStr">
        <is>
          <t>Quote templates</t>
        </is>
      </c>
      <c r="B382" s="12" t="inlineStr">
        <is>
          <t>TB-14</t>
        </is>
      </c>
      <c r="C382" s="12" t="inlineStr">
        <is>
          <t>Totals, payments, bank, signature</t>
        </is>
      </c>
      <c r="D382" s="14" t="inlineStr">
        <is>
          <t>Keep together on one page</t>
        </is>
      </c>
      <c r="E382" s="14" t="inlineStr">
        <is>
          <t>Built</t>
        </is>
      </c>
      <c r="F382" s="12" t="inlineStr"/>
      <c r="G382" s="12" t="inlineStr"/>
      <c r="H382" s="28" t="inlineStr">
        <is>
          <t>Team check</t>
        </is>
      </c>
      <c r="I382" s="17" t="n"/>
      <c r="J382" s="17" t="n"/>
    </row>
    <row r="383">
      <c r="A383" s="12" t="inlineStr">
        <is>
          <t>Quote templates</t>
        </is>
      </c>
      <c r="B383" s="12" t="inlineStr">
        <is>
          <t>TB-15</t>
        </is>
      </c>
      <c r="C383" s="12" t="inlineStr">
        <is>
          <t>Totals, payments, bank, signature</t>
        </is>
      </c>
      <c r="D383" s="14" t="inlineStr">
        <is>
          <t>Accreditation strip</t>
        </is>
      </c>
      <c r="E383" s="14" t="inlineStr">
        <is>
          <t>Built</t>
        </is>
      </c>
      <c r="F383" s="12" t="inlineStr">
        <is>
          <t>The studio's own badges; no catalogue or caption (Q-15)</t>
        </is>
      </c>
      <c r="G383" s="12" t="inlineStr"/>
      <c r="H383" s="28" t="inlineStr">
        <is>
          <t>Team check</t>
        </is>
      </c>
      <c r="I383" s="17" t="n"/>
      <c r="J383" s="17" t="n"/>
    </row>
    <row r="384">
      <c r="A384" s="12" t="inlineStr">
        <is>
          <t>Quote templates</t>
        </is>
      </c>
      <c r="B384" s="12" t="inlineStr">
        <is>
          <t>TB-16</t>
        </is>
      </c>
      <c r="C384" s="12" t="inlineStr">
        <is>
          <t>Totals, payments, bank, signature</t>
        </is>
      </c>
      <c r="D384" s="14" t="inlineStr">
        <is>
          <t>Old section presets</t>
        </is>
      </c>
      <c r="E384" s="14" t="inlineStr">
        <is>
          <t>Built</t>
        </is>
      </c>
      <c r="F384" s="12" t="inlineStr"/>
      <c r="G384" s="12" t="inlineStr"/>
      <c r="H384" s="28" t="inlineStr">
        <is>
          <t>Team check</t>
        </is>
      </c>
      <c r="I384" s="17" t="n"/>
      <c r="J384" s="17" t="n"/>
    </row>
    <row r="385">
      <c r="A385" s="12" t="inlineStr">
        <is>
          <t>Quote templates</t>
        </is>
      </c>
      <c r="B385" s="12" t="inlineStr">
        <is>
          <t>TB-17</t>
        </is>
      </c>
      <c r="C385" s="12" t="inlineStr">
        <is>
          <t>Totals, payments, bank, signature</t>
        </is>
      </c>
      <c r="D385" s="14" t="inlineStr">
        <is>
          <t>Callouts and two-column text</t>
        </is>
      </c>
      <c r="E385" s="14" t="inlineStr">
        <is>
          <t>Built</t>
        </is>
      </c>
      <c r="F385" s="12" t="inlineStr">
        <is>
          <t>A tinted or outlined text box; no callout kinds</t>
        </is>
      </c>
      <c r="G385" s="12" t="inlineStr"/>
      <c r="H385" s="28" t="inlineStr">
        <is>
          <t>Team check</t>
        </is>
      </c>
      <c r="I385" s="17" t="n"/>
      <c r="J385" s="17" t="n"/>
    </row>
    <row r="386">
      <c r="A386" s="12" t="inlineStr">
        <is>
          <t>Quote templates</t>
        </is>
      </c>
      <c r="B386" s="12" t="inlineStr">
        <is>
          <t>TT-01</t>
        </is>
      </c>
      <c r="C386" s="12" t="inlineStr">
        <is>
          <t>Theme and brand</t>
        </is>
      </c>
      <c r="D386" s="14" t="inlineStr">
        <is>
          <t>Theme presets applied to a template</t>
        </is>
      </c>
      <c r="E386" s="14" t="inlineStr">
        <is>
          <t>Built</t>
        </is>
      </c>
      <c r="F386" s="12" t="inlineStr">
        <is>
          <t>Four ready-made designs start a new template (Q-03)</t>
        </is>
      </c>
      <c r="G386" s="12" t="inlineStr">
        <is>
          <t>3.23</t>
        </is>
      </c>
      <c r="H386" s="12" t="inlineStr"/>
      <c r="I386" s="17" t="n"/>
      <c r="J386" s="17" t="n"/>
    </row>
    <row r="387">
      <c r="A387" s="12" t="inlineStr">
        <is>
          <t>Quote templates</t>
        </is>
      </c>
      <c r="B387" s="12" t="inlineStr">
        <is>
          <t>TT-02</t>
        </is>
      </c>
      <c r="C387" s="12" t="inlineStr">
        <is>
          <t>Theme and brand</t>
        </is>
      </c>
      <c r="D387" s="14" t="inlineStr">
        <is>
          <t>Save as my preset</t>
        </is>
      </c>
      <c r="E387" s="14" t="inlineStr">
        <is>
          <t>Not built — by design</t>
        </is>
      </c>
      <c r="F387" s="12" t="inlineStr">
        <is>
          <t>Duplicate a template or Save as template instead (Q-03)</t>
        </is>
      </c>
      <c r="G387" s="12" t="inlineStr"/>
      <c r="H387" s="12" t="inlineStr"/>
      <c r="I387" s="17" t="n"/>
      <c r="J387" s="17" t="n"/>
    </row>
    <row r="388">
      <c r="A388" s="12" t="inlineStr">
        <is>
          <t>Quote templates</t>
        </is>
      </c>
      <c r="B388" s="12" t="inlineStr">
        <is>
          <t>TT-03</t>
        </is>
      </c>
      <c r="C388" s="12" t="inlineStr">
        <is>
          <t>Theme and brand</t>
        </is>
      </c>
      <c r="D388" s="14" t="inlineStr">
        <is>
          <t>Fonts, sizes and line spacing</t>
        </is>
      </c>
      <c r="E388" s="14" t="inlineStr">
        <is>
          <t>Built</t>
        </is>
      </c>
      <c r="F388" s="12" t="inlineStr">
        <is>
          <t>Outfit held (Q-14)</t>
        </is>
      </c>
      <c r="G388" s="12" t="inlineStr"/>
      <c r="H388" s="28" t="inlineStr">
        <is>
          <t>Team check</t>
        </is>
      </c>
      <c r="I388" s="17" t="n"/>
      <c r="J388" s="17" t="n"/>
    </row>
    <row r="389">
      <c r="A389" s="12" t="inlineStr">
        <is>
          <t>Quote templates</t>
        </is>
      </c>
      <c r="B389" s="12" t="inlineStr">
        <is>
          <t>TT-04</t>
        </is>
      </c>
      <c r="C389" s="12" t="inlineStr">
        <is>
          <t>Theme and brand</t>
        </is>
      </c>
      <c r="D389" s="14" t="inlineStr">
        <is>
          <t>Named colours</t>
        </is>
      </c>
      <c r="E389" s="14" t="inlineStr">
        <is>
          <t>Built</t>
        </is>
      </c>
      <c r="F389" s="12" t="inlineStr"/>
      <c r="G389" s="12" t="inlineStr">
        <is>
          <t>3.28</t>
        </is>
      </c>
      <c r="H389" s="12" t="inlineStr"/>
      <c r="I389" s="17" t="n"/>
      <c r="J389" s="17" t="n"/>
    </row>
    <row r="390">
      <c r="A390" s="12" t="inlineStr">
        <is>
          <t>Quote templates</t>
        </is>
      </c>
      <c r="B390" s="12" t="inlineStr">
        <is>
          <t>TT-05</t>
        </is>
      </c>
      <c r="C390" s="12" t="inlineStr">
        <is>
          <t>Theme and brand</t>
        </is>
      </c>
      <c r="D390" s="14" t="inlineStr">
        <is>
          <t>Bold, italic, uppercase, underline</t>
        </is>
      </c>
      <c r="E390" s="14" t="inlineStr">
        <is>
          <t>Built</t>
        </is>
      </c>
      <c r="F390" s="12" t="inlineStr"/>
      <c r="G390" s="12" t="inlineStr"/>
      <c r="H390" s="28" t="inlineStr">
        <is>
          <t>Team check</t>
        </is>
      </c>
      <c r="I390" s="17" t="n"/>
      <c r="J390" s="17" t="n"/>
    </row>
    <row r="391">
      <c r="A391" s="12" t="inlineStr">
        <is>
          <t>Quote templates</t>
        </is>
      </c>
      <c r="B391" s="12" t="inlineStr">
        <is>
          <t>TT-06</t>
        </is>
      </c>
      <c r="C391" s="12" t="inlineStr">
        <is>
          <t>Theme and brand</t>
        </is>
      </c>
      <c r="D391" s="14" t="inlineStr">
        <is>
          <t>Spacing: gaps, padding, indent</t>
        </is>
      </c>
      <c r="E391" s="14" t="inlineStr">
        <is>
          <t>Built</t>
        </is>
      </c>
      <c r="F391" s="12" t="inlineStr">
        <is>
          <t>Space before / after, density, margins; no numeric padding or indent</t>
        </is>
      </c>
      <c r="G391" s="12" t="inlineStr"/>
      <c r="H391" s="28" t="inlineStr">
        <is>
          <t>Team check</t>
        </is>
      </c>
      <c r="I391" s="17" t="n"/>
      <c r="J391" s="17" t="n"/>
    </row>
    <row r="392">
      <c r="A392" s="12" t="inlineStr">
        <is>
          <t>Quote templates</t>
        </is>
      </c>
      <c r="B392" s="12" t="inlineStr">
        <is>
          <t>TT-07</t>
        </is>
      </c>
      <c r="C392" s="12" t="inlineStr">
        <is>
          <t>Theme and brand</t>
        </is>
      </c>
      <c r="D392" s="14" t="inlineStr">
        <is>
          <t>Studio branding and Prepared by</t>
        </is>
      </c>
      <c r="E392" s="14" t="inlineStr">
        <is>
          <t>Built in parity round 2</t>
        </is>
      </c>
      <c r="F392" s="12" t="inlineStr"/>
      <c r="G392" s="12" t="inlineStr">
        <is>
          <t>2.01, 2.05, 2.31</t>
        </is>
      </c>
      <c r="H392" s="12" t="inlineStr"/>
      <c r="I392" s="17" t="n"/>
      <c r="J392" s="17" t="n"/>
    </row>
    <row r="393">
      <c r="A393" s="12" t="inlineStr">
        <is>
          <t>Quote templates</t>
        </is>
      </c>
      <c r="B393" s="12" t="inlineStr">
        <is>
          <t>TT-08</t>
        </is>
      </c>
      <c r="C393" s="12" t="inlineStr">
        <is>
          <t>Theme and brand</t>
        </is>
      </c>
      <c r="D393" s="14" t="inlineStr">
        <is>
          <t>Legal entity logo, UEN, address, bank</t>
        </is>
      </c>
      <c r="E393" s="14" t="inlineStr">
        <is>
          <t>Built in parity round 2</t>
        </is>
      </c>
      <c r="F393" s="12" t="inlineStr"/>
      <c r="G393" s="12" t="inlineStr">
        <is>
          <t>2.04</t>
        </is>
      </c>
      <c r="H393" s="12" t="inlineStr"/>
      <c r="I393" s="17" t="n"/>
      <c r="J393" s="17" t="n"/>
    </row>
    <row r="394">
      <c r="A394" s="12" t="inlineStr">
        <is>
          <t>Quote templates</t>
        </is>
      </c>
      <c r="B394" s="12" t="inlineStr">
        <is>
          <t>TT-09</t>
        </is>
      </c>
      <c r="C394" s="12" t="inlineStr">
        <is>
          <t>Theme and brand</t>
        </is>
      </c>
      <c r="D394" s="14" t="inlineStr">
        <is>
          <t>A template's own colours and fonts</t>
        </is>
      </c>
      <c r="E394" s="14" t="inlineStr">
        <is>
          <t>2.0 only</t>
        </is>
      </c>
      <c r="F394" s="12" t="inlineStr">
        <is>
          <t>New: a template can differ from the brand kit</t>
        </is>
      </c>
      <c r="G394" s="12" t="inlineStr">
        <is>
          <t>3.28</t>
        </is>
      </c>
      <c r="H394" s="12" t="inlineStr"/>
      <c r="I394" s="17" t="n"/>
      <c r="J394" s="17" t="n"/>
    </row>
    <row r="395">
      <c r="A395" s="12" t="inlineStr">
        <is>
          <t>Quote templates</t>
        </is>
      </c>
      <c r="B395" s="12" t="inlineStr">
        <is>
          <t>TT-10</t>
        </is>
      </c>
      <c r="C395" s="12" t="inlineStr">
        <is>
          <t>Theme and brand</t>
        </is>
      </c>
      <c r="D395" s="14" t="inlineStr">
        <is>
          <t>Uploading fonts</t>
        </is>
      </c>
      <c r="E395" s="14" t="inlineStr">
        <is>
          <t>Later</t>
        </is>
      </c>
      <c r="F395" s="12" t="inlineStr">
        <is>
          <t>Held with the fonts question (Q-14)</t>
        </is>
      </c>
      <c r="G395" s="12" t="inlineStr"/>
      <c r="H395" s="12" t="inlineStr"/>
      <c r="I395" s="17" t="n"/>
      <c r="J395" s="17" t="n"/>
    </row>
    <row r="396">
      <c r="A396" s="12" t="inlineStr">
        <is>
          <t>Quote templates</t>
        </is>
      </c>
      <c r="B396" s="12" t="inlineStr">
        <is>
          <t>TF-01</t>
        </is>
      </c>
      <c r="C396" s="12" t="inlineStr">
        <is>
          <t>Fields</t>
        </is>
      </c>
      <c r="D396" s="14" t="inlineStr">
        <is>
          <t>Token set in template texts</t>
        </is>
      </c>
      <c r="E396" s="14" t="inlineStr">
        <is>
          <t>Built</t>
        </is>
      </c>
      <c r="F396" s="12" t="inlineStr"/>
      <c r="G396" s="12" t="inlineStr">
        <is>
          <t>3.25</t>
        </is>
      </c>
      <c r="H396" s="12" t="inlineStr"/>
      <c r="I396" s="17" t="n"/>
      <c r="J396" s="17" t="n"/>
    </row>
    <row r="397">
      <c r="A397" s="12" t="inlineStr">
        <is>
          <t>Quote templates</t>
        </is>
      </c>
      <c r="B397" s="12" t="inlineStr">
        <is>
          <t>TF-02</t>
        </is>
      </c>
      <c r="C397" s="12" t="inlineStr">
        <is>
          <t>Fields</t>
        </is>
      </c>
      <c r="D397" s="14" t="inlineStr">
        <is>
          <t>Social media tokens</t>
        </is>
      </c>
      <c r="E397" s="14" t="inlineStr">
        <is>
          <t>Built in parity round 2</t>
        </is>
      </c>
      <c r="F397" s="12" t="inlineStr"/>
      <c r="G397" s="12" t="inlineStr">
        <is>
          <t>2.02</t>
        </is>
      </c>
      <c r="H397" s="12" t="inlineStr"/>
      <c r="I397" s="17" t="n"/>
      <c r="J397" s="17" t="n"/>
    </row>
    <row r="398">
      <c r="A398" s="12" t="inlineStr">
        <is>
          <t>Quote templates</t>
        </is>
      </c>
      <c r="B398" s="12" t="inlineStr">
        <is>
          <t>TF-03</t>
        </is>
      </c>
      <c r="C398" s="12" t="inlineStr">
        <is>
          <t>Fields</t>
        </is>
      </c>
      <c r="D398" s="14" t="inlineStr">
        <is>
          <t>{logo} token</t>
        </is>
      </c>
      <c r="E398" s="14" t="inlineStr">
        <is>
          <t>Built</t>
        </is>
      </c>
      <c r="F398" s="12" t="inlineStr"/>
      <c r="G398" s="12" t="inlineStr"/>
      <c r="H398" s="28" t="inlineStr">
        <is>
          <t>Team check</t>
        </is>
      </c>
      <c r="I398" s="17" t="n"/>
      <c r="J398" s="17" t="n"/>
    </row>
    <row r="399">
      <c r="A399" s="12" t="inlineStr">
        <is>
          <t>Quote templates</t>
        </is>
      </c>
      <c r="B399" s="12" t="inlineStr">
        <is>
          <t>TF-04</t>
        </is>
      </c>
      <c r="C399" s="12" t="inlineStr">
        <is>
          <t>Fields</t>
        </is>
      </c>
      <c r="D399" s="14" t="inlineStr">
        <is>
          <t>{section_letter} in sub-totals</t>
        </is>
      </c>
      <c r="E399" s="14" t="inlineStr">
        <is>
          <t>Built</t>
        </is>
      </c>
      <c r="F399" s="12" t="inlineStr"/>
      <c r="G399" s="12" t="inlineStr"/>
      <c r="H399" s="28" t="inlineStr">
        <is>
          <t>Team check</t>
        </is>
      </c>
      <c r="I399" s="17" t="n"/>
      <c r="J399" s="17" t="n"/>
    </row>
    <row r="400">
      <c r="A400" s="12" t="inlineStr">
        <is>
          <t>Quote templates</t>
        </is>
      </c>
      <c r="B400" s="12" t="inlineStr">
        <is>
          <t>TF-05</t>
        </is>
      </c>
      <c r="C400" s="12" t="inlineStr">
        <is>
          <t>Fields</t>
        </is>
      </c>
      <c r="D400" s="14" t="inlineStr">
        <is>
          <t>{{tokens}} in T&amp;C and contract texts</t>
        </is>
      </c>
      <c r="E400" s="14" t="inlineStr">
        <is>
          <t>Built</t>
        </is>
      </c>
      <c r="F400" s="12" t="inlineStr"/>
      <c r="G400" s="12" t="inlineStr">
        <is>
          <t>3.19</t>
        </is>
      </c>
      <c r="H400" s="12" t="inlineStr"/>
      <c r="I400" s="17" t="n"/>
      <c r="J400" s="17" t="n"/>
    </row>
    <row r="401">
      <c r="A401" s="12" t="inlineStr">
        <is>
          <t>Quote templates</t>
        </is>
      </c>
      <c r="B401" s="12" t="inlineStr">
        <is>
          <t>TQ-01</t>
        </is>
      </c>
      <c r="C401" s="12" t="inlineStr">
        <is>
          <t>A quote and its template</t>
        </is>
      </c>
      <c r="D401" s="14" t="inlineStr">
        <is>
          <t>Default template on a new quote</t>
        </is>
      </c>
      <c r="E401" s="14" t="inlineStr">
        <is>
          <t>Built</t>
        </is>
      </c>
      <c r="F401" s="12" t="inlineStr"/>
      <c r="G401" s="12" t="inlineStr">
        <is>
          <t>6.01</t>
        </is>
      </c>
      <c r="H401" s="12" t="inlineStr"/>
      <c r="I401" s="17" t="n"/>
      <c r="J401" s="17" t="n"/>
    </row>
    <row r="402">
      <c r="A402" s="12" t="inlineStr">
        <is>
          <t>Quote templates</t>
        </is>
      </c>
      <c r="B402" s="12" t="inlineStr">
        <is>
          <t>TQ-02</t>
        </is>
      </c>
      <c r="C402" s="12" t="inlineStr">
        <is>
          <t>A quote and its template</t>
        </is>
      </c>
      <c r="D402" s="14" t="inlineStr">
        <is>
          <t>Apply another template to a quote</t>
        </is>
      </c>
      <c r="E402" s="14" t="inlineStr">
        <is>
          <t>Built</t>
        </is>
      </c>
      <c r="F402" s="12" t="inlineStr"/>
      <c r="G402" s="12" t="inlineStr"/>
      <c r="H402" s="28" t="inlineStr">
        <is>
          <t>Team check</t>
        </is>
      </c>
      <c r="I402" s="17" t="n"/>
      <c r="J402" s="17" t="n"/>
    </row>
    <row r="403">
      <c r="A403" s="12" t="inlineStr">
        <is>
          <t>Quote templates</t>
        </is>
      </c>
      <c r="B403" s="12" t="inlineStr">
        <is>
          <t>TQ-03</t>
        </is>
      </c>
      <c r="C403" s="12" t="inlineStr">
        <is>
          <t>A quote and its template</t>
        </is>
      </c>
      <c r="D403" s="14" t="inlineStr">
        <is>
          <t>Quote entry screen</t>
        </is>
      </c>
      <c r="E403" s="14" t="inlineStr">
        <is>
          <t>Built</t>
        </is>
      </c>
      <c r="F403" s="12" t="inlineStr"/>
      <c r="G403" s="12" t="inlineStr">
        <is>
          <t>6.01, 6.41</t>
        </is>
      </c>
      <c r="H403" s="12" t="inlineStr"/>
      <c r="I403" s="17" t="n"/>
      <c r="J403" s="17" t="n"/>
    </row>
    <row r="404">
      <c r="A404" s="12" t="inlineStr">
        <is>
          <t>Quote templates</t>
        </is>
      </c>
      <c r="B404" s="12" t="inlineStr">
        <is>
          <t>TQ-04</t>
        </is>
      </c>
      <c r="C404" s="12" t="inlineStr">
        <is>
          <t>A quote and its template</t>
        </is>
      </c>
      <c r="D404" s="14" t="inlineStr">
        <is>
          <t>Save a quote as a template</t>
        </is>
      </c>
      <c r="E404" s="14" t="inlineStr">
        <is>
          <t>Built</t>
        </is>
      </c>
      <c r="F404" s="12" t="inlineStr">
        <is>
          <t>Carries design and defaults, never priced lines (Q-06)</t>
        </is>
      </c>
      <c r="G404" s="12" t="inlineStr">
        <is>
          <t>6.26</t>
        </is>
      </c>
      <c r="H404" s="12" t="inlineStr"/>
      <c r="I404" s="17" t="n"/>
      <c r="J404" s="17" t="n"/>
    </row>
    <row r="405">
      <c r="A405" s="12" t="inlineStr">
        <is>
          <t>Quote templates</t>
        </is>
      </c>
      <c r="B405" s="12" t="inlineStr">
        <is>
          <t>TQ-05</t>
        </is>
      </c>
      <c r="C405" s="12" t="inlineStr">
        <is>
          <t>A quote and its template</t>
        </is>
      </c>
      <c r="D405" s="14" t="inlineStr">
        <is>
          <t>Per-quote layout edits</t>
        </is>
      </c>
      <c r="E405" s="14" t="inlineStr">
        <is>
          <t>Not built — by design</t>
        </is>
      </c>
      <c r="F405" s="12" t="inlineStr">
        <is>
          <t>Edit the template from the quote instead (Q-02)</t>
        </is>
      </c>
      <c r="G405" s="12" t="inlineStr"/>
      <c r="H405" s="12" t="inlineStr"/>
      <c r="I405" s="17" t="n"/>
      <c r="J405" s="17" t="n"/>
    </row>
    <row r="406">
      <c r="A406" s="12" t="inlineStr">
        <is>
          <t>Quote templates</t>
        </is>
      </c>
      <c r="B406" s="12" t="inlineStr">
        <is>
          <t>TQ-06</t>
        </is>
      </c>
      <c r="C406" s="12" t="inlineStr">
        <is>
          <t>A quote and its template</t>
        </is>
      </c>
      <c r="D406" s="14" t="inlineStr">
        <is>
          <t>Published changes reach new quotes</t>
        </is>
      </c>
      <c r="E406" s="14" t="inlineStr">
        <is>
          <t>Built</t>
        </is>
      </c>
      <c r="F406" s="12" t="inlineStr"/>
      <c r="G406" s="12" t="inlineStr">
        <is>
          <t>3.31</t>
        </is>
      </c>
      <c r="H406" s="12" t="inlineStr"/>
      <c r="I406" s="17" t="n"/>
      <c r="J406" s="17" t="n"/>
    </row>
    <row r="407">
      <c r="A407" s="12" t="inlineStr">
        <is>
          <t>Quote templates</t>
        </is>
      </c>
      <c r="B407" s="12" t="inlineStr">
        <is>
          <t>TQ-07</t>
        </is>
      </c>
      <c r="C407" s="12" t="inlineStr">
        <is>
          <t>A quote and its template</t>
        </is>
      </c>
      <c r="D407" s="14" t="inlineStr">
        <is>
          <t>Client view beside the quote</t>
        </is>
      </c>
      <c r="E407" s="14" t="inlineStr">
        <is>
          <t>2.0 only</t>
        </is>
      </c>
      <c r="F407" s="12" t="inlineStr">
        <is>
          <t>New live client view pane</t>
        </is>
      </c>
      <c r="G407" s="12" t="inlineStr">
        <is>
          <t>6.24</t>
        </is>
      </c>
      <c r="H407" s="12" t="inlineStr"/>
      <c r="I407" s="17" t="n"/>
      <c r="J407" s="17" t="n"/>
    </row>
    <row r="408">
      <c r="A408" s="12" t="inlineStr">
        <is>
          <t>Quote templates</t>
        </is>
      </c>
      <c r="B408" s="12" t="inlineStr">
        <is>
          <t>TR-01</t>
        </is>
      </c>
      <c r="C408" s="12" t="inlineStr">
        <is>
          <t>Renderer and what the client sees</t>
        </is>
      </c>
      <c r="D408" s="14" t="inlineStr">
        <is>
          <t>One renderer for screen and PDF</t>
        </is>
      </c>
      <c r="E408" s="14" t="inlineStr">
        <is>
          <t>Built</t>
        </is>
      </c>
      <c r="F408" s="12" t="inlineStr"/>
      <c r="G408" s="12" t="inlineStr"/>
      <c r="H408" s="28" t="inlineStr">
        <is>
          <t>Team check</t>
        </is>
      </c>
      <c r="I408" s="17" t="n"/>
      <c r="J408" s="17" t="n"/>
    </row>
    <row r="409">
      <c r="A409" s="12" t="inlineStr">
        <is>
          <t>Quote templates</t>
        </is>
      </c>
      <c r="B409" s="12" t="inlineStr">
        <is>
          <t>TR-02</t>
        </is>
      </c>
      <c r="C409" s="12" t="inlineStr">
        <is>
          <t>Renderer and what the client sees</t>
        </is>
      </c>
      <c r="D409" s="14" t="inlineStr">
        <is>
          <t>Stored PDF and change fingerprint</t>
        </is>
      </c>
      <c r="E409" s="14" t="inlineStr">
        <is>
          <t>Platform</t>
        </is>
      </c>
      <c r="F409" s="12" t="inlineStr">
        <is>
          <t>Print from Preview; file storage is the platform's</t>
        </is>
      </c>
      <c r="G409" s="12" t="inlineStr"/>
      <c r="H409" s="12" t="inlineStr"/>
      <c r="I409" s="17" t="n"/>
      <c r="J409" s="17" t="n"/>
    </row>
    <row r="410">
      <c r="A410" s="12" t="inlineStr">
        <is>
          <t>Quote templates</t>
        </is>
      </c>
      <c r="B410" s="12" t="inlineStr">
        <is>
          <t>TR-03</t>
        </is>
      </c>
      <c r="C410" s="12" t="inlineStr">
        <is>
          <t>Renderer and what the client sees</t>
        </is>
      </c>
      <c r="D410" s="14" t="inlineStr">
        <is>
          <t>Pagination rules</t>
        </is>
      </c>
      <c r="E410" s="14" t="inlineStr">
        <is>
          <t>Built</t>
        </is>
      </c>
      <c r="F410" s="12" t="inlineStr"/>
      <c r="G410" s="12" t="inlineStr"/>
      <c r="H410" s="28" t="inlineStr">
        <is>
          <t>Team check</t>
        </is>
      </c>
      <c r="I410" s="17" t="n"/>
      <c r="J410" s="17" t="n"/>
    </row>
    <row r="411">
      <c r="A411" s="12" t="inlineStr">
        <is>
          <t>Quote templates</t>
        </is>
      </c>
      <c r="B411" s="12" t="inlineStr">
        <is>
          <t>TR-04</t>
        </is>
      </c>
      <c r="C411" s="12" t="inlineStr">
        <is>
          <t>Renderer and what the client sees</t>
        </is>
      </c>
      <c r="D411" s="14" t="inlineStr">
        <is>
          <t>Cost and markup never print</t>
        </is>
      </c>
      <c r="E411" s="14" t="inlineStr">
        <is>
          <t>Built</t>
        </is>
      </c>
      <c r="F411" s="12" t="inlineStr"/>
      <c r="G411" s="12" t="inlineStr"/>
      <c r="H411" s="28" t="inlineStr">
        <is>
          <t>Team check</t>
        </is>
      </c>
      <c r="I411" s="17" t="n"/>
      <c r="J411" s="17" t="n"/>
    </row>
    <row r="412">
      <c r="A412" s="12" t="inlineStr">
        <is>
          <t>Quote templates</t>
        </is>
      </c>
      <c r="B412" s="12" t="inlineStr">
        <is>
          <t>TR-05</t>
        </is>
      </c>
      <c r="C412" s="12" t="inlineStr">
        <is>
          <t>Renderer and what the client sees</t>
        </is>
      </c>
      <c r="D412" s="14" t="inlineStr">
        <is>
          <t>Share settings</t>
        </is>
      </c>
      <c r="E412" s="14" t="inlineStr">
        <is>
          <t>Dead</t>
        </is>
      </c>
      <c r="F412" s="12" t="inlineStr">
        <is>
          <t>Saved but never read in 1.0 (Q-09)</t>
        </is>
      </c>
      <c r="G412" s="12" t="inlineStr"/>
      <c r="H412" s="12" t="inlineStr"/>
      <c r="I412" s="17" t="n"/>
      <c r="J412" s="17" t="n"/>
    </row>
    <row r="413">
      <c r="A413" s="12" t="inlineStr">
        <is>
          <t>Quote templates</t>
        </is>
      </c>
      <c r="B413" s="12" t="inlineStr">
        <is>
          <t>TR-06</t>
        </is>
      </c>
      <c r="C413" s="12" t="inlineStr">
        <is>
          <t>Renderer and what the client sees</t>
        </is>
      </c>
      <c r="D413" s="14" t="inlineStr">
        <is>
          <t>Readiness before sending</t>
        </is>
      </c>
      <c r="E413" s="14" t="inlineStr">
        <is>
          <t>2.0 only</t>
        </is>
      </c>
      <c r="F413" s="12" t="inlineStr">
        <is>
          <t>New readiness check</t>
        </is>
      </c>
      <c r="G413" s="12" t="inlineStr"/>
      <c r="H413" s="28" t="inlineStr">
        <is>
          <t>Team check</t>
        </is>
      </c>
      <c r="I413" s="17" t="n"/>
      <c r="J413" s="17" t="n"/>
    </row>
    <row r="414">
      <c r="A414" s="12" t="inlineStr">
        <is>
          <t>Quote templates</t>
        </is>
      </c>
      <c r="B414" s="12" t="inlineStr">
        <is>
          <t>TR-07</t>
        </is>
      </c>
      <c r="C414" s="12" t="inlineStr">
        <is>
          <t>Renderer and what the client sees</t>
        </is>
      </c>
      <c r="D414" s="14" t="inlineStr">
        <is>
          <t>A revision's changes printed</t>
        </is>
      </c>
      <c r="E414" s="14" t="inlineStr">
        <is>
          <t>2.0 only</t>
        </is>
      </c>
      <c r="F414" s="12" t="inlineStr">
        <is>
          <t>New in 2.0</t>
        </is>
      </c>
      <c r="G414" s="12" t="inlineStr"/>
      <c r="H414" s="28" t="inlineStr">
        <is>
          <t>Team check</t>
        </is>
      </c>
      <c r="I414" s="17" t="n"/>
      <c r="J414" s="17" t="n"/>
    </row>
    <row r="415">
      <c r="A415" s="12" t="inlineStr">
        <is>
          <t>Quote templates</t>
        </is>
      </c>
      <c r="B415" s="12" t="inlineStr">
        <is>
          <t>TR-08</t>
        </is>
      </c>
      <c r="C415" s="12" t="inlineStr">
        <is>
          <t>Renderer and what the client sees</t>
        </is>
      </c>
      <c r="D415" s="14" t="inlineStr">
        <is>
          <t>Amounts per line, section or total</t>
        </is>
      </c>
      <c r="E415" s="14" t="inlineStr">
        <is>
          <t>2.0 only</t>
        </is>
      </c>
      <c r="F415" s="12" t="inlineStr">
        <is>
          <t>New client-view choice</t>
        </is>
      </c>
      <c r="G415" s="12" t="inlineStr"/>
      <c r="H415" s="28" t="inlineStr">
        <is>
          <t>Team check</t>
        </is>
      </c>
      <c r="I415" s="17" t="n"/>
      <c r="J415" s="17" t="n"/>
    </row>
    <row r="416">
      <c r="A416" s="12" t="inlineStr">
        <is>
          <t>Quote templates</t>
        </is>
      </c>
      <c r="B416" s="12" t="inlineStr">
        <is>
          <t>TR-09</t>
        </is>
      </c>
      <c r="C416" s="12" t="inlineStr">
        <is>
          <t>Renderer and what the client sees</t>
        </is>
      </c>
      <c r="D416" s="14" t="inlineStr">
        <is>
          <t>Draft marking on the PDF</t>
        </is>
      </c>
      <c r="E416" s="14" t="inlineStr">
        <is>
          <t>Built</t>
        </is>
      </c>
      <c r="F416" s="12" t="inlineStr"/>
      <c r="G416" s="12" t="inlineStr"/>
      <c r="H416" s="28" t="inlineStr">
        <is>
          <t>Team check</t>
        </is>
      </c>
      <c r="I416" s="17" t="n"/>
      <c r="J416" s="17" t="n"/>
    </row>
    <row r="417">
      <c r="A417" s="12" t="inlineStr">
        <is>
          <t>Quote templates</t>
        </is>
      </c>
      <c r="B417" s="12" t="inlineStr">
        <is>
          <t>TR-10</t>
        </is>
      </c>
      <c r="C417" s="12" t="inlineStr">
        <is>
          <t>Renderer and what the client sees</t>
        </is>
      </c>
      <c r="D417" s="14" t="inlineStr">
        <is>
          <t>"Powered by OpenMaison" line</t>
        </is>
      </c>
      <c r="E417" s="14" t="inlineStr">
        <is>
          <t>2.0 only</t>
        </is>
      </c>
      <c r="F417" s="12" t="inlineStr">
        <is>
          <t>New; the client view can turn it off</t>
        </is>
      </c>
      <c r="G417" s="12" t="inlineStr"/>
      <c r="H417" s="28" t="inlineStr">
        <is>
          <t>Team check</t>
        </is>
      </c>
      <c r="I417" s="17" t="n"/>
      <c r="J417" s="17" t="n"/>
    </row>
    <row r="418">
      <c r="A418" s="12" t="inlineStr">
        <is>
          <t>Quote templates</t>
        </is>
      </c>
      <c r="B418" s="12" t="inlineStr">
        <is>
          <t>TC-01</t>
        </is>
      </c>
      <c r="C418" s="12" t="inlineStr">
        <is>
          <t>Content templates, rules, text</t>
        </is>
      </c>
      <c r="D418" s="14" t="inlineStr">
        <is>
          <t>Packages: bundles of lines</t>
        </is>
      </c>
      <c r="E418" s="14" t="inlineStr">
        <is>
          <t>Built in parity round 3</t>
        </is>
      </c>
      <c r="F418" s="12" t="inlineStr">
        <is>
          <t>Now My Sections, with property type and tags</t>
        </is>
      </c>
      <c r="G418" s="12" t="inlineStr">
        <is>
          <t>3.16</t>
        </is>
      </c>
      <c r="H418" s="12" t="inlineStr"/>
      <c r="I418" s="17" t="n"/>
      <c r="J418" s="17" t="n"/>
    </row>
    <row r="419">
      <c r="A419" s="12" t="inlineStr">
        <is>
          <t>Quote templates</t>
        </is>
      </c>
      <c r="B419" s="12" t="inlineStr">
        <is>
          <t>TC-02</t>
        </is>
      </c>
      <c r="C419" s="12" t="inlineStr">
        <is>
          <t>Content templates, rules, text</t>
        </is>
      </c>
      <c r="D419" s="14" t="inlineStr">
        <is>
          <t>Platform packages</t>
        </is>
      </c>
      <c r="E419" s="14" t="inlineStr">
        <is>
          <t>Platform</t>
        </is>
      </c>
      <c r="F419" s="12" t="inlineStr">
        <is>
          <t>Qanvast-authored content; not proposed</t>
        </is>
      </c>
      <c r="G419" s="12" t="inlineStr"/>
      <c r="H419" s="12" t="inlineStr"/>
      <c r="I419" s="17" t="n"/>
      <c r="J419" s="17" t="n"/>
    </row>
    <row r="420">
      <c r="A420" s="12" t="inlineStr">
        <is>
          <t>Quote templates</t>
        </is>
      </c>
      <c r="B420" s="12" t="inlineStr">
        <is>
          <t>TC-03</t>
        </is>
      </c>
      <c r="C420" s="12" t="inlineStr">
        <is>
          <t>Content templates, rules, text</t>
        </is>
      </c>
      <c r="D420" s="14" t="inlineStr">
        <is>
          <t>Quote Templates with priced items</t>
        </is>
      </c>
      <c r="E420" s="14" t="inlineStr">
        <is>
          <t>Not built — by design</t>
        </is>
      </c>
      <c r="F420" s="12" t="inlineStr">
        <is>
          <t>Starter sections and My Sections instead (Q-06)</t>
        </is>
      </c>
      <c r="G420" s="12" t="inlineStr"/>
      <c r="H420" s="12" t="inlineStr"/>
      <c r="I420" s="17" t="n"/>
      <c r="J420" s="17" t="n"/>
    </row>
    <row r="421">
      <c r="A421" s="12" t="inlineStr">
        <is>
          <t>Quote templates</t>
        </is>
      </c>
      <c r="B421" s="12" t="inlineStr">
        <is>
          <t>TC-04</t>
        </is>
      </c>
      <c r="C421" s="12" t="inlineStr">
        <is>
          <t>Content templates, rules, text</t>
        </is>
      </c>
      <c r="D421" s="14" t="inlineStr">
        <is>
          <t>Generation rules by project type</t>
        </is>
      </c>
      <c r="E421" s="14" t="inlineStr">
        <is>
          <t>Later</t>
        </is>
      </c>
      <c r="F421" s="12" t="inlineStr">
        <is>
          <t>Held — starter sections and My Sections cover it (Q-07)</t>
        </is>
      </c>
      <c r="G421" s="12" t="inlineStr"/>
      <c r="H421" s="12" t="inlineStr"/>
      <c r="I421" s="17" t="n"/>
      <c r="J421" s="17" t="n"/>
    </row>
    <row r="422">
      <c r="A422" s="12" t="inlineStr">
        <is>
          <t>Quote templates</t>
        </is>
      </c>
      <c r="B422" s="12" t="inlineStr">
        <is>
          <t>TC-05</t>
        </is>
      </c>
      <c r="C422" s="12" t="inlineStr">
        <is>
          <t>Content templates, rules, text</t>
        </is>
      </c>
      <c r="D422" s="14" t="inlineStr">
        <is>
          <t>Rich-text templates (T&amp;C, contract…)</t>
        </is>
      </c>
      <c r="E422" s="14" t="inlineStr">
        <is>
          <t>Built</t>
        </is>
      </c>
      <c r="F422" s="12" t="inlineStr"/>
      <c r="G422" s="12" t="inlineStr">
        <is>
          <t>3.19, 3.30</t>
        </is>
      </c>
      <c r="H422" s="12" t="inlineStr"/>
      <c r="I422" s="17" t="n"/>
      <c r="J422" s="17" t="n"/>
    </row>
    <row r="423">
      <c r="A423" s="12" t="inlineStr">
        <is>
          <t>Quote templates</t>
        </is>
      </c>
      <c r="B423" s="12" t="inlineStr">
        <is>
          <t>TC-06</t>
        </is>
      </c>
      <c r="C423" s="12" t="inlineStr">
        <is>
          <t>Content templates, rules, text</t>
        </is>
      </c>
      <c r="D423" s="14" t="inlineStr">
        <is>
          <t>Quote categories with descriptions</t>
        </is>
      </c>
      <c r="E423" s="14" t="inlineStr">
        <is>
          <t>Built in parity round 1</t>
        </is>
      </c>
      <c r="F423" s="12" t="inlineStr"/>
      <c r="G423" s="12" t="inlineStr">
        <is>
          <t>2.26</t>
        </is>
      </c>
      <c r="H423" s="12" t="inlineStr"/>
      <c r="I423" s="17" t="n"/>
      <c r="J423" s="17" t="n"/>
    </row>
    <row r="424">
      <c r="A424" s="12" t="inlineStr">
        <is>
          <t>Quote templates</t>
        </is>
      </c>
      <c r="B424" s="12" t="inlineStr">
        <is>
          <t>TC-07</t>
        </is>
      </c>
      <c r="C424" s="12" t="inlineStr">
        <is>
          <t>Content templates, rules, text</t>
        </is>
      </c>
      <c r="D424" s="14" t="inlineStr">
        <is>
          <t>Old quote templates and AI tier packages</t>
        </is>
      </c>
      <c r="E424" s="14" t="inlineStr">
        <is>
          <t>Dead</t>
        </is>
      </c>
      <c r="F424" s="12" t="inlineStr">
        <is>
          <t>No screen reached them in 1.0</t>
        </is>
      </c>
      <c r="G424" s="12" t="inlineStr"/>
      <c r="H424" s="12" t="inlineStr"/>
      <c r="I424" s="17" t="n"/>
      <c r="J424" s="17" t="n"/>
    </row>
    <row r="425">
      <c r="A425" s="12" t="inlineStr">
        <is>
          <t>Quote templates</t>
        </is>
      </c>
      <c r="B425" s="12" t="inlineStr">
        <is>
          <t>TC-08</t>
        </is>
      </c>
      <c r="C425" s="12" t="inlineStr">
        <is>
          <t>Content templates, rules, text</t>
        </is>
      </c>
      <c r="D425" s="14" t="inlineStr">
        <is>
          <t>Default payment schedule</t>
        </is>
      </c>
      <c r="E425" s="14" t="inlineStr">
        <is>
          <t>Built</t>
        </is>
      </c>
      <c r="F425" s="12" t="inlineStr"/>
      <c r="G425" s="12" t="inlineStr">
        <is>
          <t>3.18, 3.30</t>
        </is>
      </c>
      <c r="H425" s="12" t="inlineStr"/>
      <c r="I425" s="17" t="n"/>
      <c r="J425" s="17" t="n"/>
    </row>
    <row r="426">
      <c r="A426" s="12" t="inlineStr">
        <is>
          <t>Quote templates</t>
        </is>
      </c>
      <c r="B426" s="12" t="inlineStr">
        <is>
          <t>TC-09</t>
        </is>
      </c>
      <c r="C426" s="12" t="inlineStr">
        <is>
          <t>Content templates, rules, text</t>
        </is>
      </c>
      <c r="D426" s="14" t="inlineStr">
        <is>
          <t>Task templates</t>
        </is>
      </c>
      <c r="E426" s="14" t="inlineStr">
        <is>
          <t>2.0 only</t>
        </is>
      </c>
      <c r="F426" s="12" t="inlineStr">
        <is>
          <t>New: checklists added to a lead in one go</t>
        </is>
      </c>
      <c r="G426" s="12" t="inlineStr">
        <is>
          <t>3.20</t>
        </is>
      </c>
      <c r="H426" s="12" t="inlineStr"/>
      <c r="I426" s="17" t="n"/>
      <c r="J426" s="17" t="n"/>
    </row>
    <row r="427">
      <c r="A427" s="12" t="inlineStr">
        <is>
          <t>Quote templates</t>
        </is>
      </c>
      <c r="B427" s="12" t="inlineStr">
        <is>
          <t>TG-01</t>
        </is>
      </c>
      <c r="C427" s="12" t="inlineStr">
        <is>
          <t>Roles</t>
        </is>
      </c>
      <c r="D427" s="14" t="inlineStr">
        <is>
          <t>Who may edit, set default and delete</t>
        </is>
      </c>
      <c r="E427" s="14" t="inlineStr">
        <is>
          <t>Built</t>
        </is>
      </c>
      <c r="F427" s="12" t="inlineStr">
        <is>
          <t>Owners and Admins; Designers submit for approval (Q-05)</t>
        </is>
      </c>
      <c r="G427" s="12" t="inlineStr">
        <is>
          <t>10.06</t>
        </is>
      </c>
      <c r="H427" s="12" t="inlineStr"/>
      <c r="I427" s="17" t="n"/>
      <c r="J427" s="17" t="n"/>
    </row>
    <row r="428">
      <c r="A428" s="12" t="inlineStr">
        <is>
          <t>Quote templates</t>
        </is>
      </c>
      <c r="B428" s="12" t="inlineStr">
        <is>
          <t>TG-02</t>
        </is>
      </c>
      <c r="C428" s="12" t="inlineStr">
        <is>
          <t>Roles</t>
        </is>
      </c>
      <c r="D428" s="14" t="inlineStr">
        <is>
          <t>Who may change packages</t>
        </is>
      </c>
      <c r="E428" s="14" t="inlineStr">
        <is>
          <t>Built</t>
        </is>
      </c>
      <c r="F428" s="12" t="inlineStr"/>
      <c r="G428" s="12" t="inlineStr"/>
      <c r="H428" s="28" t="inlineStr">
        <is>
          <t>Team check</t>
        </is>
      </c>
      <c r="I428" s="17" t="n"/>
      <c r="J428" s="17" t="n"/>
    </row>
    <row r="429">
      <c r="A429" s="12" t="inlineStr">
        <is>
          <t>Quote templates</t>
        </is>
      </c>
      <c r="B429" s="12" t="inlineStr">
        <is>
          <t>TG-03</t>
        </is>
      </c>
      <c r="C429" s="12" t="inlineStr">
        <is>
          <t>Roles</t>
        </is>
      </c>
      <c r="D429" s="14" t="inlineStr">
        <is>
          <t>Quote rules, owner only</t>
        </is>
      </c>
      <c r="E429" s="14" t="inlineStr">
        <is>
          <t>Later</t>
        </is>
      </c>
      <c r="F429" s="12" t="inlineStr">
        <is>
          <t>Held with generation rules (Q-07)</t>
        </is>
      </c>
      <c r="G429" s="12" t="inlineStr"/>
      <c r="H429" s="12" t="inlineStr"/>
      <c r="I429" s="17" t="n"/>
      <c r="J429" s="17" t="n"/>
    </row>
    <row r="430">
      <c r="A430" s="12" t="inlineStr">
        <is>
          <t>Quote templates</t>
        </is>
      </c>
      <c r="B430" s="12" t="inlineStr">
        <is>
          <t>TX-01</t>
        </is>
      </c>
      <c r="C430" s="12" t="inlineStr">
        <is>
          <t>Touchpoints</t>
        </is>
      </c>
      <c r="D430" s="14" t="inlineStr">
        <is>
          <t>Invoice, PO and VO document templates</t>
        </is>
      </c>
      <c r="E430" s="14" t="inlineStr">
        <is>
          <t>Later</t>
        </is>
      </c>
      <c r="F430" s="12" t="inlineStr">
        <is>
          <t>Finance module, not built yet</t>
        </is>
      </c>
      <c r="G430" s="12" t="inlineStr"/>
      <c r="H430" s="12" t="inlineStr"/>
      <c r="I430" s="17" t="n"/>
      <c r="J430" s="17" t="n"/>
    </row>
    <row r="431">
      <c r="A431" s="12" t="inlineStr">
        <is>
          <t>Quote templates</t>
        </is>
      </c>
      <c r="B431" s="12" t="inlineStr">
        <is>
          <t>TX-02</t>
        </is>
      </c>
      <c r="C431" s="12" t="inlineStr">
        <is>
          <t>Touchpoints</t>
        </is>
      </c>
      <c r="D431" s="14" t="inlineStr">
        <is>
          <t>Timeline, project and milestone templates</t>
        </is>
      </c>
      <c r="E431" s="14" t="inlineStr">
        <is>
          <t>Later</t>
        </is>
      </c>
      <c r="F431" s="12" t="inlineStr">
        <is>
          <t>Projects module, not built yet</t>
        </is>
      </c>
      <c r="G431" s="12" t="inlineStr"/>
      <c r="H431" s="12" t="inlineStr"/>
      <c r="I431" s="17" t="n"/>
      <c r="J431" s="17" t="n"/>
    </row>
    <row r="432">
      <c r="A432" s="12" t="inlineStr">
        <is>
          <t>Quote templates</t>
        </is>
      </c>
      <c r="B432" s="12" t="inlineStr">
        <is>
          <t>TX-03</t>
        </is>
      </c>
      <c r="C432" s="12" t="inlineStr">
        <is>
          <t>Touchpoints</t>
        </is>
      </c>
      <c r="D432" s="14" t="inlineStr">
        <is>
          <t>Signing documents library, T&amp;Cs at signing</t>
        </is>
      </c>
      <c r="E432" s="14" t="inlineStr">
        <is>
          <t>Excluded</t>
        </is>
      </c>
      <c r="F432" s="12" t="inlineStr">
        <is>
          <t>Audited with Contracts (CTR)</t>
        </is>
      </c>
      <c r="G432" s="12" t="inlineStr"/>
      <c r="H432" s="12" t="inlineStr"/>
      <c r="I432" s="17" t="n"/>
      <c r="J432" s="17" t="n"/>
    </row>
    <row r="433">
      <c r="A433" s="12" t="inlineStr">
        <is>
          <t>Quote templates</t>
        </is>
      </c>
      <c r="B433" s="12" t="inlineStr">
        <is>
          <t>TX-04</t>
        </is>
      </c>
      <c r="C433" s="12" t="inlineStr">
        <is>
          <t>Touchpoints</t>
        </is>
      </c>
      <c r="D433" s="14" t="inlineStr">
        <is>
          <t>Share link, one-time code, expiry, view count</t>
        </is>
      </c>
      <c r="E433" s="14" t="inlineStr">
        <is>
          <t>Excluded</t>
        </is>
      </c>
      <c r="F433" s="12" t="inlineStr">
        <is>
          <t>Audited with the quote editor (QED)</t>
        </is>
      </c>
      <c r="G433" s="12" t="inlineStr"/>
      <c r="H433" s="12" t="inlineStr"/>
      <c r="I433" s="17" t="n"/>
      <c r="J433" s="17" t="n"/>
    </row>
    <row r="434">
      <c r="A434" s="12" t="inlineStr">
        <is>
          <t>Quote templates</t>
        </is>
      </c>
      <c r="B434" s="12" t="inlineStr">
        <is>
          <t>TX-05</t>
        </is>
      </c>
      <c r="C434" s="12" t="inlineStr">
        <is>
          <t>Touchpoints</t>
        </is>
      </c>
      <c r="D434" s="14" t="inlineStr">
        <is>
          <t>Notification templates</t>
        </is>
      </c>
      <c r="E434" s="14" t="inlineStr">
        <is>
          <t>Excluded</t>
        </is>
      </c>
      <c r="F434" s="12" t="inlineStr">
        <is>
          <t>Built in the Leads rounds (notifications)</t>
        </is>
      </c>
      <c r="G434" s="12" t="inlineStr"/>
      <c r="H434" s="12" t="inlineStr"/>
      <c r="I434" s="17" t="n"/>
      <c r="J434" s="17" t="n"/>
    </row>
    <row r="435">
      <c r="A435" s="12" t="inlineStr">
        <is>
          <t>Quote templates</t>
        </is>
      </c>
      <c r="B435" s="12" t="inlineStr">
        <is>
          <t>TX-06</t>
        </is>
      </c>
      <c r="C435" s="12" t="inlineStr">
        <is>
          <t>Touchpoints</t>
        </is>
      </c>
      <c r="D435" s="14" t="inlineStr">
        <is>
          <t>Cover and floor-plan templates</t>
        </is>
      </c>
      <c r="E435" s="14" t="inlineStr">
        <is>
          <t>Later</t>
        </is>
      </c>
      <c r="F435" s="12" t="inlineStr">
        <is>
          <t>Tools, not built yet</t>
        </is>
      </c>
      <c r="G435" s="12" t="inlineStr"/>
      <c r="H435" s="12" t="inlineStr"/>
      <c r="I435" s="17" t="n"/>
      <c r="J435" s="17" t="n"/>
    </row>
    <row r="436">
      <c r="A436" s="12" t="inlineStr">
        <is>
          <t>Quote templates</t>
        </is>
      </c>
      <c r="B436" s="12" t="inlineStr">
        <is>
          <t>TX-07</t>
        </is>
      </c>
      <c r="C436" s="12" t="inlineStr">
        <is>
          <t>Touchpoints</t>
        </is>
      </c>
      <c r="D436" s="14" t="inlineStr">
        <is>
          <t>Price Book and Quote Approval Rules tabs</t>
        </is>
      </c>
      <c r="E436" s="14" t="inlineStr">
        <is>
          <t>Excluded</t>
        </is>
      </c>
      <c r="F436" s="12" t="inlineStr">
        <is>
          <t>Audited with the quote editor and the price book (QED, PB)</t>
        </is>
      </c>
      <c r="G436" s="12" t="inlineStr"/>
      <c r="H436" s="12" t="inlineStr"/>
      <c r="I436" s="17" t="n"/>
      <c r="J436" s="17" t="n"/>
    </row>
    <row r="437">
      <c r="A437" s="12" t="inlineStr">
        <is>
          <t>Quote templates</t>
        </is>
      </c>
      <c r="B437" s="12" t="inlineStr">
        <is>
          <t>TX-08</t>
        </is>
      </c>
      <c r="C437" s="12" t="inlineStr">
        <is>
          <t>Touchpoints</t>
        </is>
      </c>
      <c r="D437" s="14" t="inlineStr">
        <is>
          <t>Quote numbering settings</t>
        </is>
      </c>
      <c r="E437" s="14" t="inlineStr">
        <is>
          <t>Excluded</t>
        </is>
      </c>
      <c r="F437" s="12" t="inlineStr">
        <is>
          <t>Audited with the quote editor (QED); built in Settings</t>
        </is>
      </c>
      <c r="G437" s="12" t="inlineStr"/>
      <c r="H437" s="12" t="inlineStr"/>
      <c r="I437" s="17" t="n"/>
      <c r="J437" s="17" t="n"/>
    </row>
    <row r="438">
      <c r="A438" s="12" t="inlineStr">
        <is>
          <t>Quote templates</t>
        </is>
      </c>
      <c r="B438" s="12" t="inlineStr">
        <is>
          <t>TX-09</t>
        </is>
      </c>
      <c r="C438" s="12" t="inlineStr">
        <is>
          <t>Touchpoints</t>
        </is>
      </c>
      <c r="D438" s="14" t="inlineStr">
        <is>
          <t>Client accepts or declines optional add-ons</t>
        </is>
      </c>
      <c r="E438" s="14" t="inlineStr">
        <is>
          <t>Excluded</t>
        </is>
      </c>
      <c r="F438" s="12" t="inlineStr">
        <is>
          <t>Audited with the quote editor (QED)</t>
        </is>
      </c>
      <c r="G438" s="12" t="inlineStr"/>
      <c r="H438" s="12" t="inlineStr"/>
      <c r="I438" s="17" t="n"/>
      <c r="J438" s="17" t="n"/>
    </row>
    <row r="439">
      <c r="A439" s="12" t="inlineStr">
        <is>
          <t>Quote editor</t>
        </is>
      </c>
      <c r="B439" s="12" t="inlineStr">
        <is>
          <t>DEF-01</t>
        </is>
      </c>
      <c r="C439" s="12" t="inlineStr">
        <is>
          <t>Definitions</t>
        </is>
      </c>
      <c r="D439" s="14" t="inlineStr">
        <is>
          <t>Where a quote’s settings live (on the lead in 1.0)</t>
        </is>
      </c>
      <c r="E439" s="14" t="inlineStr">
        <is>
          <t>Built</t>
        </is>
      </c>
      <c r="F439" s="12" t="inlineStr">
        <is>
          <t>Kept on each quote; the move copies the lead’s values (Q-01)</t>
        </is>
      </c>
      <c r="G439" s="12" t="inlineStr">
        <is>
          <t>6.02</t>
        </is>
      </c>
      <c r="H439" s="12" t="inlineStr"/>
      <c r="I439" s="17" t="n"/>
      <c r="J439" s="17" t="n"/>
    </row>
    <row r="440">
      <c r="A440" s="12" t="inlineStr">
        <is>
          <t>Quote editor</t>
        </is>
      </c>
      <c r="B440" s="12" t="inlineStr">
        <is>
          <t>DEF-02</t>
        </is>
      </c>
      <c r="C440" s="12" t="inlineStr">
        <is>
          <t>Definitions</t>
        </is>
      </c>
      <c r="D440" s="14" t="inlineStr">
        <is>
          <t>One primary quote per lead, mirrored on the lead</t>
        </is>
      </c>
      <c r="E440" s="14" t="inlineStr">
        <is>
          <t>Not built — by design</t>
        </is>
      </c>
      <c r="F440" s="12" t="inlineStr">
        <is>
          <t>No primary quote or mirror; the lead reads its quotes (Q-03)</t>
        </is>
      </c>
      <c r="G440" s="12" t="inlineStr">
        <is>
          <t>6.39</t>
        </is>
      </c>
      <c r="H440" s="12" t="inlineStr"/>
      <c r="I440" s="17" t="n"/>
      <c r="J440" s="17" t="n"/>
    </row>
    <row r="441">
      <c r="A441" s="12" t="inlineStr">
        <is>
          <t>Quote editor</t>
        </is>
      </c>
      <c r="B441" s="12" t="inlineStr">
        <is>
          <t>DEF-03</t>
        </is>
      </c>
      <c r="C441" s="12" t="inlineStr">
        <is>
          <t>Definitions</t>
        </is>
      </c>
      <c r="D441" s="14" t="inlineStr">
        <is>
          <t>Quote statuses</t>
        </is>
      </c>
      <c r="E441" s="14" t="inlineStr">
        <is>
          <t>Built</t>
        </is>
      </c>
      <c r="F441" s="12" t="inlineStr">
        <is>
          <t>2.0’s six kept; a sent-back quote returns to Draft with a note</t>
        </is>
      </c>
      <c r="G441" s="12" t="inlineStr">
        <is>
          <t>6.38, 10.07</t>
        </is>
      </c>
      <c r="H441" s="12" t="inlineStr"/>
      <c r="I441" s="17" t="n"/>
      <c r="J441" s="17" t="n"/>
    </row>
    <row r="442">
      <c r="A442" s="12" t="inlineStr">
        <is>
          <t>Quote editor</t>
        </is>
      </c>
      <c r="B442" s="12" t="inlineStr">
        <is>
          <t>DEF-04</t>
        </is>
      </c>
      <c r="C442" s="12" t="inlineStr">
        <is>
          <t>Definitions</t>
        </is>
      </c>
      <c r="D442" s="14" t="inlineStr">
        <is>
          <t>Quote approval by approvers</t>
        </is>
      </c>
      <c r="E442" s="14" t="inlineStr">
        <is>
          <t>Built in parity round 2</t>
        </is>
      </c>
      <c r="F442" s="12" t="inlineStr">
        <is>
          <t>Approve or Request changes with a note; no money thresholds (Q-24)</t>
        </is>
      </c>
      <c r="G442" s="12" t="inlineStr">
        <is>
          <t>2.30, 6.28, 10.07, 10.12</t>
        </is>
      </c>
      <c r="H442" s="12" t="inlineStr"/>
      <c r="I442" s="17" t="n"/>
      <c r="J442" s="17" t="n"/>
    </row>
    <row r="443">
      <c r="A443" s="12" t="inlineStr">
        <is>
          <t>Quote editor</t>
        </is>
      </c>
      <c r="B443" s="12" t="inlineStr">
        <is>
          <t>DEF-05</t>
        </is>
      </c>
      <c r="C443" s="12" t="inlineStr">
        <is>
          <t>Definitions</t>
        </is>
      </c>
      <c r="D443" s="14" t="inlineStr">
        <is>
          <t>Quote versions</t>
        </is>
      </c>
      <c r="E443" s="14" t="inlineStr">
        <is>
          <t>Built in parity round 3</t>
        </is>
      </c>
      <c r="F443" s="12" t="inlineStr">
        <is>
          <t>Per quote via Revise; Bring back added; no any-two compare (Q-26)</t>
        </is>
      </c>
      <c r="G443" s="12" t="inlineStr">
        <is>
          <t>6.32</t>
        </is>
      </c>
      <c r="H443" s="12" t="inlineStr"/>
      <c r="I443" s="17" t="n"/>
      <c r="J443" s="17" t="n"/>
    </row>
    <row r="444">
      <c r="A444" s="12" t="inlineStr">
        <is>
          <t>Quote editor</t>
        </is>
      </c>
      <c r="B444" s="12" t="inlineStr">
        <is>
          <t>DEF-06</t>
        </is>
      </c>
      <c r="C444" s="12" t="inlineStr">
        <is>
          <t>Definitions</t>
        </is>
      </c>
      <c r="D444" s="14" t="inlineStr">
        <is>
          <t>Sections of a quote</t>
        </is>
      </c>
      <c r="E444" s="14" t="inlineStr">
        <is>
          <t>Built</t>
        </is>
      </c>
      <c r="F444" s="12" t="inlineStr"/>
      <c r="G444" s="12" t="inlineStr">
        <is>
          <t>6.10</t>
        </is>
      </c>
      <c r="H444" s="12" t="inlineStr"/>
      <c r="I444" s="17" t="n"/>
      <c r="J444" s="17" t="n"/>
    </row>
    <row r="445">
      <c r="A445" s="12" t="inlineStr">
        <is>
          <t>Quote editor</t>
        </is>
      </c>
      <c r="B445" s="12" t="inlineStr">
        <is>
          <t>DEF-07</t>
        </is>
      </c>
      <c r="C445" s="12" t="inlineStr">
        <is>
          <t>Definitions</t>
        </is>
      </c>
      <c r="D445" s="14" t="inlineStr">
        <is>
          <t>Words a line prints instead of its price</t>
        </is>
      </c>
      <c r="E445" s="14" t="inlineStr">
        <is>
          <t>Built in parity round 1</t>
        </is>
      </c>
      <c r="F445" s="12" t="inlineStr">
        <is>
          <t>“By client” added; section lump sum not built (Q-15)</t>
        </is>
      </c>
      <c r="G445" s="12" t="inlineStr">
        <is>
          <t>6.12</t>
        </is>
      </c>
      <c r="H445" s="12" t="inlineStr"/>
      <c r="I445" s="17" t="n"/>
      <c r="J445" s="17" t="n"/>
    </row>
    <row r="446">
      <c r="A446" s="12" t="inlineStr">
        <is>
          <t>Quote editor</t>
        </is>
      </c>
      <c r="B446" s="12" t="inlineStr">
        <is>
          <t>DEF-08</t>
        </is>
      </c>
      <c r="C446" s="12" t="inlineStr">
        <is>
          <t>Definitions</t>
        </is>
      </c>
      <c r="D446" s="14" t="inlineStr">
        <is>
          <t>Optional lines</t>
        </is>
      </c>
      <c r="E446" s="14" t="inlineStr">
        <is>
          <t>Built in parity round 4</t>
        </is>
      </c>
      <c r="F446" s="12" t="inlineStr">
        <is>
          <t>Out of the totals; the client ticks them on the confirmation link</t>
        </is>
      </c>
      <c r="G446" s="12" t="inlineStr">
        <is>
          <t>6.14, 6.37</t>
        </is>
      </c>
      <c r="H446" s="12" t="inlineStr"/>
      <c r="I446" s="17" t="n"/>
      <c r="J446" s="17" t="n"/>
    </row>
    <row r="447">
      <c r="A447" s="12" t="inlineStr">
        <is>
          <t>Quote editor</t>
        </is>
      </c>
      <c r="B447" s="12" t="inlineStr">
        <is>
          <t>DEF-09</t>
        </is>
      </c>
      <c r="C447" s="12" t="inlineStr">
        <is>
          <t>Definitions</t>
        </is>
      </c>
      <c r="D447" s="14" t="inlineStr">
        <is>
          <t>Line and document discounts</t>
        </is>
      </c>
      <c r="E447" s="14" t="inlineStr">
        <is>
          <t>Built</t>
        </is>
      </c>
      <c r="F447" s="12" t="inlineStr">
        <is>
          <t>Named discounts per quote; no flat S$ line discount (Q-11)</t>
        </is>
      </c>
      <c r="G447" s="12" t="inlineStr">
        <is>
          <t>6.17</t>
        </is>
      </c>
      <c r="H447" s="12" t="inlineStr"/>
      <c r="I447" s="17" t="n"/>
      <c r="J447" s="17" t="n"/>
    </row>
    <row r="448">
      <c r="A448" s="12" t="inlineStr">
        <is>
          <t>Quote editor</t>
        </is>
      </c>
      <c r="B448" s="12" t="inlineStr">
        <is>
          <t>DEF-10</t>
        </is>
      </c>
      <c r="C448" s="12" t="inlineStr">
        <is>
          <t>Definitions</t>
        </is>
      </c>
      <c r="D448" s="14" t="inlineStr">
        <is>
          <t>GST on a quote</t>
        </is>
      </c>
      <c r="E448" s="14" t="inlineStr">
        <is>
          <t>Built</t>
        </is>
      </c>
      <c r="F448" s="12" t="inlineStr">
        <is>
          <t>Per quote and issuing entity; no per-line rates (Q-12)</t>
        </is>
      </c>
      <c r="G448" s="12" t="inlineStr"/>
      <c r="H448" s="28" t="inlineStr">
        <is>
          <t>Team check</t>
        </is>
      </c>
      <c r="I448" s="17" t="n"/>
      <c r="J448" s="17" t="n"/>
    </row>
    <row r="449">
      <c r="A449" s="12" t="inlineStr">
        <is>
          <t>Quote editor</t>
        </is>
      </c>
      <c r="B449" s="12" t="inlineStr">
        <is>
          <t>DEF-11</t>
        </is>
      </c>
      <c r="C449" s="12" t="inlineStr">
        <is>
          <t>Definitions</t>
        </is>
      </c>
      <c r="D449" s="14" t="inlineStr">
        <is>
          <t>The studio’s price book</t>
        </is>
      </c>
      <c r="E449" s="14" t="inlineStr">
        <is>
          <t>Built in parity round 5</t>
        </is>
      </c>
      <c r="F449" s="12" t="inlineStr">
        <is>
          <t>Export here; approval and history in price book parity; no tiers</t>
        </is>
      </c>
      <c r="G449" s="12" t="inlineStr">
        <is>
          <t>3.01</t>
        </is>
      </c>
      <c r="H449" s="12" t="inlineStr"/>
      <c r="I449" s="17" t="n"/>
      <c r="J449" s="17" t="n"/>
    </row>
    <row r="450">
      <c r="A450" s="12" t="inlineStr">
        <is>
          <t>Quote editor</t>
        </is>
      </c>
      <c r="B450" s="12" t="inlineStr">
        <is>
          <t>DEF-12</t>
        </is>
      </c>
      <c r="C450" s="12" t="inlineStr">
        <is>
          <t>Definitions</t>
        </is>
      </c>
      <c r="D450" s="14" t="inlineStr">
        <is>
          <t>Signing a quote</t>
        </is>
      </c>
      <c r="E450" s="14" t="inlineStr">
        <is>
          <t>Built in parity round 4</t>
        </is>
      </c>
      <c r="F450" s="12" t="inlineStr">
        <is>
          <t>A signed contract signs its quote; no token, expiry or code (Q-33)</t>
        </is>
      </c>
      <c r="G450" s="12" t="inlineStr">
        <is>
          <t>6.29</t>
        </is>
      </c>
      <c r="H450" s="12" t="inlineStr"/>
      <c r="I450" s="17" t="n"/>
      <c r="J450" s="17" t="n"/>
    </row>
    <row r="451">
      <c r="A451" s="12" t="inlineStr">
        <is>
          <t>Quote editor</t>
        </is>
      </c>
      <c r="B451" s="12" t="inlineStr">
        <is>
          <t>DEF-13</t>
        </is>
      </c>
      <c r="C451" s="12" t="inlineStr">
        <is>
          <t>Definitions</t>
        </is>
      </c>
      <c r="D451" s="14" t="inlineStr">
        <is>
          <t>Comments on quote lines</t>
        </is>
      </c>
      <c r="E451" s="14" t="inlineStr">
        <is>
          <t>Built in parity round 5</t>
        </is>
      </c>
      <c r="F451" s="12" t="inlineStr"/>
      <c r="G451" s="12" t="inlineStr">
        <is>
          <t>6.27</t>
        </is>
      </c>
      <c r="H451" s="12" t="inlineStr"/>
      <c r="I451" s="17" t="n"/>
      <c r="J451" s="17" t="n"/>
    </row>
    <row r="452">
      <c r="A452" s="12" t="inlineStr">
        <is>
          <t>Quote editor</t>
        </is>
      </c>
      <c r="B452" s="12" t="inlineStr">
        <is>
          <t>DEF-14</t>
        </is>
      </c>
      <c r="C452" s="12" t="inlineStr">
        <is>
          <t>Definitions</t>
        </is>
      </c>
      <c r="D452" s="14" t="inlineStr">
        <is>
          <t>Getting a quote in: upload a file or AI draft</t>
        </is>
      </c>
      <c r="E452" s="14" t="inlineStr">
        <is>
          <t>Built in parity round 5</t>
        </is>
      </c>
      <c r="F452" s="12" t="inlineStr">
        <is>
          <t>Upload a quote built; Draft with Maison AI still coming soon (Q-17)</t>
        </is>
      </c>
      <c r="G452" s="12" t="inlineStr">
        <is>
          <t>6.41</t>
        </is>
      </c>
      <c r="H452" s="12" t="inlineStr"/>
      <c r="I452" s="17" t="n"/>
      <c r="J452" s="17" t="n"/>
    </row>
    <row r="453">
      <c r="A453" s="12" t="inlineStr">
        <is>
          <t>Quote editor</t>
        </is>
      </c>
      <c r="B453" s="12" t="inlineStr">
        <is>
          <t>DEF-15</t>
        </is>
      </c>
      <c r="C453" s="12" t="inlineStr">
        <is>
          <t>Definitions</t>
        </is>
      </c>
      <c r="D453" s="14" t="inlineStr">
        <is>
          <t>Variation orders</t>
        </is>
      </c>
      <c r="E453" s="14" t="inlineStr">
        <is>
          <t>Later</t>
        </is>
      </c>
      <c r="F453" s="12" t="inlineStr">
        <is>
          <t>Waits for Projects and Finance (Q-05)</t>
        </is>
      </c>
      <c r="G453" s="12" t="inlineStr"/>
      <c r="H453" s="12" t="inlineStr"/>
      <c r="I453" s="17" t="n"/>
      <c r="J453" s="17" t="n"/>
    </row>
    <row r="454">
      <c r="A454" s="12" t="inlineStr">
        <is>
          <t>Quote editor</t>
        </is>
      </c>
      <c r="B454" s="12" t="inlineStr">
        <is>
          <t>DEF-16</t>
        </is>
      </c>
      <c r="C454" s="12" t="inlineStr">
        <is>
          <t>Definitions</t>
        </is>
      </c>
      <c r="D454" s="14" t="inlineStr">
        <is>
          <t>Quote locked read-only once it leaves Draft</t>
        </is>
      </c>
      <c r="E454" s="14" t="inlineStr">
        <is>
          <t>Built in parity round 2</t>
        </is>
      </c>
      <c r="F454" s="12" t="inlineStr">
        <is>
          <t>No hard lock by design; a banner offers Revise (Q-04)</t>
        </is>
      </c>
      <c r="G454" s="12" t="inlineStr">
        <is>
          <t>6.28</t>
        </is>
      </c>
      <c r="H454" s="12" t="inlineStr"/>
      <c r="I454" s="17" t="n"/>
      <c r="J454" s="17" t="n"/>
    </row>
    <row r="455">
      <c r="A455" s="12" t="inlineStr">
        <is>
          <t>Quote editor</t>
        </is>
      </c>
      <c r="B455" s="12" t="inlineStr">
        <is>
          <t>MM-01</t>
        </is>
      </c>
      <c r="C455" s="12" t="inlineStr">
        <is>
          <t>Mismatches</t>
        </is>
      </c>
      <c r="D455" s="14" t="inlineStr">
        <is>
          <t>Where a quote’s settings live</t>
        </is>
      </c>
      <c r="E455" s="14" t="inlineStr">
        <is>
          <t>Built</t>
        </is>
      </c>
      <c r="F455" s="12" t="inlineStr">
        <is>
          <t>Kept on each quote (Q-01)</t>
        </is>
      </c>
      <c r="G455" s="12" t="inlineStr">
        <is>
          <t>6.02</t>
        </is>
      </c>
      <c r="H455" s="12" t="inlineStr"/>
      <c r="I455" s="17" t="n"/>
      <c r="J455" s="17" t="n"/>
    </row>
    <row r="456">
      <c r="A456" s="12" t="inlineStr">
        <is>
          <t>Quote editor</t>
        </is>
      </c>
      <c r="B456" s="12" t="inlineStr">
        <is>
          <t>MM-02</t>
        </is>
      </c>
      <c r="C456" s="12" t="inlineStr">
        <is>
          <t>Mismatches</t>
        </is>
      </c>
      <c r="D456" s="14" t="inlineStr">
        <is>
          <t>Primary quote and the lead’s quote status</t>
        </is>
      </c>
      <c r="E456" s="14" t="inlineStr">
        <is>
          <t>Not built — by design</t>
        </is>
      </c>
      <c r="F456" s="12" t="inlineStr">
        <is>
          <t>Derived from the lead’s quotes, no mirror (Q-03)</t>
        </is>
      </c>
      <c r="G456" s="12" t="inlineStr"/>
      <c r="H456" s="12" t="inlineStr"/>
      <c r="I456" s="17" t="n"/>
      <c r="J456" s="17" t="n"/>
    </row>
    <row r="457">
      <c r="A457" s="12" t="inlineStr">
        <is>
          <t>Quote editor</t>
        </is>
      </c>
      <c r="B457" s="12" t="inlineStr">
        <is>
          <t>MM-03</t>
        </is>
      </c>
      <c r="C457" s="12" t="inlineStr">
        <is>
          <t>Mismatches</t>
        </is>
      </c>
      <c r="D457" s="14" t="inlineStr">
        <is>
          <t>The set of quote statuses</t>
        </is>
      </c>
      <c r="E457" s="14" t="inlineStr">
        <is>
          <t>Built</t>
        </is>
      </c>
      <c r="F457" s="12" t="inlineStr">
        <is>
          <t>2.0’s six statuses kept (Q-02)</t>
        </is>
      </c>
      <c r="G457" s="12" t="inlineStr">
        <is>
          <t>6.38</t>
        </is>
      </c>
      <c r="H457" s="12" t="inlineStr"/>
      <c r="I457" s="17" t="n"/>
      <c r="J457" s="17" t="n"/>
    </row>
    <row r="458">
      <c r="A458" s="12" t="inlineStr">
        <is>
          <t>Quote editor</t>
        </is>
      </c>
      <c r="B458" s="12" t="inlineStr">
        <is>
          <t>MM-04</t>
        </is>
      </c>
      <c r="C458" s="12" t="inlineStr">
        <is>
          <t>Mismatches</t>
        </is>
      </c>
      <c r="D458" s="14" t="inlineStr">
        <is>
          <t>Editing a quote after it is sent</t>
        </is>
      </c>
      <c r="E458" s="14" t="inlineStr">
        <is>
          <t>Built in parity round 2</t>
        </is>
      </c>
      <c r="F458" s="12" t="inlineStr">
        <is>
          <t>Stays editable, with a banner and Revise (Q-04)</t>
        </is>
      </c>
      <c r="G458" s="12" t="inlineStr">
        <is>
          <t>6.28</t>
        </is>
      </c>
      <c r="H458" s="12" t="inlineStr"/>
      <c r="I458" s="17" t="n"/>
      <c r="J458" s="17" t="n"/>
    </row>
    <row r="459">
      <c r="A459" s="12" t="inlineStr">
        <is>
          <t>Quote editor</t>
        </is>
      </c>
      <c r="B459" s="12" t="inlineStr">
        <is>
          <t>MM-05</t>
        </is>
      </c>
      <c r="C459" s="12" t="inlineStr">
        <is>
          <t>Mismatches</t>
        </is>
      </c>
      <c r="D459" s="14" t="inlineStr">
        <is>
          <t>An approver’s own send approves it</t>
        </is>
      </c>
      <c r="E459" s="14" t="inlineStr">
        <is>
          <t>Built in parity round 2</t>
        </is>
      </c>
      <c r="F459" s="12" t="inlineStr"/>
      <c r="G459" s="12" t="inlineStr">
        <is>
          <t>6.28</t>
        </is>
      </c>
      <c r="H459" s="12" t="inlineStr"/>
      <c r="I459" s="17" t="n"/>
      <c r="J459" s="17" t="n"/>
    </row>
    <row r="460">
      <c r="A460" s="12" t="inlineStr">
        <is>
          <t>Quote editor</t>
        </is>
      </c>
      <c r="B460" s="12" t="inlineStr">
        <is>
          <t>MM-06</t>
        </is>
      </c>
      <c r="C460" s="12" t="inlineStr">
        <is>
          <t>Mismatches</t>
        </is>
      </c>
      <c r="D460" s="14" t="inlineStr">
        <is>
          <t>Rejecting a quote with a reason</t>
        </is>
      </c>
      <c r="E460" s="14" t="inlineStr">
        <is>
          <t>Built in parity round 2</t>
        </is>
      </c>
      <c r="F460" s="12" t="inlineStr">
        <is>
          <t>Request changes with a note; back to Draft (Q-22)</t>
        </is>
      </c>
      <c r="G460" s="12" t="inlineStr"/>
      <c r="H460" s="28" t="inlineStr">
        <is>
          <t>Team check</t>
        </is>
      </c>
      <c r="I460" s="17" t="n"/>
      <c r="J460" s="17" t="n"/>
    </row>
    <row r="461">
      <c r="A461" s="12" t="inlineStr">
        <is>
          <t>Quote editor</t>
        </is>
      </c>
      <c r="B461" s="12" t="inlineStr">
        <is>
          <t>MM-07</t>
        </is>
      </c>
      <c r="C461" s="12" t="inlineStr">
        <is>
          <t>Mismatches</t>
        </is>
      </c>
      <c r="D461" s="14" t="inlineStr">
        <is>
          <t>Versions: per lead, compare, restore</t>
        </is>
      </c>
      <c r="E461" s="14" t="inlineStr">
        <is>
          <t>Built in parity round 3</t>
        </is>
      </c>
      <c r="F461" s="12" t="inlineStr">
        <is>
          <t>Per quote; Bring back added; no compare (Q-26)</t>
        </is>
      </c>
      <c r="G461" s="12" t="inlineStr">
        <is>
          <t>6.32</t>
        </is>
      </c>
      <c r="H461" s="12" t="inlineStr"/>
      <c r="I461" s="17" t="n"/>
      <c r="J461" s="17" t="n"/>
    </row>
    <row r="462">
      <c r="A462" s="12" t="inlineStr">
        <is>
          <t>Quote editor</t>
        </is>
      </c>
      <c r="B462" s="12" t="inlineStr">
        <is>
          <t>MM-08</t>
        </is>
      </c>
      <c r="C462" s="12" t="inlineStr">
        <is>
          <t>Mismatches</t>
        </is>
      </c>
      <c r="D462" s="14" t="inlineStr">
        <is>
          <t>A section priced as one lump sum</t>
        </is>
      </c>
      <c r="E462" s="14" t="inlineStr">
        <is>
          <t>Not built — by design</t>
        </is>
      </c>
      <c r="F462" s="12" t="inlineStr">
        <is>
          <t>One priced line or Print as one line does it (Q-15)</t>
        </is>
      </c>
      <c r="G462" s="12" t="inlineStr"/>
      <c r="H462" s="12" t="inlineStr"/>
      <c r="I462" s="17" t="n"/>
      <c r="J462" s="17" t="n"/>
    </row>
    <row r="463">
      <c r="A463" s="12" t="inlineStr">
        <is>
          <t>Quote editor</t>
        </is>
      </c>
      <c r="B463" s="12" t="inlineStr">
        <is>
          <t>MM-09</t>
        </is>
      </c>
      <c r="C463" s="12" t="inlineStr">
        <is>
          <t>Mismatches</t>
        </is>
      </c>
      <c r="D463" s="14" t="inlineStr">
        <is>
          <t>Line discount in S$</t>
        </is>
      </c>
      <c r="E463" s="14" t="inlineStr">
        <is>
          <t>Not built — by design</t>
        </is>
      </c>
      <c r="F463" s="12" t="inlineStr">
        <is>
          <t>Named discounts carry amounts (Q-11)</t>
        </is>
      </c>
      <c r="G463" s="12" t="inlineStr"/>
      <c r="H463" s="12" t="inlineStr"/>
      <c r="I463" s="17" t="n"/>
      <c r="J463" s="17" t="n"/>
    </row>
    <row r="464">
      <c r="A464" s="12" t="inlineStr">
        <is>
          <t>Quote editor</t>
        </is>
      </c>
      <c r="B464" s="12" t="inlineStr">
        <is>
          <t>MM-10</t>
        </is>
      </c>
      <c r="C464" s="12" t="inlineStr">
        <is>
          <t>Mismatches</t>
        </is>
      </c>
      <c r="D464" s="14" t="inlineStr">
        <is>
          <t>Tax rate per line</t>
        </is>
      </c>
      <c r="E464" s="14" t="inlineStr">
        <is>
          <t>Not built — by design</t>
        </is>
      </c>
      <c r="F464" s="12" t="inlineStr">
        <is>
          <t>GST stays per quote and issuing entity (Q-12)</t>
        </is>
      </c>
      <c r="G464" s="12" t="inlineStr"/>
      <c r="H464" s="12" t="inlineStr"/>
      <c r="I464" s="17" t="n"/>
      <c r="J464" s="17" t="n"/>
    </row>
    <row r="465">
      <c r="A465" s="12" t="inlineStr">
        <is>
          <t>Quote editor</t>
        </is>
      </c>
      <c r="B465" s="12" t="inlineStr">
        <is>
          <t>MM-11</t>
        </is>
      </c>
      <c r="C465" s="12" t="inlineStr">
        <is>
          <t>Mismatches</t>
        </is>
      </c>
      <c r="D465" s="14" t="inlineStr">
        <is>
          <t>Signing marks the quote signed</t>
        </is>
      </c>
      <c r="E465" s="14" t="inlineStr">
        <is>
          <t>Built in parity round 4</t>
        </is>
      </c>
      <c r="F465" s="12" t="inlineStr">
        <is>
          <t>The contract raised from the quote signs it (Q-31)</t>
        </is>
      </c>
      <c r="G465" s="12" t="inlineStr"/>
      <c r="H465" s="28" t="inlineStr">
        <is>
          <t>Team check</t>
        </is>
      </c>
      <c r="I465" s="17" t="n"/>
      <c r="J465" s="17" t="n"/>
    </row>
    <row r="466">
      <c r="A466" s="12" t="inlineStr">
        <is>
          <t>Quote editor</t>
        </is>
      </c>
      <c r="B466" s="12" t="inlineStr">
        <is>
          <t>MM-12</t>
        </is>
      </c>
      <c r="C466" s="12" t="inlineStr">
        <is>
          <t>Mismatches</t>
        </is>
      </c>
      <c r="D466" s="14" t="inlineStr">
        <is>
          <t>The client’s picks on optional works</t>
        </is>
      </c>
      <c r="E466" s="14" t="inlineStr">
        <is>
          <t>Built in parity round 4</t>
        </is>
      </c>
      <c r="F466" s="12" t="inlineStr"/>
      <c r="G466" s="12" t="inlineStr">
        <is>
          <t>6.37</t>
        </is>
      </c>
      <c r="H466" s="12" t="inlineStr"/>
      <c r="I466" s="17" t="n"/>
      <c r="J466" s="17" t="n"/>
    </row>
    <row r="467">
      <c r="A467" s="12" t="inlineStr">
        <is>
          <t>Quote editor</t>
        </is>
      </c>
      <c r="B467" s="12" t="inlineStr">
        <is>
          <t>MM-13</t>
        </is>
      </c>
      <c r="C467" s="12" t="inlineStr">
        <is>
          <t>Mismatches</t>
        </is>
      </c>
      <c r="D467" s="14" t="inlineStr">
        <is>
          <t>Deleting a quote</t>
        </is>
      </c>
      <c r="E467" s="14" t="inlineStr">
        <is>
          <t>Built in parity round 3</t>
        </is>
      </c>
      <c r="F467" s="12" t="inlineStr">
        <is>
          <t>Soft delete, Deleted Quotes; creator, Owner or Admin (Q-27, Q-28)</t>
        </is>
      </c>
      <c r="G467" s="12" t="inlineStr">
        <is>
          <t>6.42, 6.43</t>
        </is>
      </c>
      <c r="H467" s="12" t="inlineStr"/>
      <c r="I467" s="17" t="n"/>
      <c r="J467" s="17" t="n"/>
    </row>
    <row r="468">
      <c r="A468" s="12" t="inlineStr">
        <is>
          <t>Quote editor</t>
        </is>
      </c>
      <c r="B468" s="12" t="inlineStr">
        <is>
          <t>MM-14</t>
        </is>
      </c>
      <c r="C468" s="12" t="inlineStr">
        <is>
          <t>Mismatches</t>
        </is>
      </c>
      <c r="D468" s="14" t="inlineStr">
        <is>
          <t>A quote’s valid-until date</t>
        </is>
      </c>
      <c r="E468" s="14" t="inlineStr">
        <is>
          <t>Built in parity round 3</t>
        </is>
      </c>
      <c r="F468" s="12" t="inlineStr">
        <is>
          <t>A passed date is marked, never blocked (Q-29)</t>
        </is>
      </c>
      <c r="G468" s="12" t="inlineStr">
        <is>
          <t>6.31</t>
        </is>
      </c>
      <c r="H468" s="12" t="inlineStr"/>
      <c r="I468" s="17" t="n"/>
      <c r="J468" s="17" t="n"/>
    </row>
    <row r="469">
      <c r="A469" s="12" t="inlineStr">
        <is>
          <t>Quote editor</t>
        </is>
      </c>
      <c r="B469" s="12" t="inlineStr">
        <is>
          <t>MM-15</t>
        </is>
      </c>
      <c r="C469" s="12" t="inlineStr">
        <is>
          <t>Mismatches</t>
        </is>
      </c>
      <c r="D469" s="14" t="inlineStr">
        <is>
          <t>The client’s link: token, expiry, one-time code</t>
        </is>
      </c>
      <c r="E469" s="14" t="inlineStr">
        <is>
          <t>Not built — by design</t>
        </is>
      </c>
      <c r="F469" s="12" t="inlineStr">
        <is>
          <t>The platform’s; the link keeps the quote id (Q-33)</t>
        </is>
      </c>
      <c r="G469" s="12" t="inlineStr"/>
      <c r="H469" s="12" t="inlineStr"/>
      <c r="I469" s="17" t="n"/>
      <c r="J469" s="17" t="n"/>
    </row>
    <row r="470">
      <c r="A470" s="12" t="inlineStr">
        <is>
          <t>Quote editor</t>
        </is>
      </c>
      <c r="B470" s="12" t="inlineStr">
        <is>
          <t>QF-01</t>
        </is>
      </c>
      <c r="C470" s="12" t="inlineStr">
        <is>
          <t>The frame</t>
        </is>
      </c>
      <c r="D470" s="14" t="inlineStr">
        <is>
          <t>Ways to open or start a quote</t>
        </is>
      </c>
      <c r="E470" s="14" t="inlineStr">
        <is>
          <t>Built</t>
        </is>
      </c>
      <c r="F470" s="12" t="inlineStr"/>
      <c r="G470" s="12" t="inlineStr">
        <is>
          <t>6.01</t>
        </is>
      </c>
      <c r="H470" s="12" t="inlineStr"/>
      <c r="I470" s="17" t="n"/>
      <c r="J470" s="17" t="n"/>
    </row>
    <row r="471">
      <c r="A471" s="12" t="inlineStr">
        <is>
          <t>Quote editor</t>
        </is>
      </c>
      <c r="B471" s="12" t="inlineStr">
        <is>
          <t>QF-02</t>
        </is>
      </c>
      <c r="C471" s="12" t="inlineStr">
        <is>
          <t>The frame</t>
        </is>
      </c>
      <c r="D471" s="14" t="inlineStr">
        <is>
          <t>One editor per quote</t>
        </is>
      </c>
      <c r="E471" s="14" t="inlineStr">
        <is>
          <t>Built</t>
        </is>
      </c>
      <c r="F471" s="12" t="inlineStr"/>
      <c r="G471" s="12" t="inlineStr">
        <is>
          <t>6.02</t>
        </is>
      </c>
      <c r="H471" s="12" t="inlineStr"/>
      <c r="I471" s="17" t="n"/>
      <c r="J471" s="17" t="n"/>
    </row>
    <row r="472">
      <c r="A472" s="12" t="inlineStr">
        <is>
          <t>Quote editor</t>
        </is>
      </c>
      <c r="B472" s="12" t="inlineStr">
        <is>
          <t>QF-03</t>
        </is>
      </c>
      <c r="C472" s="12" t="inlineStr">
        <is>
          <t>The frame</t>
        </is>
      </c>
      <c r="D472" s="14" t="inlineStr">
        <is>
          <t>Autosave</t>
        </is>
      </c>
      <c r="E472" s="14" t="inlineStr">
        <is>
          <t>Built</t>
        </is>
      </c>
      <c r="F472" s="12" t="inlineStr"/>
      <c r="G472" s="12" t="inlineStr">
        <is>
          <t>6.03</t>
        </is>
      </c>
      <c r="H472" s="12" t="inlineStr"/>
      <c r="I472" s="17" t="n"/>
      <c r="J472" s="17" t="n"/>
    </row>
    <row r="473">
      <c r="A473" s="12" t="inlineStr">
        <is>
          <t>Quote editor</t>
        </is>
      </c>
      <c r="B473" s="12" t="inlineStr">
        <is>
          <t>QF-04</t>
        </is>
      </c>
      <c r="C473" s="12" t="inlineStr">
        <is>
          <t>The frame</t>
        </is>
      </c>
      <c r="D473" s="14" t="inlineStr">
        <is>
          <t>Close, discard and unsaved-changes prompts</t>
        </is>
      </c>
      <c r="E473" s="14" t="inlineStr">
        <is>
          <t>Built</t>
        </is>
      </c>
      <c r="F473" s="12" t="inlineStr">
        <is>
          <t>Nothing waits unsaved; Close returns where you came from</t>
        </is>
      </c>
      <c r="G473" s="12" t="inlineStr"/>
      <c r="H473" s="28" t="inlineStr">
        <is>
          <t>Team check</t>
        </is>
      </c>
      <c r="I473" s="17" t="n"/>
      <c r="J473" s="17" t="n"/>
    </row>
    <row r="474">
      <c r="A474" s="12" t="inlineStr">
        <is>
          <t>Quote editor</t>
        </is>
      </c>
      <c r="B474" s="12" t="inlineStr">
        <is>
          <t>QF-05</t>
        </is>
      </c>
      <c r="C474" s="12" t="inlineStr">
        <is>
          <t>The frame</t>
        </is>
      </c>
      <c r="D474" s="14" t="inlineStr">
        <is>
          <t>Side panels beside the lines</t>
        </is>
      </c>
      <c r="E474" s="14" t="inlineStr">
        <is>
          <t>Built</t>
        </is>
      </c>
      <c r="F474" s="12" t="inlineStr"/>
      <c r="G474" s="12" t="inlineStr">
        <is>
          <t>6.24</t>
        </is>
      </c>
      <c r="H474" s="12" t="inlineStr"/>
      <c r="I474" s="17" t="n"/>
      <c r="J474" s="17" t="n"/>
    </row>
    <row r="475">
      <c r="A475" s="12" t="inlineStr">
        <is>
          <t>Quote editor</t>
        </is>
      </c>
      <c r="B475" s="12" t="inlineStr">
        <is>
          <t>QF-06</t>
        </is>
      </c>
      <c r="C475" s="12" t="inlineStr">
        <is>
          <t>The frame</t>
        </is>
      </c>
      <c r="D475" s="14" t="inlineStr">
        <is>
          <t>Header with name, number, status and tools</t>
        </is>
      </c>
      <c r="E475" s="14" t="inlineStr">
        <is>
          <t>Built</t>
        </is>
      </c>
      <c r="F475" s="12" t="inlineStr"/>
      <c r="G475" s="12" t="inlineStr">
        <is>
          <t>6.03</t>
        </is>
      </c>
      <c r="H475" s="12" t="inlineStr"/>
      <c r="I475" s="17" t="n"/>
      <c r="J475" s="17" t="n"/>
    </row>
    <row r="476">
      <c r="A476" s="12" t="inlineStr">
        <is>
          <t>Quote editor</t>
        </is>
      </c>
      <c r="B476" s="12" t="inlineStr">
        <is>
          <t>QF-07</t>
        </is>
      </c>
      <c r="C476" s="12" t="inlineStr">
        <is>
          <t>The frame</t>
        </is>
      </c>
      <c r="D476" s="14" t="inlineStr">
        <is>
          <t>Items and Layout tabs per quote</t>
        </is>
      </c>
      <c r="E476" s="14" t="inlineStr">
        <is>
          <t>Built</t>
        </is>
      </c>
      <c r="F476" s="12" t="inlineStr">
        <is>
          <t>The template is edited from the quote</t>
        </is>
      </c>
      <c r="G476" s="12" t="inlineStr"/>
      <c r="H476" s="28" t="inlineStr">
        <is>
          <t>Team check</t>
        </is>
      </c>
      <c r="I476" s="17" t="n"/>
      <c r="J476" s="17" t="n"/>
    </row>
    <row r="477">
      <c r="A477" s="12" t="inlineStr">
        <is>
          <t>Quote editor</t>
        </is>
      </c>
      <c r="B477" s="12" t="inlineStr">
        <is>
          <t>QF-08</t>
        </is>
      </c>
      <c r="C477" s="12" t="inlineStr">
        <is>
          <t>The frame</t>
        </is>
      </c>
      <c r="D477" s="14" t="inlineStr">
        <is>
          <t>Document info: IC, customer ID, valid until, ref</t>
        </is>
      </c>
      <c r="E477" s="14" t="inlineStr">
        <is>
          <t>Built</t>
        </is>
      </c>
      <c r="F477" s="12" t="inlineStr"/>
      <c r="G477" s="12" t="inlineStr">
        <is>
          <t>6.02</t>
        </is>
      </c>
      <c r="H477" s="12" t="inlineStr"/>
      <c r="I477" s="17" t="n"/>
      <c r="J477" s="17" t="n"/>
    </row>
    <row r="478">
      <c r="A478" s="12" t="inlineStr">
        <is>
          <t>Quote editor</t>
        </is>
      </c>
      <c r="B478" s="12" t="inlineStr">
        <is>
          <t>QF-09</t>
        </is>
      </c>
      <c r="C478" s="12" t="inlineStr">
        <is>
          <t>The frame</t>
        </is>
      </c>
      <c r="D478" s="14" t="inlineStr">
        <is>
          <t>Read-only quote by status</t>
        </is>
      </c>
      <c r="E478" s="14" t="inlineStr">
        <is>
          <t>Built in parity round 2</t>
        </is>
      </c>
      <c r="F478" s="12" t="inlineStr">
        <is>
          <t>No lock by design; banner with Revise (Q-04)</t>
        </is>
      </c>
      <c r="G478" s="12" t="inlineStr">
        <is>
          <t>6.28</t>
        </is>
      </c>
      <c r="H478" s="12" t="inlineStr"/>
      <c r="I478" s="17" t="n"/>
      <c r="J478" s="17" t="n"/>
    </row>
    <row r="479">
      <c r="A479" s="12" t="inlineStr">
        <is>
          <t>Quote editor</t>
        </is>
      </c>
      <c r="B479" s="12" t="inlineStr">
        <is>
          <t>QF-10</t>
        </is>
      </c>
      <c r="C479" s="12" t="inlineStr">
        <is>
          <t>The frame</t>
        </is>
      </c>
      <c r="D479" s="14" t="inlineStr">
        <is>
          <t>Variation order mode</t>
        </is>
      </c>
      <c r="E479" s="14" t="inlineStr">
        <is>
          <t>Later</t>
        </is>
      </c>
      <c r="F479" s="12" t="inlineStr">
        <is>
          <t>Projects and Finance (Q-05)</t>
        </is>
      </c>
      <c r="G479" s="12" t="inlineStr"/>
      <c r="H479" s="12" t="inlineStr"/>
      <c r="I479" s="17" t="n"/>
      <c r="J479" s="17" t="n"/>
    </row>
    <row r="480">
      <c r="A480" s="12" t="inlineStr">
        <is>
          <t>Quote editor</t>
        </is>
      </c>
      <c r="B480" s="12" t="inlineStr">
        <is>
          <t>QL-01</t>
        </is>
      </c>
      <c r="C480" s="12" t="inlineStr">
        <is>
          <t>The grid and its lines</t>
        </is>
      </c>
      <c r="D480" s="14" t="inlineStr">
        <is>
          <t>One grid for the quote’s lines</t>
        </is>
      </c>
      <c r="E480" s="14" t="inlineStr">
        <is>
          <t>Built</t>
        </is>
      </c>
      <c r="F480" s="12" t="inlineStr"/>
      <c r="G480" s="12" t="inlineStr">
        <is>
          <t>12.08</t>
        </is>
      </c>
      <c r="H480" s="12" t="inlineStr"/>
      <c r="I480" s="17" t="n"/>
      <c r="J480" s="17" t="n"/>
    </row>
    <row r="481">
      <c r="A481" s="12" t="inlineStr">
        <is>
          <t>Quote editor</t>
        </is>
      </c>
      <c r="B481" s="12" t="inlineStr">
        <is>
          <t>QL-02</t>
        </is>
      </c>
      <c r="C481" s="12" t="inlineStr">
        <is>
          <t>The grid and its lines</t>
        </is>
      </c>
      <c r="D481" s="14" t="inlineStr">
        <is>
          <t>Columns shown or hidden; client columns marked</t>
        </is>
      </c>
      <c r="E481" s="14" t="inlineStr">
        <is>
          <t>Built</t>
        </is>
      </c>
      <c r="F481" s="12" t="inlineStr"/>
      <c r="G481" s="12" t="inlineStr">
        <is>
          <t>6.16</t>
        </is>
      </c>
      <c r="H481" s="12" t="inlineStr"/>
      <c r="I481" s="17" t="n"/>
      <c r="J481" s="17" t="n"/>
    </row>
    <row r="482">
      <c r="A482" s="12" t="inlineStr">
        <is>
          <t>Quote editor</t>
        </is>
      </c>
      <c r="B482" s="12" t="inlineStr">
        <is>
          <t>QL-03</t>
        </is>
      </c>
      <c r="C482" s="12" t="inlineStr">
        <is>
          <t>The grid and its lines</t>
        </is>
      </c>
      <c r="D482" s="14" t="inlineStr">
        <is>
          <t>Line numbering and typed line refs</t>
        </is>
      </c>
      <c r="E482" s="14" t="inlineStr">
        <is>
          <t>Built</t>
        </is>
      </c>
      <c r="F482" s="12" t="inlineStr">
        <is>
          <t>Numbering from the template; typed refs not kept</t>
        </is>
      </c>
      <c r="G482" s="12" t="inlineStr"/>
      <c r="H482" s="28" t="inlineStr">
        <is>
          <t>Team check</t>
        </is>
      </c>
      <c r="I482" s="17" t="n"/>
      <c r="J482" s="17" t="n"/>
    </row>
    <row r="483">
      <c r="A483" s="12" t="inlineStr">
        <is>
          <t>Quote editor</t>
        </is>
      </c>
      <c r="B483" s="12" t="inlineStr">
        <is>
          <t>QL-04</t>
        </is>
      </c>
      <c r="C483" s="12" t="inlineStr">
        <is>
          <t>The grid and its lines</t>
        </is>
      </c>
      <c r="D483" s="14" t="inlineStr">
        <is>
          <t>Line name and rich description</t>
        </is>
      </c>
      <c r="E483" s="14" t="inlineStr">
        <is>
          <t>Built</t>
        </is>
      </c>
      <c r="F483" s="12" t="inlineStr"/>
      <c r="G483" s="12" t="inlineStr"/>
      <c r="H483" s="28" t="inlineStr">
        <is>
          <t>Team check</t>
        </is>
      </c>
      <c r="I483" s="17" t="n"/>
      <c r="J483" s="17" t="n"/>
    </row>
    <row r="484">
      <c r="A484" s="12" t="inlineStr">
        <is>
          <t>Quote editor</t>
        </is>
      </c>
      <c r="B484" s="12" t="inlineStr">
        <is>
          <t>QL-05</t>
        </is>
      </c>
      <c r="C484" s="12" t="inlineStr">
        <is>
          <t>The grid and its lines</t>
        </is>
      </c>
      <c r="D484" s="14" t="inlineStr">
        <is>
          <t>Editable price, qty, unit, cost and markup cells</t>
        </is>
      </c>
      <c r="E484" s="14" t="inlineStr">
        <is>
          <t>Built</t>
        </is>
      </c>
      <c r="F484" s="12" t="inlineStr"/>
      <c r="G484" s="12" t="inlineStr">
        <is>
          <t>6.07, 6.08</t>
        </is>
      </c>
      <c r="H484" s="12" t="inlineStr"/>
      <c r="I484" s="17" t="n"/>
      <c r="J484" s="17" t="n"/>
    </row>
    <row r="485">
      <c r="A485" s="12" t="inlineStr">
        <is>
          <t>Quote editor</t>
        </is>
      </c>
      <c r="B485" s="12" t="inlineStr">
        <is>
          <t>QL-06</t>
        </is>
      </c>
      <c r="C485" s="12" t="inlineStr">
        <is>
          <t>The grid and its lines</t>
        </is>
      </c>
      <c r="D485" s="14" t="inlineStr">
        <is>
          <t>Internal notes, SKU and custom columns per line</t>
        </is>
      </c>
      <c r="E485" s="14" t="inlineStr">
        <is>
          <t>Built in parity round 5</t>
        </is>
      </c>
      <c r="F485" s="12" t="inlineStr">
        <is>
          <t>Notes became line comments; SKU not drawn</t>
        </is>
      </c>
      <c r="G485" s="12" t="inlineStr">
        <is>
          <t>6.27</t>
        </is>
      </c>
      <c r="H485" s="12" t="inlineStr"/>
      <c r="I485" s="17" t="n"/>
      <c r="J485" s="17" t="n"/>
    </row>
    <row r="486">
      <c r="A486" s="12" t="inlineStr">
        <is>
          <t>Quote editor</t>
        </is>
      </c>
      <c r="B486" s="12" t="inlineStr">
        <is>
          <t>QL-07</t>
        </is>
      </c>
      <c r="C486" s="12" t="inlineStr">
        <is>
          <t>The grid and its lines</t>
        </is>
      </c>
      <c r="D486" s="14" t="inlineStr">
        <is>
          <t>A spec or product link per line</t>
        </is>
      </c>
      <c r="E486" s="14" t="inlineStr">
        <is>
          <t>Built in parity round 1</t>
        </is>
      </c>
      <c r="F486" s="12" t="inlineStr"/>
      <c r="G486" s="12" t="inlineStr">
        <is>
          <t>6.16</t>
        </is>
      </c>
      <c r="H486" s="12" t="inlineStr"/>
      <c r="I486" s="17" t="n"/>
      <c r="J486" s="17" t="n"/>
    </row>
    <row r="487">
      <c r="A487" s="12" t="inlineStr">
        <is>
          <t>Quote editor</t>
        </is>
      </c>
      <c r="B487" s="12" t="inlineStr">
        <is>
          <t>QL-08</t>
        </is>
      </c>
      <c r="C487" s="12" t="inlineStr">
        <is>
          <t>The grid and its lines</t>
        </is>
      </c>
      <c r="D487" s="14" t="inlineStr">
        <is>
          <t>A vendor per line</t>
        </is>
      </c>
      <c r="E487" s="14" t="inlineStr">
        <is>
          <t>Built in parity round 1</t>
        </is>
      </c>
      <c r="F487" s="12" t="inlineStr"/>
      <c r="G487" s="12" t="inlineStr">
        <is>
          <t>6.16</t>
        </is>
      </c>
      <c r="H487" s="12" t="inlineStr"/>
      <c r="I487" s="17" t="n"/>
      <c r="J487" s="17" t="n"/>
    </row>
    <row r="488">
      <c r="A488" s="12" t="inlineStr">
        <is>
          <t>Quote editor</t>
        </is>
      </c>
      <c r="B488" s="12" t="inlineStr">
        <is>
          <t>QL-09</t>
        </is>
      </c>
      <c r="C488" s="12" t="inlineStr">
        <is>
          <t>The grid and its lines</t>
        </is>
      </c>
      <c r="D488" s="14" t="inlineStr">
        <is>
          <t>Row actions, sort and search</t>
        </is>
      </c>
      <c r="E488" s="14" t="inlineStr">
        <is>
          <t>Built</t>
        </is>
      </c>
      <c r="F488" s="12" t="inlineStr">
        <is>
          <t>Sort by column head stays held</t>
        </is>
      </c>
      <c r="G488" s="12" t="inlineStr"/>
      <c r="H488" s="28" t="inlineStr">
        <is>
          <t>Team check</t>
        </is>
      </c>
      <c r="I488" s="17" t="n"/>
      <c r="J488" s="17" t="n"/>
    </row>
    <row r="489">
      <c r="A489" s="12" t="inlineStr">
        <is>
          <t>Quote editor</t>
        </is>
      </c>
      <c r="B489" s="12" t="inlineStr">
        <is>
          <t>QL-10</t>
        </is>
      </c>
      <c r="C489" s="12" t="inlineStr">
        <is>
          <t>The grid and its lines</t>
        </is>
      </c>
      <c r="D489" s="14" t="inlineStr">
        <is>
          <t>Section chips and an unpriced-rows navigator</t>
        </is>
      </c>
      <c r="E489" s="14" t="inlineStr">
        <is>
          <t>Built</t>
        </is>
      </c>
      <c r="F489" s="12" t="inlineStr">
        <is>
          <t>Navigator not added; the sum row instead</t>
        </is>
      </c>
      <c r="G489" s="12" t="inlineStr"/>
      <c r="H489" s="28" t="inlineStr">
        <is>
          <t>Team check</t>
        </is>
      </c>
      <c r="I489" s="17" t="n"/>
      <c r="J489" s="17" t="n"/>
    </row>
    <row r="490">
      <c r="A490" s="12" t="inlineStr">
        <is>
          <t>Quote editor</t>
        </is>
      </c>
      <c r="B490" s="12" t="inlineStr">
        <is>
          <t>QL-11</t>
        </is>
      </c>
      <c r="C490" s="12" t="inlineStr">
        <is>
          <t>The grid and its lines</t>
        </is>
      </c>
      <c r="D490" s="14" t="inlineStr">
        <is>
          <t>Keyboard, copy / paste, fill, undo, drag</t>
        </is>
      </c>
      <c r="E490" s="14" t="inlineStr">
        <is>
          <t>Built</t>
        </is>
      </c>
      <c r="F490" s="12" t="inlineStr"/>
      <c r="G490" s="12" t="inlineStr">
        <is>
          <t>6.07, 6.08, 6.09, 6.15</t>
        </is>
      </c>
      <c r="H490" s="12" t="inlineStr"/>
      <c r="I490" s="17" t="n"/>
      <c r="J490" s="17" t="n"/>
    </row>
    <row r="491">
      <c r="A491" s="12" t="inlineStr">
        <is>
          <t>Quote editor</t>
        </is>
      </c>
      <c r="B491" s="12" t="inlineStr">
        <is>
          <t>QL-12</t>
        </is>
      </c>
      <c r="C491" s="12" t="inlineStr">
        <is>
          <t>The grid and its lines</t>
        </is>
      </c>
      <c r="D491" s="14" t="inlineStr">
        <is>
          <t>What a line holds</t>
        </is>
      </c>
      <c r="E491" s="14" t="inlineStr">
        <is>
          <t>Built</t>
        </is>
      </c>
      <c r="F491" s="12" t="inlineStr"/>
      <c r="G491" s="12" t="inlineStr">
        <is>
          <t>6.05</t>
        </is>
      </c>
      <c r="H491" s="12" t="inlineStr"/>
      <c r="I491" s="17" t="n"/>
      <c r="J491" s="17" t="n"/>
    </row>
    <row r="492">
      <c r="A492" s="12" t="inlineStr">
        <is>
          <t>Quote editor</t>
        </is>
      </c>
      <c r="B492" s="12" t="inlineStr">
        <is>
          <t>QL-13</t>
        </is>
      </c>
      <c r="C492" s="12" t="inlineStr">
        <is>
          <t>The grid and its lines</t>
        </is>
      </c>
      <c r="D492" s="14" t="inlineStr">
        <is>
          <t>Price types, including By client</t>
        </is>
      </c>
      <c r="E492" s="14" t="inlineStr">
        <is>
          <t>Built in parity round 1</t>
        </is>
      </c>
      <c r="F492" s="12" t="inlineStr"/>
      <c r="G492" s="12" t="inlineStr">
        <is>
          <t>6.12</t>
        </is>
      </c>
      <c r="H492" s="12" t="inlineStr"/>
      <c r="I492" s="17" t="n"/>
      <c r="J492" s="17" t="n"/>
    </row>
    <row r="493">
      <c r="A493" s="12" t="inlineStr">
        <is>
          <t>Quote editor</t>
        </is>
      </c>
      <c r="B493" s="12" t="inlineStr">
        <is>
          <t>QL-14</t>
        </is>
      </c>
      <c r="C493" s="12" t="inlineStr">
        <is>
          <t>The grid and its lines</t>
        </is>
      </c>
      <c r="D493" s="14" t="inlineStr">
        <is>
          <t>A lump-sum line pricing its whole section</t>
        </is>
      </c>
      <c r="E493" s="14" t="inlineStr">
        <is>
          <t>Not built — by design</t>
        </is>
      </c>
      <c r="F493" s="12" t="inlineStr">
        <is>
          <t>Print as one line folds a section (Q-15)</t>
        </is>
      </c>
      <c r="G493" s="12" t="inlineStr"/>
      <c r="H493" s="12" t="inlineStr"/>
      <c r="I493" s="17" t="n"/>
      <c r="J493" s="17" t="n"/>
    </row>
    <row r="494">
      <c r="A494" s="12" t="inlineStr">
        <is>
          <t>Quote editor</t>
        </is>
      </c>
      <c r="B494" s="12" t="inlineStr">
        <is>
          <t>QL-15</t>
        </is>
      </c>
      <c r="C494" s="12" t="inlineStr">
        <is>
          <t>The grid and its lines</t>
        </is>
      </c>
      <c r="D494" s="14" t="inlineStr">
        <is>
          <t>The studio’s own words in place of an amount</t>
        </is>
      </c>
      <c r="E494" s="14" t="inlineStr">
        <is>
          <t>Built</t>
        </is>
      </c>
      <c r="F494" s="12" t="inlineStr"/>
      <c r="G494" s="12" t="inlineStr">
        <is>
          <t>6.12</t>
        </is>
      </c>
      <c r="H494" s="12" t="inlineStr"/>
      <c r="I494" s="17" t="n"/>
      <c r="J494" s="17" t="n"/>
    </row>
    <row r="495">
      <c r="A495" s="12" t="inlineStr">
        <is>
          <t>Quote editor</t>
        </is>
      </c>
      <c r="B495" s="12" t="inlineStr">
        <is>
          <t>QL-16</t>
        </is>
      </c>
      <c r="C495" s="12" t="inlineStr">
        <is>
          <t>The grid and its lines</t>
        </is>
      </c>
      <c r="D495" s="14" t="inlineStr">
        <is>
          <t>Optional lines</t>
        </is>
      </c>
      <c r="E495" s="14" t="inlineStr">
        <is>
          <t>Built</t>
        </is>
      </c>
      <c r="F495" s="12" t="inlineStr">
        <is>
          <t>Always out of the totals</t>
        </is>
      </c>
      <c r="G495" s="12" t="inlineStr">
        <is>
          <t>6.14</t>
        </is>
      </c>
      <c r="H495" s="12" t="inlineStr"/>
      <c r="I495" s="17" t="n"/>
      <c r="J495" s="17" t="n"/>
    </row>
    <row r="496">
      <c r="A496" s="12" t="inlineStr">
        <is>
          <t>Quote editor</t>
        </is>
      </c>
      <c r="B496" s="12" t="inlineStr">
        <is>
          <t>QL-17</t>
        </is>
      </c>
      <c r="C496" s="12" t="inlineStr">
        <is>
          <t>The grid and its lines</t>
        </is>
      </c>
      <c r="D496" s="14" t="inlineStr">
        <is>
          <t>Omission lines in a variation order</t>
        </is>
      </c>
      <c r="E496" s="14" t="inlineStr">
        <is>
          <t>Later</t>
        </is>
      </c>
      <c r="F496" s="12" t="inlineStr">
        <is>
          <t>Projects and Finance (Q-05)</t>
        </is>
      </c>
      <c r="G496" s="12" t="inlineStr"/>
      <c r="H496" s="12" t="inlineStr"/>
      <c r="I496" s="17" t="n"/>
      <c r="J496" s="17" t="n"/>
    </row>
    <row r="497">
      <c r="A497" s="12" t="inlineStr">
        <is>
          <t>Quote editor</t>
        </is>
      </c>
      <c r="B497" s="12" t="inlineStr">
        <is>
          <t>QL-18</t>
        </is>
      </c>
      <c r="C497" s="12" t="inlineStr">
        <is>
          <t>The grid and its lines</t>
        </is>
      </c>
      <c r="D497" s="14" t="inlineStr">
        <is>
          <t>Highlight and text colour on a line</t>
        </is>
      </c>
      <c r="E497" s="14" t="inlineStr">
        <is>
          <t>Built</t>
        </is>
      </c>
      <c r="F497" s="12" t="inlineStr"/>
      <c r="G497" s="12" t="inlineStr">
        <is>
          <t>6.13</t>
        </is>
      </c>
      <c r="H497" s="12" t="inlineStr"/>
      <c r="I497" s="17" t="n"/>
      <c r="J497" s="17" t="n"/>
    </row>
    <row r="498">
      <c r="A498" s="12" t="inlineStr">
        <is>
          <t>Quote editor</t>
        </is>
      </c>
      <c r="B498" s="12" t="inlineStr">
        <is>
          <t>QL-19</t>
        </is>
      </c>
      <c r="C498" s="12" t="inlineStr">
        <is>
          <t>The grid and its lines</t>
        </is>
      </c>
      <c r="D498" s="14" t="inlineStr">
        <is>
          <t>One image per line</t>
        </is>
      </c>
      <c r="E498" s="14" t="inlineStr">
        <is>
          <t>Built</t>
        </is>
      </c>
      <c r="F498" s="12" t="inlineStr"/>
      <c r="G498" s="12" t="inlineStr"/>
      <c r="H498" s="28" t="inlineStr">
        <is>
          <t>Team check</t>
        </is>
      </c>
      <c r="I498" s="17" t="n"/>
      <c r="J498" s="17" t="n"/>
    </row>
    <row r="499">
      <c r="A499" s="12" t="inlineStr">
        <is>
          <t>Quote editor</t>
        </is>
      </c>
      <c r="B499" s="12" t="inlineStr">
        <is>
          <t>QL-20</t>
        </is>
      </c>
      <c r="C499" s="12" t="inlineStr">
        <is>
          <t>The grid and its lines</t>
        </is>
      </c>
      <c r="D499" s="14" t="inlineStr">
        <is>
          <t>A line knows its price-book item</t>
        </is>
      </c>
      <c r="E499" s="14" t="inlineStr">
        <is>
          <t>Built</t>
        </is>
      </c>
      <c r="F499" s="12" t="inlineStr"/>
      <c r="G499" s="12" t="inlineStr">
        <is>
          <t>6.05</t>
        </is>
      </c>
      <c r="H499" s="12" t="inlineStr"/>
      <c r="I499" s="17" t="n"/>
      <c r="J499" s="17" t="n"/>
    </row>
    <row r="500">
      <c r="A500" s="12" t="inlineStr">
        <is>
          <t>Quote editor</t>
        </is>
      </c>
      <c r="B500" s="12" t="inlineStr">
        <is>
          <t>QL-21</t>
        </is>
      </c>
      <c r="C500" s="12" t="inlineStr">
        <is>
          <t>The grid and its lines</t>
        </is>
      </c>
      <c r="D500" s="14" t="inlineStr">
        <is>
          <t>Tax rate per line</t>
        </is>
      </c>
      <c r="E500" s="14" t="inlineStr">
        <is>
          <t>Not built — by design</t>
        </is>
      </c>
      <c r="F500" s="12" t="inlineStr">
        <is>
          <t>GST per quote and issuing entity (Q-12)</t>
        </is>
      </c>
      <c r="G500" s="12" t="inlineStr"/>
      <c r="H500" s="12" t="inlineStr"/>
      <c r="I500" s="17" t="n"/>
      <c r="J500" s="17" t="n"/>
    </row>
    <row r="501">
      <c r="A501" s="12" t="inlineStr">
        <is>
          <t>Quote editor</t>
        </is>
      </c>
      <c r="B501" s="12" t="inlineStr">
        <is>
          <t>QL-22</t>
        </is>
      </c>
      <c r="C501" s="12" t="inlineStr">
        <is>
          <t>The grid and its lines</t>
        </is>
      </c>
      <c r="D501" s="14" t="inlineStr">
        <is>
          <t>Comment threads on a line</t>
        </is>
      </c>
      <c r="E501" s="14" t="inlineStr">
        <is>
          <t>Built in parity round 5</t>
        </is>
      </c>
      <c r="F501" s="12" t="inlineStr"/>
      <c r="G501" s="12" t="inlineStr">
        <is>
          <t>6.27</t>
        </is>
      </c>
      <c r="H501" s="12" t="inlineStr"/>
      <c r="I501" s="17" t="n"/>
      <c r="J501" s="17" t="n"/>
    </row>
    <row r="502">
      <c r="A502" s="12" t="inlineStr">
        <is>
          <t>Quote editor</t>
        </is>
      </c>
      <c r="B502" s="12" t="inlineStr">
        <is>
          <t>QL-23</t>
        </is>
      </c>
      <c r="C502" s="12" t="inlineStr">
        <is>
          <t>The grid and its lines</t>
        </is>
      </c>
      <c r="D502" s="14" t="inlineStr">
        <is>
          <t>Badges showing where a line came from</t>
        </is>
      </c>
      <c r="E502" s="14" t="inlineStr">
        <is>
          <t>Not built — by design</t>
        </is>
      </c>
      <c r="F502" s="12" t="inlineStr">
        <is>
          <t>Not proposed</t>
        </is>
      </c>
      <c r="G502" s="12" t="inlineStr"/>
      <c r="H502" s="12" t="inlineStr"/>
      <c r="I502" s="17" t="n"/>
      <c r="J502" s="17" t="n"/>
    </row>
    <row r="503">
      <c r="A503" s="12" t="inlineStr">
        <is>
          <t>Quote editor</t>
        </is>
      </c>
      <c r="B503" s="12" t="inlineStr">
        <is>
          <t>QL-24</t>
        </is>
      </c>
      <c r="C503" s="12" t="inlineStr">
        <is>
          <t>The grid and its lines</t>
        </is>
      </c>
      <c r="D503" s="14" t="inlineStr">
        <is>
          <t>Package tier, benchmark and confidence per line</t>
        </is>
      </c>
      <c r="E503" s="14" t="inlineStr">
        <is>
          <t>Dead</t>
        </is>
      </c>
      <c r="F503" s="12" t="inlineStr">
        <is>
          <t>Stored in 1.0, never shown</t>
        </is>
      </c>
      <c r="G503" s="12" t="inlineStr"/>
      <c r="H503" s="12" t="inlineStr"/>
      <c r="I503" s="17" t="n"/>
      <c r="J503" s="17" t="n"/>
    </row>
    <row r="504">
      <c r="A504" s="12" t="inlineStr">
        <is>
          <t>Quote editor</t>
        </is>
      </c>
      <c r="B504" s="12" t="inlineStr">
        <is>
          <t>QL-25</t>
        </is>
      </c>
      <c r="C504" s="12" t="inlineStr">
        <is>
          <t>The grid and its lines</t>
        </is>
      </c>
      <c r="D504" s="14" t="inlineStr">
        <is>
          <t>A side panel to add or edit a line</t>
        </is>
      </c>
      <c r="E504" s="14" t="inlineStr">
        <is>
          <t>Built</t>
        </is>
      </c>
      <c r="F504" s="12" t="inlineStr">
        <is>
          <t>Edited in the table; a sheet on a phone</t>
        </is>
      </c>
      <c r="G504" s="12" t="inlineStr">
        <is>
          <t>12.08</t>
        </is>
      </c>
      <c r="H504" s="12" t="inlineStr"/>
      <c r="I504" s="17" t="n"/>
      <c r="J504" s="17" t="n"/>
    </row>
    <row r="505">
      <c r="A505" s="12" t="inlineStr">
        <is>
          <t>Quote editor</t>
        </is>
      </c>
      <c r="B505" s="12" t="inlineStr">
        <is>
          <t>QL-26</t>
        </is>
      </c>
      <c r="C505" s="12" t="inlineStr">
        <is>
          <t>The grid and its lines</t>
        </is>
      </c>
      <c r="D505" s="14" t="inlineStr">
        <is>
          <t>Duplicate and delete lines and sections</t>
        </is>
      </c>
      <c r="E505" s="14" t="inlineStr">
        <is>
          <t>Built</t>
        </is>
      </c>
      <c r="F505" s="12" t="inlineStr"/>
      <c r="G505" s="12" t="inlineStr"/>
      <c r="H505" s="28" t="inlineStr">
        <is>
          <t>Team check</t>
        </is>
      </c>
      <c r="I505" s="17" t="n"/>
      <c r="J505" s="17" t="n"/>
    </row>
    <row r="506">
      <c r="A506" s="12" t="inlineStr">
        <is>
          <t>Quote editor</t>
        </is>
      </c>
      <c r="B506" s="12" t="inlineStr">
        <is>
          <t>QL-27</t>
        </is>
      </c>
      <c r="C506" s="12" t="inlineStr">
        <is>
          <t>The grid and its lines</t>
        </is>
      </c>
      <c r="D506" s="14" t="inlineStr">
        <is>
          <t>Waste % per line</t>
        </is>
      </c>
      <c r="E506" s="14" t="inlineStr">
        <is>
          <t>Not built — by design</t>
        </is>
      </c>
      <c r="F506" s="12" t="inlineStr">
        <is>
          <t>Put the waste in the quantity (Q-10)</t>
        </is>
      </c>
      <c r="G506" s="12" t="inlineStr"/>
      <c r="H506" s="12" t="inlineStr"/>
      <c r="I506" s="17" t="n"/>
      <c r="J506" s="17" t="n"/>
    </row>
    <row r="507">
      <c r="A507" s="12" t="inlineStr">
        <is>
          <t>Quote editor</t>
        </is>
      </c>
      <c r="B507" s="12" t="inlineStr">
        <is>
          <t>QS-01</t>
        </is>
      </c>
      <c r="C507" s="12" t="inlineStr">
        <is>
          <t>Sections</t>
        </is>
      </c>
      <c r="D507" s="14" t="inlineStr">
        <is>
          <t>The list of sections</t>
        </is>
      </c>
      <c r="E507" s="14" t="inlineStr">
        <is>
          <t>Built</t>
        </is>
      </c>
      <c r="F507" s="12" t="inlineStr"/>
      <c r="G507" s="12" t="inlineStr">
        <is>
          <t>6.10</t>
        </is>
      </c>
      <c r="H507" s="12" t="inlineStr"/>
      <c r="I507" s="17" t="n"/>
      <c r="J507" s="17" t="n"/>
    </row>
    <row r="508">
      <c r="A508" s="12" t="inlineStr">
        <is>
          <t>Quote editor</t>
        </is>
      </c>
      <c r="B508" s="12" t="inlineStr">
        <is>
          <t>QS-02</t>
        </is>
      </c>
      <c r="C508" s="12" t="inlineStr">
        <is>
          <t>Sections</t>
        </is>
      </c>
      <c r="D508" s="14" t="inlineStr">
        <is>
          <t>Add and rename sections</t>
        </is>
      </c>
      <c r="E508" s="14" t="inlineStr">
        <is>
          <t>Built</t>
        </is>
      </c>
      <c r="F508" s="12" t="inlineStr">
        <is>
          <t>Per quote — a rename never touches other quotes</t>
        </is>
      </c>
      <c r="G508" s="12" t="inlineStr">
        <is>
          <t>6.10</t>
        </is>
      </c>
      <c r="H508" s="12" t="inlineStr"/>
      <c r="I508" s="17" t="n"/>
      <c r="J508" s="17" t="n"/>
    </row>
    <row r="509">
      <c r="A509" s="12" t="inlineStr">
        <is>
          <t>Quote editor</t>
        </is>
      </c>
      <c r="B509" s="12" t="inlineStr">
        <is>
          <t>QS-03</t>
        </is>
      </c>
      <c r="C509" s="12" t="inlineStr">
        <is>
          <t>Sections</t>
        </is>
      </c>
      <c r="D509" s="14" t="inlineStr">
        <is>
          <t>Section and sub-section notes</t>
        </is>
      </c>
      <c r="E509" s="14" t="inlineStr">
        <is>
          <t>Built</t>
        </is>
      </c>
      <c r="F509" s="12" t="inlineStr"/>
      <c r="G509" s="12" t="inlineStr"/>
      <c r="H509" s="28" t="inlineStr">
        <is>
          <t>Team check</t>
        </is>
      </c>
      <c r="I509" s="17" t="n"/>
      <c r="J509" s="17" t="n"/>
    </row>
    <row r="510">
      <c r="A510" s="12" t="inlineStr">
        <is>
          <t>Quote editor</t>
        </is>
      </c>
      <c r="B510" s="12" t="inlineStr">
        <is>
          <t>QS-04</t>
        </is>
      </c>
      <c r="C510" s="12" t="inlineStr">
        <is>
          <t>Sections</t>
        </is>
      </c>
      <c r="D510" s="14" t="inlineStr">
        <is>
          <t>Sub-sections with their own total labels</t>
        </is>
      </c>
      <c r="E510" s="14" t="inlineStr">
        <is>
          <t>Built</t>
        </is>
      </c>
      <c r="F510" s="12" t="inlineStr"/>
      <c r="G510" s="12" t="inlineStr">
        <is>
          <t>6.11</t>
        </is>
      </c>
      <c r="H510" s="12" t="inlineStr"/>
      <c r="I510" s="17" t="n"/>
      <c r="J510" s="17" t="n"/>
    </row>
    <row r="511">
      <c r="A511" s="12" t="inlineStr">
        <is>
          <t>Quote editor</t>
        </is>
      </c>
      <c r="B511" s="12" t="inlineStr">
        <is>
          <t>QS-05</t>
        </is>
      </c>
      <c r="C511" s="12" t="inlineStr">
        <is>
          <t>Sections</t>
        </is>
      </c>
      <c r="D511" s="14" t="inlineStr">
        <is>
          <t>The studio’s category names</t>
        </is>
      </c>
      <c r="E511" s="14" t="inlineStr">
        <is>
          <t>Built</t>
        </is>
      </c>
      <c r="F511" s="12" t="inlineStr"/>
      <c r="G511" s="12" t="inlineStr">
        <is>
          <t>2.26</t>
        </is>
      </c>
      <c r="H511" s="12" t="inlineStr"/>
      <c r="I511" s="17" t="n"/>
      <c r="J511" s="17" t="n"/>
    </row>
    <row r="512">
      <c r="A512" s="12" t="inlineStr">
        <is>
          <t>Quote editor</t>
        </is>
      </c>
      <c r="B512" s="12" t="inlineStr">
        <is>
          <t>QS-06</t>
        </is>
      </c>
      <c r="C512" s="12" t="inlineStr">
        <is>
          <t>Sections</t>
        </is>
      </c>
      <c r="D512" s="14" t="inlineStr">
        <is>
          <t>Design blocks between sections</t>
        </is>
      </c>
      <c r="E512" s="14" t="inlineStr">
        <is>
          <t>Not built — by design</t>
        </is>
      </c>
      <c r="F512" s="12" t="inlineStr">
        <is>
          <t>Declined in the quote templates audit (Q-23)</t>
        </is>
      </c>
      <c r="G512" s="12" t="inlineStr"/>
      <c r="H512" s="12" t="inlineStr"/>
      <c r="I512" s="17" t="n"/>
      <c r="J512" s="17" t="n"/>
    </row>
    <row r="513">
      <c r="A513" s="12" t="inlineStr">
        <is>
          <t>Quote editor</t>
        </is>
      </c>
      <c r="B513" s="12" t="inlineStr">
        <is>
          <t>QS-07</t>
        </is>
      </c>
      <c r="C513" s="12" t="inlineStr">
        <is>
          <t>Sections</t>
        </is>
      </c>
      <c r="D513" s="14" t="inlineStr">
        <is>
          <t>Drag a section to move it</t>
        </is>
      </c>
      <c r="E513" s="14" t="inlineStr">
        <is>
          <t>Built</t>
        </is>
      </c>
      <c r="F513" s="12" t="inlineStr"/>
      <c r="G513" s="12" t="inlineStr">
        <is>
          <t>6.09</t>
        </is>
      </c>
      <c r="H513" s="12" t="inlineStr"/>
      <c r="I513" s="17" t="n"/>
      <c r="J513" s="17" t="n"/>
    </row>
    <row r="514">
      <c r="A514" s="12" t="inlineStr">
        <is>
          <t>Quote editor</t>
        </is>
      </c>
      <c r="B514" s="12" t="inlineStr">
        <is>
          <t>QM-01</t>
        </is>
      </c>
      <c r="C514" s="12" t="inlineStr">
        <is>
          <t>Money</t>
        </is>
      </c>
      <c r="D514" s="14" t="inlineStr">
        <is>
          <t>Line total rounding</t>
        </is>
      </c>
      <c r="E514" s="14" t="inlineStr">
        <is>
          <t>Built</t>
        </is>
      </c>
      <c r="F514" s="12" t="inlineStr"/>
      <c r="G514" s="12" t="inlineStr"/>
      <c r="H514" s="28" t="inlineStr">
        <is>
          <t>Team check</t>
        </is>
      </c>
      <c r="I514" s="17" t="n"/>
      <c r="J514" s="17" t="n"/>
    </row>
    <row r="515">
      <c r="A515" s="12" t="inlineStr">
        <is>
          <t>Quote editor</t>
        </is>
      </c>
      <c r="B515" s="12" t="inlineStr">
        <is>
          <t>QM-02</t>
        </is>
      </c>
      <c r="C515" s="12" t="inlineStr">
        <is>
          <t>Money</t>
        </is>
      </c>
      <c r="D515" s="14" t="inlineStr">
        <is>
          <t>Cost, markup and price working together</t>
        </is>
      </c>
      <c r="E515" s="14" t="inlineStr">
        <is>
          <t>Built</t>
        </is>
      </c>
      <c r="F515" s="12" t="inlineStr"/>
      <c r="G515" s="12" t="inlineStr">
        <is>
          <t>6.15</t>
        </is>
      </c>
      <c r="H515" s="12" t="inlineStr"/>
      <c r="I515" s="17" t="n"/>
      <c r="J515" s="17" t="n"/>
    </row>
    <row r="516">
      <c r="A516" s="12" t="inlineStr">
        <is>
          <t>Quote editor</t>
        </is>
      </c>
      <c r="B516" s="12" t="inlineStr">
        <is>
          <t>QM-03</t>
        </is>
      </c>
      <c r="C516" s="12" t="inlineStr">
        <is>
          <t>Money</t>
        </is>
      </c>
      <c r="D516" s="14" t="inlineStr">
        <is>
          <t>Repricing after paste or fill</t>
        </is>
      </c>
      <c r="E516" s="14" t="inlineStr">
        <is>
          <t>Built</t>
        </is>
      </c>
      <c r="F516" s="12" t="inlineStr"/>
      <c r="G516" s="12" t="inlineStr">
        <is>
          <t>6.07</t>
        </is>
      </c>
      <c r="H516" s="12" t="inlineStr"/>
      <c r="I516" s="17" t="n"/>
      <c r="J516" s="17" t="n"/>
    </row>
    <row r="517">
      <c r="A517" s="12" t="inlineStr">
        <is>
          <t>Quote editor</t>
        </is>
      </c>
      <c r="B517" s="12" t="inlineStr">
        <is>
          <t>QM-04</t>
        </is>
      </c>
      <c r="C517" s="12" t="inlineStr">
        <is>
          <t>Money</t>
        </is>
      </c>
      <c r="D517" s="14" t="inlineStr">
        <is>
          <t>Quote totals: lines, discounts, then GST</t>
        </is>
      </c>
      <c r="E517" s="14" t="inlineStr">
        <is>
          <t>Built</t>
        </is>
      </c>
      <c r="F517" s="12" t="inlineStr"/>
      <c r="G517" s="12" t="inlineStr">
        <is>
          <t>6.10, 6.17</t>
        </is>
      </c>
      <c r="H517" s="12" t="inlineStr"/>
      <c r="I517" s="17" t="n"/>
      <c r="J517" s="17" t="n"/>
    </row>
    <row r="518">
      <c r="A518" s="12" t="inlineStr">
        <is>
          <t>Quote editor</t>
        </is>
      </c>
      <c r="B518" s="12" t="inlineStr">
        <is>
          <t>QM-05</t>
        </is>
      </c>
      <c r="C518" s="12" t="inlineStr">
        <is>
          <t>Money</t>
        </is>
      </c>
      <c r="D518" s="14" t="inlineStr">
        <is>
          <t>Stored totals</t>
        </is>
      </c>
      <c r="E518" s="14" t="inlineStr">
        <is>
          <t>Built</t>
        </is>
      </c>
      <c r="F518" s="12" t="inlineStr">
        <is>
          <t>Derived from the lines, never stale</t>
        </is>
      </c>
      <c r="G518" s="12" t="inlineStr"/>
      <c r="H518" s="28" t="inlineStr">
        <is>
          <t>Team check</t>
        </is>
      </c>
      <c r="I518" s="17" t="n"/>
      <c r="J518" s="17" t="n"/>
    </row>
    <row r="519">
      <c r="A519" s="12" t="inlineStr">
        <is>
          <t>Quote editor</t>
        </is>
      </c>
      <c r="B519" s="12" t="inlineStr">
        <is>
          <t>QM-06</t>
        </is>
      </c>
      <c r="C519" s="12" t="inlineStr">
        <is>
          <t>Money</t>
        </is>
      </c>
      <c r="D519" s="14" t="inlineStr">
        <is>
          <t>Line discount in % or S$</t>
        </is>
      </c>
      <c r="E519" s="14" t="inlineStr">
        <is>
          <t>Not built — by design</t>
        </is>
      </c>
      <c r="F519" s="12" t="inlineStr">
        <is>
          <t>Only % per line; named discounts carry amounts (Q-11)</t>
        </is>
      </c>
      <c r="G519" s="12" t="inlineStr"/>
      <c r="H519" s="12" t="inlineStr"/>
      <c r="I519" s="17" t="n"/>
      <c r="J519" s="17" t="n"/>
    </row>
    <row r="520">
      <c r="A520" s="12" t="inlineStr">
        <is>
          <t>Quote editor</t>
        </is>
      </c>
      <c r="B520" s="12" t="inlineStr">
        <is>
          <t>QM-07</t>
        </is>
      </c>
      <c r="C520" s="12" t="inlineStr">
        <is>
          <t>Money</t>
        </is>
      </c>
      <c r="D520" s="14" t="inlineStr">
        <is>
          <t>Document discount</t>
        </is>
      </c>
      <c r="E520" s="14" t="inlineStr">
        <is>
          <t>Built</t>
        </is>
      </c>
      <c r="F520" s="12" t="inlineStr">
        <is>
          <t>Several named discounts per quote</t>
        </is>
      </c>
      <c r="G520" s="12" t="inlineStr">
        <is>
          <t>6.17</t>
        </is>
      </c>
      <c r="H520" s="12" t="inlineStr"/>
      <c r="I520" s="17" t="n"/>
      <c r="J520" s="17" t="n"/>
    </row>
    <row r="521">
      <c r="A521" s="12" t="inlineStr">
        <is>
          <t>Quote editor</t>
        </is>
      </c>
      <c r="B521" s="12" t="inlineStr">
        <is>
          <t>QM-08</t>
        </is>
      </c>
      <c r="C521" s="12" t="inlineStr">
        <is>
          <t>Money</t>
        </is>
      </c>
      <c r="D521" s="14" t="inlineStr">
        <is>
          <t>GST switch, rate and issuing entity</t>
        </is>
      </c>
      <c r="E521" s="14" t="inlineStr">
        <is>
          <t>Built</t>
        </is>
      </c>
      <c r="F521" s="12" t="inlineStr"/>
      <c r="G521" s="12" t="inlineStr">
        <is>
          <t>2.27, 6.17</t>
        </is>
      </c>
      <c r="H521" s="12" t="inlineStr"/>
      <c r="I521" s="17" t="n"/>
      <c r="J521" s="17" t="n"/>
    </row>
    <row r="522">
      <c r="A522" s="12" t="inlineStr">
        <is>
          <t>Quote editor</t>
        </is>
      </c>
      <c r="B522" s="12" t="inlineStr">
        <is>
          <t>QM-09</t>
        </is>
      </c>
      <c r="C522" s="12" t="inlineStr">
        <is>
          <t>Money</t>
        </is>
      </c>
      <c r="D522" s="14" t="inlineStr">
        <is>
          <t>Tax-inclusive line prices</t>
        </is>
      </c>
      <c r="E522" s="14" t="inlineStr">
        <is>
          <t>Later</t>
        </is>
      </c>
      <c r="F522" s="12" t="inlineStr">
        <is>
          <t>Held in the quote templates audit (Q-13)</t>
        </is>
      </c>
      <c r="G522" s="12" t="inlineStr"/>
      <c r="H522" s="12" t="inlineStr"/>
      <c r="I522" s="17" t="n"/>
      <c r="J522" s="17" t="n"/>
    </row>
    <row r="523">
      <c r="A523" s="12" t="inlineStr">
        <is>
          <t>Quote editor</t>
        </is>
      </c>
      <c r="B523" s="12" t="inlineStr">
        <is>
          <t>QM-10</t>
        </is>
      </c>
      <c r="C523" s="12" t="inlineStr">
        <is>
          <t>Money</t>
        </is>
      </c>
      <c r="D523" s="14" t="inlineStr">
        <is>
          <t>Tax override per issuing entity</t>
        </is>
      </c>
      <c r="E523" s="14" t="inlineStr">
        <is>
          <t>Dead</t>
        </is>
      </c>
      <c r="F523" s="12" t="inlineStr">
        <is>
          <t>Stored in 1.0, never used</t>
        </is>
      </c>
      <c r="G523" s="12" t="inlineStr"/>
      <c r="H523" s="12" t="inlineStr"/>
      <c r="I523" s="17" t="n"/>
      <c r="J523" s="17" t="n"/>
    </row>
    <row r="524">
      <c r="A524" s="12" t="inlineStr">
        <is>
          <t>Quote editor</t>
        </is>
      </c>
      <c r="B524" s="12" t="inlineStr">
        <is>
          <t>QM-11</t>
        </is>
      </c>
      <c r="C524" s="12" t="inlineStr">
        <is>
          <t>Money</t>
        </is>
      </c>
      <c r="D524" s="14" t="inlineStr">
        <is>
          <t>Currency</t>
        </is>
      </c>
      <c r="E524" s="14" t="inlineStr">
        <is>
          <t>Built</t>
        </is>
      </c>
      <c r="F524" s="12" t="inlineStr">
        <is>
          <t>S$ only</t>
        </is>
      </c>
      <c r="G524" s="12" t="inlineStr"/>
      <c r="H524" s="28" t="inlineStr">
        <is>
          <t>Team check</t>
        </is>
      </c>
      <c r="I524" s="17" t="n"/>
      <c r="J524" s="17" t="n"/>
    </row>
    <row r="525">
      <c r="A525" s="12" t="inlineStr">
        <is>
          <t>Quote editor</t>
        </is>
      </c>
      <c r="B525" s="12" t="inlineStr">
        <is>
          <t>QM-12</t>
        </is>
      </c>
      <c r="C525" s="12" t="inlineStr">
        <is>
          <t>Money</t>
        </is>
      </c>
      <c r="D525" s="14" t="inlineStr">
        <is>
          <t>Rounding selling prices</t>
        </is>
      </c>
      <c r="E525" s="14" t="inlineStr">
        <is>
          <t>Built</t>
        </is>
      </c>
      <c r="F525" s="12" t="inlineStr"/>
      <c r="G525" s="12" t="inlineStr">
        <is>
          <t>2.28, 6.18</t>
        </is>
      </c>
      <c r="H525" s="12" t="inlineStr"/>
      <c r="I525" s="17" t="n"/>
      <c r="J525" s="17" t="n"/>
    </row>
    <row r="526">
      <c r="A526" s="12" t="inlineStr">
        <is>
          <t>Quote editor</t>
        </is>
      </c>
      <c r="B526" s="12" t="inlineStr">
        <is>
          <t>QM-13</t>
        </is>
      </c>
      <c r="C526" s="12" t="inlineStr">
        <is>
          <t>Money</t>
        </is>
      </c>
      <c r="D526" s="14" t="inlineStr">
        <is>
          <t>Warning when a line sells below cost</t>
        </is>
      </c>
      <c r="E526" s="14" t="inlineStr">
        <is>
          <t>Built in parity round 1</t>
        </is>
      </c>
      <c r="F526" s="12" t="inlineStr"/>
      <c r="G526" s="12" t="inlineStr">
        <is>
          <t>6.15</t>
        </is>
      </c>
      <c r="H526" s="12" t="inlineStr"/>
      <c r="I526" s="17" t="n"/>
      <c r="J526" s="17" t="n"/>
    </row>
    <row r="527">
      <c r="A527" s="12" t="inlineStr">
        <is>
          <t>Quote editor</t>
        </is>
      </c>
      <c r="B527" s="12" t="inlineStr">
        <is>
          <t>QM-14</t>
        </is>
      </c>
      <c r="C527" s="12" t="inlineStr">
        <is>
          <t>Money</t>
        </is>
      </c>
      <c r="D527" s="14" t="inlineStr">
        <is>
          <t>Quote margin</t>
        </is>
      </c>
      <c r="E527" s="14" t="inlineStr">
        <is>
          <t>Built</t>
        </is>
      </c>
      <c r="F527" s="12" t="inlineStr"/>
      <c r="G527" s="12" t="inlineStr">
        <is>
          <t>6.18</t>
        </is>
      </c>
      <c r="H527" s="12" t="inlineStr"/>
      <c r="I527" s="17" t="n"/>
      <c r="J527" s="17" t="n"/>
    </row>
    <row r="528">
      <c r="A528" s="12" t="inlineStr">
        <is>
          <t>Quote editor</t>
        </is>
      </c>
      <c r="B528" s="12" t="inlineStr">
        <is>
          <t>QM-15</t>
        </is>
      </c>
      <c r="C528" s="12" t="inlineStr">
        <is>
          <t>Money</t>
        </is>
      </c>
      <c r="D528" s="14" t="inlineStr">
        <is>
          <t>Margin per category</t>
        </is>
      </c>
      <c r="E528" s="14" t="inlineStr">
        <is>
          <t>Built in parity round 1</t>
        </is>
      </c>
      <c r="F528" s="12" t="inlineStr"/>
      <c r="G528" s="12" t="inlineStr">
        <is>
          <t>6.18</t>
        </is>
      </c>
      <c r="H528" s="12" t="inlineStr"/>
      <c r="I528" s="17" t="n"/>
      <c r="J528" s="17" t="n"/>
    </row>
    <row r="529">
      <c r="A529" s="12" t="inlineStr">
        <is>
          <t>Quote editor</t>
        </is>
      </c>
      <c r="B529" s="12" t="inlineStr">
        <is>
          <t>QM-16</t>
        </is>
      </c>
      <c r="C529" s="12" t="inlineStr">
        <is>
          <t>Money</t>
        </is>
      </c>
      <c r="D529" s="14" t="inlineStr">
        <is>
          <t>Cost and markup never printed for the client</t>
        </is>
      </c>
      <c r="E529" s="14" t="inlineStr">
        <is>
          <t>Built</t>
        </is>
      </c>
      <c r="F529" s="12" t="inlineStr"/>
      <c r="G529" s="12" t="inlineStr">
        <is>
          <t>6.18, 6.24, 6.25</t>
        </is>
      </c>
      <c r="H529" s="12" t="inlineStr"/>
      <c r="I529" s="17" t="n"/>
      <c r="J529" s="17" t="n"/>
    </row>
    <row r="530">
      <c r="A530" s="12" t="inlineStr">
        <is>
          <t>Quote editor</t>
        </is>
      </c>
      <c r="B530" s="12" t="inlineStr">
        <is>
          <t>QM-17</t>
        </is>
      </c>
      <c r="C530" s="12" t="inlineStr">
        <is>
          <t>Money</t>
        </is>
      </c>
      <c r="D530" s="14" t="inlineStr">
        <is>
          <t>AI money helpers</t>
        </is>
      </c>
      <c r="E530" s="14" t="inlineStr">
        <is>
          <t>Platform</t>
        </is>
      </c>
      <c r="F530" s="12" t="inlineStr"/>
      <c r="G530" s="12" t="inlineStr"/>
      <c r="H530" s="12" t="inlineStr"/>
      <c r="I530" s="17" t="n"/>
      <c r="J530" s="17" t="n"/>
    </row>
    <row r="531">
      <c r="A531" s="12" t="inlineStr">
        <is>
          <t>Quote editor</t>
        </is>
      </c>
      <c r="B531" s="12" t="inlineStr">
        <is>
          <t>QM-18</t>
        </is>
      </c>
      <c r="C531" s="12" t="inlineStr">
        <is>
          <t>Money</t>
        </is>
      </c>
      <c r="D531" s="14" t="inlineStr">
        <is>
          <t>Approval thresholds by amount or margin</t>
        </is>
      </c>
      <c r="E531" s="14" t="inlineStr">
        <is>
          <t>Dead</t>
        </is>
      </c>
      <c r="F531" s="12" t="inlineStr">
        <is>
          <t>Saved but never read in 1.0 (Q-24)</t>
        </is>
      </c>
      <c r="G531" s="12" t="inlineStr"/>
      <c r="H531" s="12" t="inlineStr"/>
      <c r="I531" s="17" t="n"/>
      <c r="J531" s="17" t="n"/>
    </row>
    <row r="532">
      <c r="A532" s="12" t="inlineStr">
        <is>
          <t>Quote editor</t>
        </is>
      </c>
      <c r="B532" s="12" t="inlineStr">
        <is>
          <t>QM-19</t>
        </is>
      </c>
      <c r="C532" s="12" t="inlineStr">
        <is>
          <t>Money</t>
        </is>
      </c>
      <c r="D532" s="14" t="inlineStr">
        <is>
          <t>Rebates on lines</t>
        </is>
      </c>
      <c r="E532" s="14" t="inlineStr">
        <is>
          <t>2.0 only</t>
        </is>
      </c>
      <c r="F532" s="12" t="inlineStr">
        <is>
          <t>Owners only, never printed</t>
        </is>
      </c>
      <c r="G532" s="12" t="inlineStr"/>
      <c r="H532" s="28" t="inlineStr">
        <is>
          <t>Team check</t>
        </is>
      </c>
      <c r="I532" s="17" t="n"/>
      <c r="J532" s="17" t="n"/>
    </row>
    <row r="533">
      <c r="A533" s="12" t="inlineStr">
        <is>
          <t>Quote editor</t>
        </is>
      </c>
      <c r="B533" s="12" t="inlineStr">
        <is>
          <t>QP-01</t>
        </is>
      </c>
      <c r="C533" s="12" t="inlineStr">
        <is>
          <t>The price book</t>
        </is>
      </c>
      <c r="D533" s="14" t="inlineStr">
        <is>
          <t>Where the price book lives and who edits it</t>
        </is>
      </c>
      <c r="E533" s="14" t="inlineStr">
        <is>
          <t>Built</t>
        </is>
      </c>
      <c r="F533" s="12" t="inlineStr"/>
      <c r="G533" s="12" t="inlineStr">
        <is>
          <t>3.01</t>
        </is>
      </c>
      <c r="H533" s="12" t="inlineStr"/>
      <c r="I533" s="17" t="n"/>
      <c r="J533" s="17" t="n"/>
    </row>
    <row r="534">
      <c r="A534" s="12" t="inlineStr">
        <is>
          <t>Quote editor</t>
        </is>
      </c>
      <c r="B534" s="12" t="inlineStr">
        <is>
          <t>QP-02</t>
        </is>
      </c>
      <c r="C534" s="12" t="inlineStr">
        <is>
          <t>The price book</t>
        </is>
      </c>
      <c r="D534" s="14" t="inlineStr">
        <is>
          <t>What a price-book item holds</t>
        </is>
      </c>
      <c r="E534" s="14" t="inlineStr">
        <is>
          <t>Built in parity round 3</t>
        </is>
      </c>
      <c r="F534" s="12" t="inlineStr">
        <is>
          <t>Price book parity added the link; no SKU or tags</t>
        </is>
      </c>
      <c r="G534" s="12" t="inlineStr">
        <is>
          <t>3.03</t>
        </is>
      </c>
      <c r="H534" s="12" t="inlineStr"/>
      <c r="I534" s="17" t="n"/>
      <c r="J534" s="17" t="n"/>
    </row>
    <row r="535">
      <c r="A535" s="12" t="inlineStr">
        <is>
          <t>Quote editor</t>
        </is>
      </c>
      <c r="B535" s="12" t="inlineStr">
        <is>
          <t>QP-03</t>
        </is>
      </c>
      <c r="C535" s="12" t="inlineStr">
        <is>
          <t>The price book</t>
        </is>
      </c>
      <c r="D535" s="14" t="inlineStr">
        <is>
          <t>Price book lists, filters and reorder</t>
        </is>
      </c>
      <c r="E535" s="14" t="inlineStr">
        <is>
          <t>Built</t>
        </is>
      </c>
      <c r="F535" s="12" t="inlineStr">
        <is>
          <t>Drag reorder not kept</t>
        </is>
      </c>
      <c r="G535" s="12" t="inlineStr">
        <is>
          <t>3.07</t>
        </is>
      </c>
      <c r="H535" s="12" t="inlineStr"/>
      <c r="I535" s="17" t="n"/>
      <c r="J535" s="17" t="n"/>
    </row>
    <row r="536">
      <c r="A536" s="12" t="inlineStr">
        <is>
          <t>Quote editor</t>
        </is>
      </c>
      <c r="B536" s="12" t="inlineStr">
        <is>
          <t>QP-04</t>
        </is>
      </c>
      <c r="C536" s="12" t="inlineStr">
        <is>
          <t>The price book</t>
        </is>
      </c>
      <c r="D536" s="14" t="inlineStr">
        <is>
          <t>Approval of items a member adds</t>
        </is>
      </c>
      <c r="E536" s="14" t="inlineStr">
        <is>
          <t>Built in parity round 2</t>
        </is>
      </c>
      <c r="F536" s="12" t="inlineStr">
        <is>
          <t>Price book parity: proposals an Owner or Admin approves</t>
        </is>
      </c>
      <c r="G536" s="12" t="inlineStr">
        <is>
          <t>3.09</t>
        </is>
      </c>
      <c r="H536" s="12" t="inlineStr"/>
      <c r="I536" s="17" t="n"/>
      <c r="J536" s="17" t="n"/>
    </row>
    <row r="537">
      <c r="A537" s="12" t="inlineStr">
        <is>
          <t>Quote editor</t>
        </is>
      </c>
      <c r="B537" s="12" t="inlineStr">
        <is>
          <t>QP-05</t>
        </is>
      </c>
      <c r="C537" s="12" t="inlineStr">
        <is>
          <t>The price book</t>
        </is>
      </c>
      <c r="D537" s="14" t="inlineStr">
        <is>
          <t>Archive, restore and delete items</t>
        </is>
      </c>
      <c r="E537" s="14" t="inlineStr">
        <is>
          <t>Built</t>
        </is>
      </c>
      <c r="F537" s="12" t="inlineStr"/>
      <c r="G537" s="12" t="inlineStr">
        <is>
          <t>3.14</t>
        </is>
      </c>
      <c r="H537" s="12" t="inlineStr"/>
      <c r="I537" s="17" t="n"/>
      <c r="J537" s="17" t="n"/>
    </row>
    <row r="538">
      <c r="A538" s="12" t="inlineStr">
        <is>
          <t>Quote editor</t>
        </is>
      </c>
      <c r="B538" s="12" t="inlineStr">
        <is>
          <t>QP-06</t>
        </is>
      </c>
      <c r="C538" s="12" t="inlineStr">
        <is>
          <t>The price book</t>
        </is>
      </c>
      <c r="D538" s="14" t="inlineStr">
        <is>
          <t>Price history per item</t>
        </is>
      </c>
      <c r="E538" s="14" t="inlineStr">
        <is>
          <t>Built in parity round 2</t>
        </is>
      </c>
      <c r="F538" s="12" t="inlineStr">
        <is>
          <t>Price book parity: the item’s History</t>
        </is>
      </c>
      <c r="G538" s="12" t="inlineStr">
        <is>
          <t>3.06</t>
        </is>
      </c>
      <c r="H538" s="12" t="inlineStr"/>
      <c r="I538" s="17" t="n"/>
      <c r="J538" s="17" t="n"/>
    </row>
    <row r="539">
      <c r="A539" s="12" t="inlineStr">
        <is>
          <t>Quote editor</t>
        </is>
      </c>
      <c r="B539" s="12" t="inlineStr">
        <is>
          <t>QP-07</t>
        </is>
      </c>
      <c r="C539" s="12" t="inlineStr">
        <is>
          <t>The price book</t>
        </is>
      </c>
      <c r="D539" s="14" t="inlineStr">
        <is>
          <t>SKU numbers (PB-NNN)</t>
        </is>
      </c>
      <c r="E539" s="14" t="inlineStr">
        <is>
          <t>Not built — by design</t>
        </is>
      </c>
      <c r="F539" s="12" t="inlineStr">
        <is>
          <t>Not kept (price book Q-08)</t>
        </is>
      </c>
      <c r="G539" s="12" t="inlineStr"/>
      <c r="H539" s="12" t="inlineStr"/>
      <c r="I539" s="17" t="n"/>
      <c r="J539" s="17" t="n"/>
    </row>
    <row r="540">
      <c r="A540" s="12" t="inlineStr">
        <is>
          <t>Quote editor</t>
        </is>
      </c>
      <c r="B540" s="12" t="inlineStr">
        <is>
          <t>QP-08</t>
        </is>
      </c>
      <c r="C540" s="12" t="inlineStr">
        <is>
          <t>The price book</t>
        </is>
      </c>
      <c r="D540" s="14" t="inlineStr">
        <is>
          <t>Vendor directory with default markups</t>
        </is>
      </c>
      <c r="E540" s="14" t="inlineStr">
        <is>
          <t>Later</t>
        </is>
      </c>
      <c r="F540" s="12" t="inlineStr">
        <is>
          <t>Finance</t>
        </is>
      </c>
      <c r="G540" s="12" t="inlineStr">
        <is>
          <t>3.02</t>
        </is>
      </c>
      <c r="H540" s="12" t="inlineStr"/>
      <c r="I540" s="17" t="n"/>
      <c r="J540" s="17" t="n"/>
    </row>
    <row r="541">
      <c r="A541" s="12" t="inlineStr">
        <is>
          <t>Quote editor</t>
        </is>
      </c>
      <c r="B541" s="12" t="inlineStr">
        <is>
          <t>QP-09</t>
        </is>
      </c>
      <c r="C541" s="12" t="inlineStr">
        <is>
          <t>The price book</t>
        </is>
      </c>
      <c r="D541" s="14" t="inlineStr">
        <is>
          <t>Market rates and crowd signals</t>
        </is>
      </c>
      <c r="E541" s="14" t="inlineStr">
        <is>
          <t>Platform</t>
        </is>
      </c>
      <c r="F541" s="12" t="inlineStr"/>
      <c r="G541" s="12" t="inlineStr"/>
      <c r="H541" s="12" t="inlineStr"/>
      <c r="I541" s="17" t="n"/>
      <c r="J541" s="17" t="n"/>
    </row>
    <row r="542">
      <c r="A542" s="12" t="inlineStr">
        <is>
          <t>Quote editor</t>
        </is>
      </c>
      <c r="B542" s="12" t="inlineStr">
        <is>
          <t>QP-10</t>
        </is>
      </c>
      <c r="C542" s="12" t="inlineStr">
        <is>
          <t>The price book</t>
        </is>
      </c>
      <c r="D542" s="14" t="inlineStr">
        <is>
          <t>Import from CSV or AI</t>
        </is>
      </c>
      <c r="E542" s="14" t="inlineStr">
        <is>
          <t>Built</t>
        </is>
      </c>
      <c r="F542" s="12" t="inlineStr">
        <is>
          <t>AI reading is the platform’s</t>
        </is>
      </c>
      <c r="G542" s="12" t="inlineStr">
        <is>
          <t>3.12</t>
        </is>
      </c>
      <c r="H542" s="12" t="inlineStr"/>
      <c r="I542" s="17" t="n"/>
      <c r="J542" s="17" t="n"/>
    </row>
    <row r="543">
      <c r="A543" s="12" t="inlineStr">
        <is>
          <t>Quote editor</t>
        </is>
      </c>
      <c r="B543" s="12" t="inlineStr">
        <is>
          <t>QP-11</t>
        </is>
      </c>
      <c r="C543" s="12" t="inlineStr">
        <is>
          <t>The price book</t>
        </is>
      </c>
      <c r="D543" s="14" t="inlineStr">
        <is>
          <t>Export the price book</t>
        </is>
      </c>
      <c r="E543" s="14" t="inlineStr">
        <is>
          <t>Built in parity round 5</t>
        </is>
      </c>
      <c r="F543" s="12" t="inlineStr"/>
      <c r="G543" s="12" t="inlineStr">
        <is>
          <t>3.11</t>
        </is>
      </c>
      <c r="H543" s="12" t="inlineStr"/>
      <c r="I543" s="17" t="n"/>
      <c r="J543" s="17" t="n"/>
    </row>
    <row r="544">
      <c r="A544" s="12" t="inlineStr">
        <is>
          <t>Quote editor</t>
        </is>
      </c>
      <c r="B544" s="12" t="inlineStr">
        <is>
          <t>QP-12</t>
        </is>
      </c>
      <c r="C544" s="12" t="inlineStr">
        <is>
          <t>The price book</t>
        </is>
      </c>
      <c r="D544" s="14" t="inlineStr">
        <is>
          <t>Picking price-book items in the quote</t>
        </is>
      </c>
      <c r="E544" s="14" t="inlineStr">
        <is>
          <t>Built</t>
        </is>
      </c>
      <c r="F544" s="12" t="inlineStr">
        <is>
          <t>Typeahead plus the Price book window’s ticks</t>
        </is>
      </c>
      <c r="G544" s="12" t="inlineStr">
        <is>
          <t>6.05, 6.06</t>
        </is>
      </c>
      <c r="H544" s="12" t="inlineStr"/>
      <c r="I544" s="17" t="n"/>
      <c r="J544" s="17" t="n"/>
    </row>
    <row r="545">
      <c r="A545" s="12" t="inlineStr">
        <is>
          <t>Quote editor</t>
        </is>
      </c>
      <c r="B545" s="12" t="inlineStr">
        <is>
          <t>QP-13</t>
        </is>
      </c>
      <c r="C545" s="12" t="inlineStr">
        <is>
          <t>The price book</t>
        </is>
      </c>
      <c r="D545" s="14" t="inlineStr">
        <is>
          <t>Save a quote line to the book</t>
        </is>
      </c>
      <c r="E545" s="14" t="inlineStr">
        <is>
          <t>Built</t>
        </is>
      </c>
      <c r="F545" s="12" t="inlineStr"/>
      <c r="G545" s="12" t="inlineStr">
        <is>
          <t>6.06</t>
        </is>
      </c>
      <c r="H545" s="12" t="inlineStr"/>
      <c r="I545" s="17" t="n"/>
      <c r="J545" s="17" t="n"/>
    </row>
    <row r="546">
      <c r="A546" s="12" t="inlineStr">
        <is>
          <t>Quote editor</t>
        </is>
      </c>
      <c r="B546" s="12" t="inlineStr">
        <is>
          <t>QP-14</t>
        </is>
      </c>
      <c r="C546" s="12" t="inlineStr">
        <is>
          <t>The price book</t>
        </is>
      </c>
      <c r="D546" s="14" t="inlineStr">
        <is>
          <t>Auto-match and AI search</t>
        </is>
      </c>
      <c r="E546" s="14" t="inlineStr">
        <is>
          <t>Platform</t>
        </is>
      </c>
      <c r="F546" s="12" t="inlineStr"/>
      <c r="G546" s="12" t="inlineStr"/>
      <c r="H546" s="12" t="inlineStr"/>
      <c r="I546" s="17" t="n"/>
      <c r="J546" s="17" t="n"/>
    </row>
    <row r="547">
      <c r="A547" s="12" t="inlineStr">
        <is>
          <t>Quote editor</t>
        </is>
      </c>
      <c r="B547" s="12" t="inlineStr">
        <is>
          <t>QP-15</t>
        </is>
      </c>
      <c r="C547" s="12" t="inlineStr">
        <is>
          <t>The price book</t>
        </is>
      </c>
      <c r="D547" s="14" t="inlineStr">
        <is>
          <t>Price snapshots</t>
        </is>
      </c>
      <c r="E547" s="14" t="inlineStr">
        <is>
          <t>Dead</t>
        </is>
      </c>
      <c r="F547" s="12" t="inlineStr">
        <is>
          <t>Written, never read in 1.0</t>
        </is>
      </c>
      <c r="G547" s="12" t="inlineStr"/>
      <c r="H547" s="12" t="inlineStr"/>
      <c r="I547" s="17" t="n"/>
      <c r="J547" s="17" t="n"/>
    </row>
    <row r="548">
      <c r="A548" s="12" t="inlineStr">
        <is>
          <t>Quote editor</t>
        </is>
      </c>
      <c r="B548" s="12" t="inlineStr">
        <is>
          <t>QP-16</t>
        </is>
      </c>
      <c r="C548" s="12" t="inlineStr">
        <is>
          <t>The price book</t>
        </is>
      </c>
      <c r="D548" s="14" t="inlineStr">
        <is>
          <t>Volume price tiers</t>
        </is>
      </c>
      <c r="E548" s="14" t="inlineStr">
        <is>
          <t>Not built — by design</t>
        </is>
      </c>
      <c r="F548" s="12" t="inlineStr">
        <is>
          <t>Declined in the price book audit (Q-06)</t>
        </is>
      </c>
      <c r="G548" s="12" t="inlineStr"/>
      <c r="H548" s="12" t="inlineStr"/>
      <c r="I548" s="17" t="n"/>
      <c r="J548" s="17" t="n"/>
    </row>
    <row r="549">
      <c r="A549" s="12" t="inlineStr">
        <is>
          <t>Quote editor</t>
        </is>
      </c>
      <c r="B549" s="12" t="inlineStr">
        <is>
          <t>QG-01</t>
        </is>
      </c>
      <c r="C549" s="12" t="inlineStr">
        <is>
          <t>Getting lines in</t>
        </is>
      </c>
      <c r="D549" s="14" t="inlineStr">
        <is>
          <t>Add a line by hand</t>
        </is>
      </c>
      <c r="E549" s="14" t="inlineStr">
        <is>
          <t>Built</t>
        </is>
      </c>
      <c r="F549" s="12" t="inlineStr"/>
      <c r="G549" s="12" t="inlineStr">
        <is>
          <t>6.05</t>
        </is>
      </c>
      <c r="H549" s="12" t="inlineStr"/>
      <c r="I549" s="17" t="n"/>
      <c r="J549" s="17" t="n"/>
    </row>
    <row r="550">
      <c r="A550" s="12" t="inlineStr">
        <is>
          <t>Quote editor</t>
        </is>
      </c>
      <c r="B550" s="12" t="inlineStr">
        <is>
          <t>QG-02</t>
        </is>
      </c>
      <c r="C550" s="12" t="inlineStr">
        <is>
          <t>Getting lines in</t>
        </is>
      </c>
      <c r="D550" s="14" t="inlineStr">
        <is>
          <t>Packages of lines</t>
        </is>
      </c>
      <c r="E550" s="14" t="inlineStr">
        <is>
          <t>Built</t>
        </is>
      </c>
      <c r="F550" s="12" t="inlineStr">
        <is>
          <t>My Sections</t>
        </is>
      </c>
      <c r="G550" s="12" t="inlineStr">
        <is>
          <t>3.16</t>
        </is>
      </c>
      <c r="H550" s="12" t="inlineStr"/>
      <c r="I550" s="17" t="n"/>
      <c r="J550" s="17" t="n"/>
    </row>
    <row r="551">
      <c r="A551" s="12" t="inlineStr">
        <is>
          <t>Quote editor</t>
        </is>
      </c>
      <c r="B551" s="12" t="inlineStr">
        <is>
          <t>QG-03</t>
        </is>
      </c>
      <c r="C551" s="12" t="inlineStr">
        <is>
          <t>Getting lines in</t>
        </is>
      </c>
      <c r="D551" s="14" t="inlineStr">
        <is>
          <t>Starter quote by project type</t>
        </is>
      </c>
      <c r="E551" s="14" t="inlineStr">
        <is>
          <t>Later</t>
        </is>
      </c>
      <c r="F551" s="12" t="inlineStr">
        <is>
          <t>Held in the quote templates audit (Q-07)</t>
        </is>
      </c>
      <c r="G551" s="12" t="inlineStr"/>
      <c r="H551" s="12" t="inlineStr"/>
      <c r="I551" s="17" t="n"/>
      <c r="J551" s="17" t="n"/>
    </row>
    <row r="552">
      <c r="A552" s="12" t="inlineStr">
        <is>
          <t>Quote editor</t>
        </is>
      </c>
      <c r="B552" s="12" t="inlineStr">
        <is>
          <t>QG-04</t>
        </is>
      </c>
      <c r="C552" s="12" t="inlineStr">
        <is>
          <t>Getting lines in</t>
        </is>
      </c>
      <c r="D552" s="14" t="inlineStr">
        <is>
          <t>Templates as a source of lines</t>
        </is>
      </c>
      <c r="E552" s="14" t="inlineStr">
        <is>
          <t>Built</t>
        </is>
      </c>
      <c r="F552" s="12" t="inlineStr">
        <is>
          <t>Templates start sections; My Sections carry lines</t>
        </is>
      </c>
      <c r="G552" s="12" t="inlineStr">
        <is>
          <t>6.01</t>
        </is>
      </c>
      <c r="H552" s="12" t="inlineStr"/>
      <c r="I552" s="17" t="n"/>
      <c r="J552" s="17" t="n"/>
    </row>
    <row r="553">
      <c r="A553" s="12" t="inlineStr">
        <is>
          <t>Quote editor</t>
        </is>
      </c>
      <c r="B553" s="12" t="inlineStr">
        <is>
          <t>QG-05</t>
        </is>
      </c>
      <c r="C553" s="12" t="inlineStr">
        <is>
          <t>Getting lines in</t>
        </is>
      </c>
      <c r="D553" s="14" t="inlineStr">
        <is>
          <t>Quote Digitizer: upload an existing quote</t>
        </is>
      </c>
      <c r="E553" s="14" t="inlineStr">
        <is>
          <t>Built in parity round 5</t>
        </is>
      </c>
      <c r="F553" s="12" t="inlineStr">
        <is>
          <t>Spreadsheets read; PDFs only the known samples</t>
        </is>
      </c>
      <c r="G553" s="12" t="inlineStr">
        <is>
          <t>6.41</t>
        </is>
      </c>
      <c r="H553" s="12" t="inlineStr"/>
      <c r="I553" s="17" t="n"/>
      <c r="J553" s="17" t="n"/>
    </row>
    <row r="554">
      <c r="A554" s="12" t="inlineStr">
        <is>
          <t>Quote editor</t>
        </is>
      </c>
      <c r="B554" s="12" t="inlineStr">
        <is>
          <t>QG-06</t>
        </is>
      </c>
      <c r="C554" s="12" t="inlineStr">
        <is>
          <t>Getting lines in</t>
        </is>
      </c>
      <c r="D554" s="14" t="inlineStr">
        <is>
          <t>AI hints per line</t>
        </is>
      </c>
      <c r="E554" s="14" t="inlineStr">
        <is>
          <t>Platform</t>
        </is>
      </c>
      <c r="F554" s="12" t="inlineStr"/>
      <c r="G554" s="12" t="inlineStr"/>
      <c r="H554" s="12" t="inlineStr"/>
      <c r="I554" s="17" t="n"/>
      <c r="J554" s="17" t="n"/>
    </row>
    <row r="555">
      <c r="A555" s="12" t="inlineStr">
        <is>
          <t>Quote editor</t>
        </is>
      </c>
      <c r="B555" s="12" t="inlineStr">
        <is>
          <t>QG-07</t>
        </is>
      </c>
      <c r="C555" s="12" t="inlineStr">
        <is>
          <t>Getting lines in</t>
        </is>
      </c>
      <c r="D555" s="14" t="inlineStr">
        <is>
          <t>Chat with AI to draft a quote</t>
        </is>
      </c>
      <c r="E555" s="14" t="inlineStr">
        <is>
          <t>Later</t>
        </is>
      </c>
      <c r="F555" s="12" t="inlineStr">
        <is>
          <t>Held — Draft with Maison AI stays coming soon (Q-17)</t>
        </is>
      </c>
      <c r="G555" s="12" t="inlineStr"/>
      <c r="H555" s="12" t="inlineStr"/>
      <c r="I555" s="17" t="n"/>
      <c r="J555" s="17" t="n"/>
    </row>
    <row r="556">
      <c r="A556" s="12" t="inlineStr">
        <is>
          <t>Quote editor</t>
        </is>
      </c>
      <c r="B556" s="12" t="inlineStr">
        <is>
          <t>QG-08</t>
        </is>
      </c>
      <c r="C556" s="12" t="inlineStr">
        <is>
          <t>Getting lines in</t>
        </is>
      </c>
      <c r="D556" s="14" t="inlineStr">
        <is>
          <t>AI tiers, the import route and comparison</t>
        </is>
      </c>
      <c r="E556" s="14" t="inlineStr">
        <is>
          <t>Dead</t>
        </is>
      </c>
      <c r="F556" s="12" t="inlineStr"/>
      <c r="G556" s="12" t="inlineStr"/>
      <c r="H556" s="12" t="inlineStr"/>
      <c r="I556" s="17" t="n"/>
      <c r="J556" s="17" t="n"/>
    </row>
    <row r="557">
      <c r="A557" s="12" t="inlineStr">
        <is>
          <t>Quote editor</t>
        </is>
      </c>
      <c r="B557" s="12" t="inlineStr">
        <is>
          <t>QG-09</t>
        </is>
      </c>
      <c r="C557" s="12" t="inlineStr">
        <is>
          <t>Getting lines in</t>
        </is>
      </c>
      <c r="D557" s="14" t="inlineStr">
        <is>
          <t>Lines from a meeting brief</t>
        </is>
      </c>
      <c r="E557" s="14" t="inlineStr">
        <is>
          <t>Later</t>
        </is>
      </c>
      <c r="F557" s="12" t="inlineStr">
        <is>
          <t>Tools</t>
        </is>
      </c>
      <c r="G557" s="12" t="inlineStr"/>
      <c r="H557" s="12" t="inlineStr"/>
      <c r="I557" s="17" t="n"/>
      <c r="J557" s="17" t="n"/>
    </row>
    <row r="558">
      <c r="A558" s="12" t="inlineStr">
        <is>
          <t>Quote editor</t>
        </is>
      </c>
      <c r="B558" s="12" t="inlineStr">
        <is>
          <t>QN-01</t>
        </is>
      </c>
      <c r="C558" s="12" t="inlineStr">
        <is>
          <t>Many quotes per lead</t>
        </is>
      </c>
      <c r="D558" s="14" t="inlineStr">
        <is>
          <t>Create a quote</t>
        </is>
      </c>
      <c r="E558" s="14" t="inlineStr">
        <is>
          <t>Built</t>
        </is>
      </c>
      <c r="F558" s="12" t="inlineStr"/>
      <c r="G558" s="12" t="inlineStr">
        <is>
          <t>6.01</t>
        </is>
      </c>
      <c r="H558" s="12" t="inlineStr"/>
      <c r="I558" s="17" t="n"/>
      <c r="J558" s="17" t="n"/>
    </row>
    <row r="559">
      <c r="A559" s="12" t="inlineStr">
        <is>
          <t>Quote editor</t>
        </is>
      </c>
      <c r="B559" s="12" t="inlineStr">
        <is>
          <t>QN-02</t>
        </is>
      </c>
      <c r="C559" s="12" t="inlineStr">
        <is>
          <t>Many quotes per lead</t>
        </is>
      </c>
      <c r="D559" s="14" t="inlineStr">
        <is>
          <t>One primary quote per lead</t>
        </is>
      </c>
      <c r="E559" s="14" t="inlineStr">
        <is>
          <t>Not built — by design</t>
        </is>
      </c>
      <c r="F559" s="12" t="inlineStr">
        <is>
          <t>No primary quote (Q-03)</t>
        </is>
      </c>
      <c r="G559" s="12" t="inlineStr"/>
      <c r="H559" s="12" t="inlineStr"/>
      <c r="I559" s="17" t="n"/>
      <c r="J559" s="17" t="n"/>
    </row>
    <row r="560">
      <c r="A560" s="12" t="inlineStr">
        <is>
          <t>Quote editor</t>
        </is>
      </c>
      <c r="B560" s="12" t="inlineStr">
        <is>
          <t>QN-03</t>
        </is>
      </c>
      <c r="C560" s="12" t="inlineStr">
        <is>
          <t>Many quotes per lead</t>
        </is>
      </c>
      <c r="D560" s="14" t="inlineStr">
        <is>
          <t>Lists of quotes</t>
        </is>
      </c>
      <c r="E560" s="14" t="inlineStr">
        <is>
          <t>Built</t>
        </is>
      </c>
      <c r="F560" s="12" t="inlineStr"/>
      <c r="G560" s="12" t="inlineStr">
        <is>
          <t>6.40, 11.11</t>
        </is>
      </c>
      <c r="H560" s="12" t="inlineStr"/>
      <c r="I560" s="17" t="n"/>
      <c r="J560" s="17" t="n"/>
    </row>
    <row r="561">
      <c r="A561" s="12" t="inlineStr">
        <is>
          <t>Quote editor</t>
        </is>
      </c>
      <c r="B561" s="12" t="inlineStr">
        <is>
          <t>QN-04</t>
        </is>
      </c>
      <c r="C561" s="12" t="inlineStr">
        <is>
          <t>Many quotes per lead</t>
        </is>
      </c>
      <c r="D561" s="14" t="inlineStr">
        <is>
          <t>Rename a quote</t>
        </is>
      </c>
      <c r="E561" s="14" t="inlineStr">
        <is>
          <t>Built</t>
        </is>
      </c>
      <c r="F561" s="12" t="inlineStr"/>
      <c r="G561" s="12" t="inlineStr">
        <is>
          <t>6.03</t>
        </is>
      </c>
      <c r="H561" s="12" t="inlineStr"/>
      <c r="I561" s="17" t="n"/>
      <c r="J561" s="17" t="n"/>
    </row>
    <row r="562">
      <c r="A562" s="12" t="inlineStr">
        <is>
          <t>Quote editor</t>
        </is>
      </c>
      <c r="B562" s="12" t="inlineStr">
        <is>
          <t>QN-05</t>
        </is>
      </c>
      <c r="C562" s="12" t="inlineStr">
        <is>
          <t>Many quotes per lead</t>
        </is>
      </c>
      <c r="D562" s="14" t="inlineStr">
        <is>
          <t>Clone a quote</t>
        </is>
      </c>
      <c r="E562" s="14" t="inlineStr">
        <is>
          <t>Built</t>
        </is>
      </c>
      <c r="F562" s="12" t="inlineStr">
        <is>
          <t>A copy starts clean (fixed in round 2)</t>
        </is>
      </c>
      <c r="G562" s="12" t="inlineStr"/>
      <c r="H562" s="28" t="inlineStr">
        <is>
          <t>Team check</t>
        </is>
      </c>
      <c r="I562" s="17" t="n"/>
      <c r="J562" s="17" t="n"/>
    </row>
    <row r="563">
      <c r="A563" s="12" t="inlineStr">
        <is>
          <t>Quote editor</t>
        </is>
      </c>
      <c r="B563" s="12" t="inlineStr">
        <is>
          <t>QN-06</t>
        </is>
      </c>
      <c r="C563" s="12" t="inlineStr">
        <is>
          <t>Many quotes per lead</t>
        </is>
      </c>
      <c r="D563" s="14" t="inlineStr">
        <is>
          <t>Delete a quote</t>
        </is>
      </c>
      <c r="E563" s="14" t="inlineStr">
        <is>
          <t>Built in parity round 3</t>
        </is>
      </c>
      <c r="F563" s="12" t="inlineStr">
        <is>
          <t>Soft delete, Deleted Quotes, who may (Q-27, Q-28)</t>
        </is>
      </c>
      <c r="G563" s="12" t="inlineStr">
        <is>
          <t>6.42, 6.43</t>
        </is>
      </c>
      <c r="H563" s="12" t="inlineStr"/>
      <c r="I563" s="17" t="n"/>
      <c r="J563" s="17" t="n"/>
    </row>
    <row r="564">
      <c r="A564" s="12" t="inlineStr">
        <is>
          <t>Quote editor</t>
        </is>
      </c>
      <c r="B564" s="12" t="inlineStr">
        <is>
          <t>QN-07</t>
        </is>
      </c>
      <c r="C564" s="12" t="inlineStr">
        <is>
          <t>Many quotes per lead</t>
        </is>
      </c>
      <c r="D564" s="14" t="inlineStr">
        <is>
          <t>Quote numbers</t>
        </is>
      </c>
      <c r="E564" s="14" t="inlineStr">
        <is>
          <t>Built</t>
        </is>
      </c>
      <c r="F564" s="12" t="inlineStr"/>
      <c r="G564" s="12" t="inlineStr">
        <is>
          <t>2.25</t>
        </is>
      </c>
      <c r="H564" s="12" t="inlineStr"/>
      <c r="I564" s="17" t="n"/>
      <c r="J564" s="17" t="n"/>
    </row>
    <row r="565">
      <c r="A565" s="12" t="inlineStr">
        <is>
          <t>Quote editor</t>
        </is>
      </c>
      <c r="B565" s="12" t="inlineStr">
        <is>
          <t>QN-08</t>
        </is>
      </c>
      <c r="C565" s="12" t="inlineStr">
        <is>
          <t>Many quotes per lead</t>
        </is>
      </c>
      <c r="D565" s="14" t="inlineStr">
        <is>
          <t>Valid-until date</t>
        </is>
      </c>
      <c r="E565" s="14" t="inlineStr">
        <is>
          <t>Built in parity round 3</t>
        </is>
      </c>
      <c r="F565" s="12" t="inlineStr">
        <is>
          <t>A passed date is marked, not blocked (Q-29)</t>
        </is>
      </c>
      <c r="G565" s="12" t="inlineStr">
        <is>
          <t>6.31</t>
        </is>
      </c>
      <c r="H565" s="12" t="inlineStr"/>
      <c r="I565" s="17" t="n"/>
      <c r="J565" s="17" t="n"/>
    </row>
    <row r="566">
      <c r="A566" s="12" t="inlineStr">
        <is>
          <t>Quote editor</t>
        </is>
      </c>
      <c r="B566" s="12" t="inlineStr">
        <is>
          <t>QN-09</t>
        </is>
      </c>
      <c r="C566" s="12" t="inlineStr">
        <is>
          <t>Many quotes per lead</t>
        </is>
      </c>
      <c r="D566" s="14" t="inlineStr">
        <is>
          <t>Which quote becomes the contract</t>
        </is>
      </c>
      <c r="E566" s="14" t="inlineStr">
        <is>
          <t>Built</t>
        </is>
      </c>
      <c r="F566" s="12" t="inlineStr"/>
      <c r="G566" s="12" t="inlineStr"/>
      <c r="H566" s="28" t="inlineStr">
        <is>
          <t>Team check</t>
        </is>
      </c>
      <c r="I566" s="17" t="n"/>
      <c r="J566" s="17" t="n"/>
    </row>
    <row r="567">
      <c r="A567" s="12" t="inlineStr">
        <is>
          <t>Quote editor</t>
        </is>
      </c>
      <c r="B567" s="12" t="inlineStr">
        <is>
          <t>QN-10</t>
        </is>
      </c>
      <c r="C567" s="12" t="inlineStr">
        <is>
          <t>Many quotes per lead</t>
        </is>
      </c>
      <c r="D567" s="14" t="inlineStr">
        <is>
          <t>Readiness before sending</t>
        </is>
      </c>
      <c r="E567" s="14" t="inlineStr">
        <is>
          <t>Built</t>
        </is>
      </c>
      <c r="F567" s="12" t="inlineStr">
        <is>
          <t>AI insights are the platform’s</t>
        </is>
      </c>
      <c r="G567" s="12" t="inlineStr">
        <is>
          <t>6.04, 6.25</t>
        </is>
      </c>
      <c r="H567" s="12" t="inlineStr"/>
      <c r="I567" s="17" t="n"/>
      <c r="J567" s="17" t="n"/>
    </row>
    <row r="568">
      <c r="A568" s="12" t="inlineStr">
        <is>
          <t>Quote editor</t>
        </is>
      </c>
      <c r="B568" s="12" t="inlineStr">
        <is>
          <t>QA-01</t>
        </is>
      </c>
      <c r="C568" s="12" t="inlineStr">
        <is>
          <t>Statuses and approval</t>
        </is>
      </c>
      <c r="D568" s="14" t="inlineStr">
        <is>
          <t>Quote status names</t>
        </is>
      </c>
      <c r="E568" s="14" t="inlineStr">
        <is>
          <t>Built</t>
        </is>
      </c>
      <c r="F568" s="12" t="inlineStr">
        <is>
          <t>2.0’s six (Q-02)</t>
        </is>
      </c>
      <c r="G568" s="12" t="inlineStr">
        <is>
          <t>6.38</t>
        </is>
      </c>
      <c r="H568" s="12" t="inlineStr"/>
      <c r="I568" s="17" t="n"/>
      <c r="J568" s="17" t="n"/>
    </row>
    <row r="569">
      <c r="A569" s="12" t="inlineStr">
        <is>
          <t>Quote editor</t>
        </is>
      </c>
      <c r="B569" s="12" t="inlineStr">
        <is>
          <t>QA-02</t>
        </is>
      </c>
      <c r="C569" s="12" t="inlineStr">
        <is>
          <t>Statuses and approval</t>
        </is>
      </c>
      <c r="D569" s="14" t="inlineStr">
        <is>
          <t>Where statuses change</t>
        </is>
      </c>
      <c r="E569" s="14" t="inlineStr">
        <is>
          <t>Built</t>
        </is>
      </c>
      <c r="F569" s="12" t="inlineStr"/>
      <c r="G569" s="12" t="inlineStr"/>
      <c r="H569" s="28" t="inlineStr">
        <is>
          <t>Team check</t>
        </is>
      </c>
      <c r="I569" s="17" t="n"/>
      <c r="J569" s="17" t="n"/>
    </row>
    <row r="570">
      <c r="A570" s="12" t="inlineStr">
        <is>
          <t>Quote editor</t>
        </is>
      </c>
      <c r="B570" s="12" t="inlineStr">
        <is>
          <t>QA-03</t>
        </is>
      </c>
      <c r="C570" s="12" t="inlineStr">
        <is>
          <t>Statuses and approval</t>
        </is>
      </c>
      <c r="D570" s="14" t="inlineStr">
        <is>
          <t>An approver’s submit approves at once</t>
        </is>
      </c>
      <c r="E570" s="14" t="inlineStr">
        <is>
          <t>Built in parity round 2</t>
        </is>
      </c>
      <c r="F570" s="12" t="inlineStr"/>
      <c r="G570" s="12" t="inlineStr">
        <is>
          <t>6.28</t>
        </is>
      </c>
      <c r="H570" s="12" t="inlineStr"/>
      <c r="I570" s="17" t="n"/>
      <c r="J570" s="17" t="n"/>
    </row>
    <row r="571">
      <c r="A571" s="12" t="inlineStr">
        <is>
          <t>Quote editor</t>
        </is>
      </c>
      <c r="B571" s="12" t="inlineStr">
        <is>
          <t>QA-04</t>
        </is>
      </c>
      <c r="C571" s="12" t="inlineStr">
        <is>
          <t>Statuses and approval</t>
        </is>
      </c>
      <c r="D571" s="14" t="inlineStr">
        <is>
          <t>Status history</t>
        </is>
      </c>
      <c r="E571" s="14" t="inlineStr">
        <is>
          <t>Built in parity round 2</t>
        </is>
      </c>
      <c r="F571" s="12" t="inlineStr">
        <is>
          <t>Approval decisions stamped and shown in Activity</t>
        </is>
      </c>
      <c r="G571" s="12" t="inlineStr">
        <is>
          <t>6.38</t>
        </is>
      </c>
      <c r="H571" s="12" t="inlineStr"/>
      <c r="I571" s="17" t="n"/>
      <c r="J571" s="17" t="n"/>
    </row>
    <row r="572">
      <c r="A572" s="12" t="inlineStr">
        <is>
          <t>Quote editor</t>
        </is>
      </c>
      <c r="B572" s="12" t="inlineStr">
        <is>
          <t>QA-05</t>
        </is>
      </c>
      <c r="C572" s="12" t="inlineStr">
        <is>
          <t>Statuses and approval</t>
        </is>
      </c>
      <c r="D572" s="14" t="inlineStr">
        <is>
          <t>Signing marks the quote signed</t>
        </is>
      </c>
      <c r="E572" s="14" t="inlineStr">
        <is>
          <t>Built in parity round 4</t>
        </is>
      </c>
      <c r="F572" s="12" t="inlineStr"/>
      <c r="G572" s="12" t="inlineStr"/>
      <c r="H572" s="28" t="inlineStr">
        <is>
          <t>Team check</t>
        </is>
      </c>
      <c r="I572" s="17" t="n"/>
      <c r="J572" s="17" t="n"/>
    </row>
    <row r="573">
      <c r="A573" s="12" t="inlineStr">
        <is>
          <t>Quote editor</t>
        </is>
      </c>
      <c r="B573" s="12" t="inlineStr">
        <is>
          <t>QA-06</t>
        </is>
      </c>
      <c r="C573" s="12" t="inlineStr">
        <is>
          <t>Statuses and approval</t>
        </is>
      </c>
      <c r="D573" s="14" t="inlineStr">
        <is>
          <t>Reopen an approved quote to revise it</t>
        </is>
      </c>
      <c r="E573" s="14" t="inlineStr">
        <is>
          <t>Built</t>
        </is>
      </c>
      <c r="F573" s="12" t="inlineStr"/>
      <c r="G573" s="12" t="inlineStr">
        <is>
          <t>6.32, 10.07</t>
        </is>
      </c>
      <c r="H573" s="12" t="inlineStr"/>
      <c r="I573" s="17" t="n"/>
      <c r="J573" s="17" t="n"/>
    </row>
    <row r="574">
      <c r="A574" s="12" t="inlineStr">
        <is>
          <t>Quote editor</t>
        </is>
      </c>
      <c r="B574" s="12" t="inlineStr">
        <is>
          <t>QA-07</t>
        </is>
      </c>
      <c r="C574" s="12" t="inlineStr">
        <is>
          <t>Statuses and approval</t>
        </is>
      </c>
      <c r="D574" s="14" t="inlineStr">
        <is>
          <t>The lead mirrors the quote’s status</t>
        </is>
      </c>
      <c r="E574" s="14" t="inlineStr">
        <is>
          <t>Not built — by design</t>
        </is>
      </c>
      <c r="F574" s="12" t="inlineStr">
        <is>
          <t>Derived, no mirror (Q-03)</t>
        </is>
      </c>
      <c r="G574" s="12" t="inlineStr">
        <is>
          <t>6.39</t>
        </is>
      </c>
      <c r="H574" s="12" t="inlineStr"/>
      <c r="I574" s="17" t="n"/>
      <c r="J574" s="17" t="n"/>
    </row>
    <row r="575">
      <c r="A575" s="12" t="inlineStr">
        <is>
          <t>Quote editor</t>
        </is>
      </c>
      <c r="B575" s="12" t="inlineStr">
        <is>
          <t>QA-08</t>
        </is>
      </c>
      <c r="C575" s="12" t="inlineStr">
        <is>
          <t>Statuses and approval</t>
        </is>
      </c>
      <c r="D575" s="14" t="inlineStr">
        <is>
          <t>Who approves quotes</t>
        </is>
      </c>
      <c r="E575" s="14" t="inlineStr">
        <is>
          <t>Built</t>
        </is>
      </c>
      <c r="F575" s="12" t="inlineStr"/>
      <c r="G575" s="12" t="inlineStr">
        <is>
          <t>2.30, 10.07</t>
        </is>
      </c>
      <c r="H575" s="12" t="inlineStr"/>
      <c r="I575" s="17" t="n"/>
      <c r="J575" s="17" t="n"/>
    </row>
    <row r="576">
      <c r="A576" s="12" t="inlineStr">
        <is>
          <t>Quote editor</t>
        </is>
      </c>
      <c r="B576" s="12" t="inlineStr">
        <is>
          <t>QA-09</t>
        </is>
      </c>
      <c r="C576" s="12" t="inlineStr">
        <is>
          <t>Statuses and approval</t>
        </is>
      </c>
      <c r="D576" s="14" t="inlineStr">
        <is>
          <t>An approval task for approvers</t>
        </is>
      </c>
      <c r="E576" s="14" t="inlineStr">
        <is>
          <t>Built</t>
        </is>
      </c>
      <c r="F576" s="12" t="inlineStr">
        <is>
          <t>A notification in the bell instead</t>
        </is>
      </c>
      <c r="G576" s="12" t="inlineStr">
        <is>
          <t>10.11</t>
        </is>
      </c>
      <c r="H576" s="12" t="inlineStr"/>
      <c r="I576" s="17" t="n"/>
      <c r="J576" s="17" t="n"/>
    </row>
    <row r="577">
      <c r="A577" s="12" t="inlineStr">
        <is>
          <t>Quote editor</t>
        </is>
      </c>
      <c r="B577" s="12" t="inlineStr">
        <is>
          <t>QA-10</t>
        </is>
      </c>
      <c r="C577" s="12" t="inlineStr">
        <is>
          <t>Statuses and approval</t>
        </is>
      </c>
      <c r="D577" s="14" t="inlineStr">
        <is>
          <t>Approve or reject in the editor</t>
        </is>
      </c>
      <c r="E577" s="14" t="inlineStr">
        <is>
          <t>Built in parity round 2</t>
        </is>
      </c>
      <c r="F577" s="12" t="inlineStr"/>
      <c r="G577" s="12" t="inlineStr">
        <is>
          <t>10.12</t>
        </is>
      </c>
      <c r="H577" s="12" t="inlineStr"/>
      <c r="I577" s="17" t="n"/>
      <c r="J577" s="17" t="n"/>
    </row>
    <row r="578">
      <c r="A578" s="12" t="inlineStr">
        <is>
          <t>Quote editor</t>
        </is>
      </c>
      <c r="B578" s="12" t="inlineStr">
        <is>
          <t>QA-11</t>
        </is>
      </c>
      <c r="C578" s="12" t="inlineStr">
        <is>
          <t>Statuses and approval</t>
        </is>
      </c>
      <c r="D578" s="14" t="inlineStr">
        <is>
          <t>Approve quotes from Finance</t>
        </is>
      </c>
      <c r="E578" s="14" t="inlineStr">
        <is>
          <t>Later</t>
        </is>
      </c>
      <c r="F578" s="12" t="inlineStr">
        <is>
          <t>Finance</t>
        </is>
      </c>
      <c r="G578" s="12" t="inlineStr"/>
      <c r="H578" s="12" t="inlineStr"/>
      <c r="I578" s="17" t="n"/>
      <c r="J578" s="17" t="n"/>
    </row>
    <row r="579">
      <c r="A579" s="12" t="inlineStr">
        <is>
          <t>Quote editor</t>
        </is>
      </c>
      <c r="B579" s="12" t="inlineStr">
        <is>
          <t>QA-12</t>
        </is>
      </c>
      <c r="C579" s="12" t="inlineStr">
        <is>
          <t>Statuses and approval</t>
        </is>
      </c>
      <c r="D579" s="14" t="inlineStr">
        <is>
          <t>Approval rules and checks never read</t>
        </is>
      </c>
      <c r="E579" s="14" t="inlineStr">
        <is>
          <t>Dead</t>
        </is>
      </c>
      <c r="F579" s="12" t="inlineStr">
        <is>
          <t>Q-24</t>
        </is>
      </c>
      <c r="G579" s="12" t="inlineStr"/>
      <c r="H579" s="12" t="inlineStr"/>
      <c r="I579" s="17" t="n"/>
      <c r="J579" s="17" t="n"/>
    </row>
    <row r="580">
      <c r="A580" s="12" t="inlineStr">
        <is>
          <t>Quote editor</t>
        </is>
      </c>
      <c r="B580" s="12" t="inlineStr">
        <is>
          <t>QV-01</t>
        </is>
      </c>
      <c r="C580" s="12" t="inlineStr">
        <is>
          <t>Versions</t>
        </is>
      </c>
      <c r="D580" s="14" t="inlineStr">
        <is>
          <t>What a version holds</t>
        </is>
      </c>
      <c r="E580" s="14" t="inlineStr">
        <is>
          <t>Built</t>
        </is>
      </c>
      <c r="F580" s="12" t="inlineStr">
        <is>
          <t>Per quote, made by Revise</t>
        </is>
      </c>
      <c r="G580" s="12" t="inlineStr">
        <is>
          <t>6.32</t>
        </is>
      </c>
      <c r="H580" s="12" t="inlineStr"/>
      <c r="I580" s="17" t="n"/>
      <c r="J580" s="17" t="n"/>
    </row>
    <row r="581">
      <c r="A581" s="12" t="inlineStr">
        <is>
          <t>Quote editor</t>
        </is>
      </c>
      <c r="B581" s="12" t="inlineStr">
        <is>
          <t>QV-02</t>
        </is>
      </c>
      <c r="C581" s="12" t="inlineStr">
        <is>
          <t>Versions</t>
        </is>
      </c>
      <c r="D581" s="14" t="inlineStr">
        <is>
          <t>Versions drawer</t>
        </is>
      </c>
      <c r="E581" s="14" t="inlineStr">
        <is>
          <t>Built</t>
        </is>
      </c>
      <c r="F581" s="12" t="inlineStr"/>
      <c r="G581" s="12" t="inlineStr">
        <is>
          <t>6.33</t>
        </is>
      </c>
      <c r="H581" s="12" t="inlineStr"/>
      <c r="I581" s="17" t="n"/>
      <c r="J581" s="17" t="n"/>
    </row>
    <row r="582">
      <c r="A582" s="12" t="inlineStr">
        <is>
          <t>Quote editor</t>
        </is>
      </c>
      <c r="B582" s="12" t="inlineStr">
        <is>
          <t>QV-03</t>
        </is>
      </c>
      <c r="C582" s="12" t="inlineStr">
        <is>
          <t>Versions</t>
        </is>
      </c>
      <c r="D582" s="14" t="inlineStr">
        <is>
          <t>Compare two versions</t>
        </is>
      </c>
      <c r="E582" s="14" t="inlineStr">
        <is>
          <t>Built</t>
        </is>
      </c>
      <c r="F582" s="12" t="inlineStr">
        <is>
          <t>A revision prints its changes; no any-two compare (Q-26)</t>
        </is>
      </c>
      <c r="G582" s="12" t="inlineStr">
        <is>
          <t>6.35</t>
        </is>
      </c>
      <c r="H582" s="12" t="inlineStr"/>
      <c r="I582" s="17" t="n"/>
      <c r="J582" s="17" t="n"/>
    </row>
    <row r="583">
      <c r="A583" s="12" t="inlineStr">
        <is>
          <t>Quote editor</t>
        </is>
      </c>
      <c r="B583" s="12" t="inlineStr">
        <is>
          <t>QV-04</t>
        </is>
      </c>
      <c r="C583" s="12" t="inlineStr">
        <is>
          <t>Versions</t>
        </is>
      </c>
      <c r="D583" s="14" t="inlineStr">
        <is>
          <t>Restore an older version</t>
        </is>
      </c>
      <c r="E583" s="14" t="inlineStr">
        <is>
          <t>Built in parity round 3</t>
        </is>
      </c>
      <c r="F583" s="12" t="inlineStr"/>
      <c r="G583" s="12" t="inlineStr">
        <is>
          <t>6.34</t>
        </is>
      </c>
      <c r="H583" s="12" t="inlineStr"/>
      <c r="I583" s="17" t="n"/>
      <c r="J583" s="17" t="n"/>
    </row>
    <row r="584">
      <c r="A584" s="12" t="inlineStr">
        <is>
          <t>Quote editor</t>
        </is>
      </c>
      <c r="B584" s="12" t="inlineStr">
        <is>
          <t>QD-01</t>
        </is>
      </c>
      <c r="C584" s="12" t="inlineStr">
        <is>
          <t>Sending</t>
        </is>
      </c>
      <c r="D584" s="14" t="inlineStr">
        <is>
          <t>The Share menu</t>
        </is>
      </c>
      <c r="E584" s="14" t="inlineStr">
        <is>
          <t>Built</t>
        </is>
      </c>
      <c r="F584" s="12" t="inlineStr"/>
      <c r="G584" s="12" t="inlineStr">
        <is>
          <t>6.28, 6.36</t>
        </is>
      </c>
      <c r="H584" s="12" t="inlineStr"/>
      <c r="I584" s="17" t="n"/>
      <c r="J584" s="17" t="n"/>
    </row>
    <row r="585">
      <c r="A585" s="12" t="inlineStr">
        <is>
          <t>Quote editor</t>
        </is>
      </c>
      <c r="B585" s="12" t="inlineStr">
        <is>
          <t>QD-02</t>
        </is>
      </c>
      <c r="C585" s="12" t="inlineStr">
        <is>
          <t>Sending</t>
        </is>
      </c>
      <c r="D585" s="14" t="inlineStr">
        <is>
          <t>Share to the homeowner portal</t>
        </is>
      </c>
      <c r="E585" s="14" t="inlineStr">
        <is>
          <t>Later</t>
        </is>
      </c>
      <c r="F585" s="12" t="inlineStr">
        <is>
          <t>The portal</t>
        </is>
      </c>
      <c r="G585" s="12" t="inlineStr"/>
      <c r="H585" s="12" t="inlineStr"/>
      <c r="I585" s="17" t="n"/>
      <c r="J585" s="17" t="n"/>
    </row>
    <row r="586">
      <c r="A586" s="12" t="inlineStr">
        <is>
          <t>Quote editor</t>
        </is>
      </c>
      <c r="B586" s="12" t="inlineStr">
        <is>
          <t>QD-03</t>
        </is>
      </c>
      <c r="C586" s="12" t="inlineStr">
        <is>
          <t>Sending</t>
        </is>
      </c>
      <c r="D586" s="14" t="inlineStr">
        <is>
          <t>Client link with a one-time code</t>
        </is>
      </c>
      <c r="E586" s="14" t="inlineStr">
        <is>
          <t>Built in parity round 4</t>
        </is>
      </c>
      <c r="F586" s="12" t="inlineStr">
        <is>
          <t>Opens only once sent; no token or code (Q-33)</t>
        </is>
      </c>
      <c r="G586" s="12" t="inlineStr">
        <is>
          <t>6.29</t>
        </is>
      </c>
      <c r="H586" s="12" t="inlineStr"/>
      <c r="I586" s="17" t="n"/>
      <c r="J586" s="17" t="n"/>
    </row>
    <row r="587">
      <c r="A587" s="12" t="inlineStr">
        <is>
          <t>Quote editor</t>
        </is>
      </c>
      <c r="B587" s="12" t="inlineStr">
        <is>
          <t>QD-04</t>
        </is>
      </c>
      <c r="C587" s="12" t="inlineStr">
        <is>
          <t>Sending</t>
        </is>
      </c>
      <c r="D587" s="14" t="inlineStr">
        <is>
          <t>Quote Sharing settings</t>
        </is>
      </c>
      <c r="E587" s="14" t="inlineStr">
        <is>
          <t>Not built — by design</t>
        </is>
      </c>
      <c r="F587" s="12" t="inlineStr">
        <is>
          <t>Never read in 1.0 (quote templates Q-09)</t>
        </is>
      </c>
      <c r="G587" s="12" t="inlineStr"/>
      <c r="H587" s="12" t="inlineStr"/>
      <c r="I587" s="17" t="n"/>
      <c r="J587" s="17" t="n"/>
    </row>
    <row r="588">
      <c r="A588" s="12" t="inlineStr">
        <is>
          <t>Quote editor</t>
        </is>
      </c>
      <c r="B588" s="12" t="inlineStr">
        <is>
          <t>QD-05</t>
        </is>
      </c>
      <c r="C588" s="12" t="inlineStr">
        <is>
          <t>Sending</t>
        </is>
      </c>
      <c r="D588" s="14" t="inlineStr">
        <is>
          <t>Download and print</t>
        </is>
      </c>
      <c r="E588" s="14" t="inlineStr">
        <is>
          <t>Built</t>
        </is>
      </c>
      <c r="F588" s="12" t="inlineStr"/>
      <c r="G588" s="12" t="inlineStr">
        <is>
          <t>6.25</t>
        </is>
      </c>
      <c r="H588" s="12" t="inlineStr"/>
      <c r="I588" s="17" t="n"/>
      <c r="J588" s="17" t="n"/>
    </row>
    <row r="589">
      <c r="A589" s="12" t="inlineStr">
        <is>
          <t>Quote editor</t>
        </is>
      </c>
      <c r="B589" s="12" t="inlineStr">
        <is>
          <t>QD-06</t>
        </is>
      </c>
      <c r="C589" s="12" t="inlineStr">
        <is>
          <t>Sending</t>
        </is>
      </c>
      <c r="D589" s="14" t="inlineStr">
        <is>
          <t>Sharing locked until approved</t>
        </is>
      </c>
      <c r="E589" s="14" t="inlineStr">
        <is>
          <t>Built</t>
        </is>
      </c>
      <c r="F589" s="12" t="inlineStr"/>
      <c r="G589" s="12" t="inlineStr">
        <is>
          <t>6.28</t>
        </is>
      </c>
      <c r="H589" s="12" t="inlineStr"/>
      <c r="I589" s="17" t="n"/>
      <c r="J589" s="17" t="n"/>
    </row>
    <row r="590">
      <c r="A590" s="12" t="inlineStr">
        <is>
          <t>Quote editor</t>
        </is>
      </c>
      <c r="B590" s="12" t="inlineStr">
        <is>
          <t>QC-01</t>
        </is>
      </c>
      <c r="C590" s="12" t="inlineStr">
        <is>
          <t>Signing and the client</t>
        </is>
      </c>
      <c r="D590" s="14" t="inlineStr">
        <is>
          <t>Signature request that freezes the quote</t>
        </is>
      </c>
      <c r="E590" s="14" t="inlineStr">
        <is>
          <t>Built</t>
        </is>
      </c>
      <c r="F590" s="12" t="inlineStr">
        <is>
          <t>A contract raised from the quote</t>
        </is>
      </c>
      <c r="G590" s="12" t="inlineStr"/>
      <c r="H590" s="28" t="inlineStr">
        <is>
          <t>Team check</t>
        </is>
      </c>
      <c r="I590" s="17" t="n"/>
      <c r="J590" s="17" t="n"/>
    </row>
    <row r="591">
      <c r="A591" s="12" t="inlineStr">
        <is>
          <t>Quote editor</t>
        </is>
      </c>
      <c r="B591" s="12" t="inlineStr">
        <is>
          <t>QC-02</t>
        </is>
      </c>
      <c r="C591" s="12" t="inlineStr">
        <is>
          <t>Signing and the client</t>
        </is>
      </c>
      <c r="D591" s="14" t="inlineStr">
        <is>
          <t>Several quotes in one signing</t>
        </is>
      </c>
      <c r="E591" s="14" t="inlineStr">
        <is>
          <t>Later</t>
        </is>
      </c>
      <c r="F591" s="12" t="inlineStr">
        <is>
          <t>Contracts bundle contracts, not quotes</t>
        </is>
      </c>
      <c r="G591" s="12" t="inlineStr"/>
      <c r="H591" s="12" t="inlineStr"/>
      <c r="I591" s="17" t="n"/>
      <c r="J591" s="17" t="n"/>
    </row>
    <row r="592">
      <c r="A592" s="12" t="inlineStr">
        <is>
          <t>Quote editor</t>
        </is>
      </c>
      <c r="B592" s="12" t="inlineStr">
        <is>
          <t>QC-03</t>
        </is>
      </c>
      <c r="C592" s="12" t="inlineStr">
        <is>
          <t>Signing and the client</t>
        </is>
      </c>
      <c r="D592" s="14" t="inlineStr">
        <is>
          <t>Signing link expires after 7 days</t>
        </is>
      </c>
      <c r="E592" s="14" t="inlineStr">
        <is>
          <t>Not built — by design</t>
        </is>
      </c>
      <c r="F592" s="12" t="inlineStr">
        <is>
          <t>No expiry (Q-33)</t>
        </is>
      </c>
      <c r="G592" s="12" t="inlineStr"/>
      <c r="H592" s="12" t="inlineStr"/>
      <c r="I592" s="17" t="n"/>
      <c r="J592" s="17" t="n"/>
    </row>
    <row r="593">
      <c r="A593" s="12" t="inlineStr">
        <is>
          <t>Quote editor</t>
        </is>
      </c>
      <c r="B593" s="12" t="inlineStr">
        <is>
          <t>QC-04</t>
        </is>
      </c>
      <c r="C593" s="12" t="inlineStr">
        <is>
          <t>Signing and the client</t>
        </is>
      </c>
      <c r="D593" s="14" t="inlineStr">
        <is>
          <t>Signing page, one-time code and review steps</t>
        </is>
      </c>
      <c r="E593" s="14" t="inlineStr">
        <is>
          <t>Built</t>
        </is>
      </c>
      <c r="F593" s="12" t="inlineStr">
        <is>
          <t>Confirmation page; the code is the platform’s</t>
        </is>
      </c>
      <c r="G593" s="12" t="inlineStr">
        <is>
          <t>6.29</t>
        </is>
      </c>
      <c r="H593" s="12" t="inlineStr"/>
      <c r="I593" s="17" t="n"/>
      <c r="J593" s="17" t="n"/>
    </row>
    <row r="594">
      <c r="A594" s="12" t="inlineStr">
        <is>
          <t>Quote editor</t>
        </is>
      </c>
      <c r="B594" s="12" t="inlineStr">
        <is>
          <t>QC-05</t>
        </is>
      </c>
      <c r="C594" s="12" t="inlineStr">
        <is>
          <t>Signing and the client</t>
        </is>
      </c>
      <c r="D594" s="14" t="inlineStr">
        <is>
          <t>Client accepts or declines optional add-ons</t>
        </is>
      </c>
      <c r="E594" s="14" t="inlineStr">
        <is>
          <t>Built in parity round 4</t>
        </is>
      </c>
      <c r="F594" s="12" t="inlineStr"/>
      <c r="G594" s="12" t="inlineStr">
        <is>
          <t>6.37</t>
        </is>
      </c>
      <c r="H594" s="12" t="inlineStr"/>
      <c r="I594" s="17" t="n"/>
      <c r="J594" s="17" t="n"/>
    </row>
    <row r="595">
      <c r="A595" s="12" t="inlineStr">
        <is>
          <t>Quote editor</t>
        </is>
      </c>
      <c r="B595" s="12" t="inlineStr">
        <is>
          <t>QC-06</t>
        </is>
      </c>
      <c r="C595" s="12" t="inlineStr">
        <is>
          <t>Signing and the client</t>
        </is>
      </c>
      <c r="D595" s="14" t="inlineStr">
        <is>
          <t>CaseTrust step</t>
        </is>
      </c>
      <c r="E595" s="14" t="inlineStr">
        <is>
          <t>Dead</t>
        </is>
      </c>
      <c r="F595" s="12" t="inlineStr"/>
      <c r="G595" s="12" t="inlineStr"/>
      <c r="H595" s="12" t="inlineStr"/>
      <c r="I595" s="17" t="n"/>
      <c r="J595" s="17" t="n"/>
    </row>
    <row r="596">
      <c r="A596" s="12" t="inlineStr">
        <is>
          <t>Quote editor</t>
        </is>
      </c>
      <c r="B596" s="12" t="inlineStr">
        <is>
          <t>QC-07</t>
        </is>
      </c>
      <c r="C596" s="12" t="inlineStr">
        <is>
          <t>Signing and the client</t>
        </is>
      </c>
      <c r="D596" s="14" t="inlineStr">
        <is>
          <t>Who signs</t>
        </is>
      </c>
      <c r="E596" s="14" t="inlineStr">
        <is>
          <t>Built</t>
        </is>
      </c>
      <c r="F596" s="12" t="inlineStr">
        <is>
          <t>The contract: NRIC and a second client</t>
        </is>
      </c>
      <c r="G596" s="12" t="inlineStr"/>
      <c r="H596" s="28" t="inlineStr">
        <is>
          <t>Team check</t>
        </is>
      </c>
      <c r="I596" s="17" t="n"/>
      <c r="J596" s="17" t="n"/>
    </row>
    <row r="597">
      <c r="A597" s="12" t="inlineStr">
        <is>
          <t>Quote editor</t>
        </is>
      </c>
      <c r="B597" s="12" t="inlineStr">
        <is>
          <t>QC-08</t>
        </is>
      </c>
      <c r="C597" s="12" t="inlineStr">
        <is>
          <t>Signing and the client</t>
        </is>
      </c>
      <c r="D597" s="14" t="inlineStr">
        <is>
          <t>What signing sets off</t>
        </is>
      </c>
      <c r="E597" s="14" t="inlineStr">
        <is>
          <t>Built in parity round 4</t>
        </is>
      </c>
      <c r="F597" s="12" t="inlineStr">
        <is>
          <t>The signed quote feeds the Won step</t>
        </is>
      </c>
      <c r="G597" s="12" t="inlineStr">
        <is>
          <t>9.02</t>
        </is>
      </c>
      <c r="H597" s="12" t="inlineStr"/>
      <c r="I597" s="17" t="n"/>
      <c r="J597" s="17" t="n"/>
    </row>
    <row r="598">
      <c r="A598" s="12" t="inlineStr">
        <is>
          <t>Quote editor</t>
        </is>
      </c>
      <c r="B598" s="12" t="inlineStr">
        <is>
          <t>QC-09</t>
        </is>
      </c>
      <c r="C598" s="12" t="inlineStr">
        <is>
          <t>Signing and the client</t>
        </is>
      </c>
      <c r="D598" s="14" t="inlineStr">
        <is>
          <t>Done page, certificate and audit trail</t>
        </is>
      </c>
      <c r="E598" s="14" t="inlineStr">
        <is>
          <t>Built</t>
        </is>
      </c>
      <c r="F598" s="12" t="inlineStr">
        <is>
          <t>Download a copy; the contract keeps the signing record</t>
        </is>
      </c>
      <c r="G598" s="12" t="inlineStr"/>
      <c r="H598" s="28" t="inlineStr">
        <is>
          <t>Team check</t>
        </is>
      </c>
      <c r="I598" s="17" t="n"/>
      <c r="J598" s="17" t="n"/>
    </row>
    <row r="599">
      <c r="A599" s="12" t="inlineStr">
        <is>
          <t>Quote editor</t>
        </is>
      </c>
      <c r="B599" s="12" t="inlineStr">
        <is>
          <t>QC-10</t>
        </is>
      </c>
      <c r="C599" s="12" t="inlineStr">
        <is>
          <t>Signing and the client</t>
        </is>
      </c>
      <c r="D599" s="14" t="inlineStr">
        <is>
          <t>Resend, regenerate or cancel a request</t>
        </is>
      </c>
      <c r="E599" s="14" t="inlineStr">
        <is>
          <t>Built</t>
        </is>
      </c>
      <c r="F599" s="12" t="inlineStr">
        <is>
          <t>On the contract</t>
        </is>
      </c>
      <c r="G599" s="12" t="inlineStr"/>
      <c r="H599" s="28" t="inlineStr">
        <is>
          <t>Team check</t>
        </is>
      </c>
      <c r="I599" s="17" t="n"/>
      <c r="J599" s="17" t="n"/>
    </row>
    <row r="600">
      <c r="A600" s="12" t="inlineStr">
        <is>
          <t>Quote editor</t>
        </is>
      </c>
      <c r="B600" s="12" t="inlineStr">
        <is>
          <t>QC-11</t>
        </is>
      </c>
      <c r="C600" s="12" t="inlineStr">
        <is>
          <t>Signing and the client</t>
        </is>
      </c>
      <c r="D600" s="14" t="inlineStr">
        <is>
          <t>Paper signing and portal signing</t>
        </is>
      </c>
      <c r="E600" s="14" t="inlineStr">
        <is>
          <t>Built</t>
        </is>
      </c>
      <c r="F600" s="12" t="inlineStr">
        <is>
          <t>Mark as signed; the portal later</t>
        </is>
      </c>
      <c r="G600" s="12" t="inlineStr"/>
      <c r="H600" s="28" t="inlineStr">
        <is>
          <t>Team check</t>
        </is>
      </c>
      <c r="I600" s="17" t="n"/>
      <c r="J600" s="17" t="n"/>
    </row>
    <row r="601">
      <c r="A601" s="12" t="inlineStr">
        <is>
          <t>Quote editor</t>
        </is>
      </c>
      <c r="B601" s="12" t="inlineStr">
        <is>
          <t>QY-01</t>
        </is>
      </c>
      <c r="C601" s="12" t="inlineStr">
        <is>
          <t>The payment schedule</t>
        </is>
      </c>
      <c r="D601" s="14" t="inlineStr">
        <is>
          <t>Payment milestones and default splits</t>
        </is>
      </c>
      <c r="E601" s="14" t="inlineStr">
        <is>
          <t>Built</t>
        </is>
      </c>
      <c r="F601" s="12" t="inlineStr"/>
      <c r="G601" s="12" t="inlineStr">
        <is>
          <t>3.18, 6.19</t>
        </is>
      </c>
      <c r="H601" s="12" t="inlineStr"/>
      <c r="I601" s="17" t="n"/>
      <c r="J601" s="17" t="n"/>
    </row>
    <row r="602">
      <c r="A602" s="12" t="inlineStr">
        <is>
          <t>Quote editor</t>
        </is>
      </c>
      <c r="B602" s="12" t="inlineStr">
        <is>
          <t>QY-02</t>
        </is>
      </c>
      <c r="C602" s="12" t="inlineStr">
        <is>
          <t>The payment schedule</t>
        </is>
      </c>
      <c r="D602" s="14" t="inlineStr">
        <is>
          <t>Editing the schedule</t>
        </is>
      </c>
      <c r="E602" s="14" t="inlineStr">
        <is>
          <t>Built</t>
        </is>
      </c>
      <c r="F602" s="12" t="inlineStr"/>
      <c r="G602" s="12" t="inlineStr">
        <is>
          <t>6.19</t>
        </is>
      </c>
      <c r="H602" s="12" t="inlineStr"/>
      <c r="I602" s="17" t="n"/>
      <c r="J602" s="17" t="n"/>
    </row>
    <row r="603">
      <c r="A603" s="12" t="inlineStr">
        <is>
          <t>Quote editor</t>
        </is>
      </c>
      <c r="B603" s="12" t="inlineStr">
        <is>
          <t>QY-03</t>
        </is>
      </c>
      <c r="C603" s="12" t="inlineStr">
        <is>
          <t>The payment schedule</t>
        </is>
      </c>
      <c r="D603" s="14" t="inlineStr">
        <is>
          <t>Schedule must total 100% before sending</t>
        </is>
      </c>
      <c r="E603" s="14" t="inlineStr">
        <is>
          <t>Built in parity round 4</t>
        </is>
      </c>
      <c r="F603" s="12" t="inlineStr">
        <is>
          <t>The header’s Send now runs the checks</t>
        </is>
      </c>
      <c r="G603" s="12" t="inlineStr">
        <is>
          <t>6.04</t>
        </is>
      </c>
      <c r="H603" s="12" t="inlineStr"/>
      <c r="I603" s="17" t="n"/>
      <c r="J603" s="17" t="n"/>
    </row>
    <row r="604">
      <c r="A604" s="12" t="inlineStr">
        <is>
          <t>Quote editor</t>
        </is>
      </c>
      <c r="B604" s="12" t="inlineStr">
        <is>
          <t>QY-04</t>
        </is>
      </c>
      <c r="C604" s="12" t="inlineStr">
        <is>
          <t>The payment schedule</t>
        </is>
      </c>
      <c r="D604" s="14" t="inlineStr">
        <is>
          <t>Amounts from the quote total</t>
        </is>
      </c>
      <c r="E604" s="14" t="inlineStr">
        <is>
          <t>Built</t>
        </is>
      </c>
      <c r="F604" s="12" t="inlineStr"/>
      <c r="G604" s="12" t="inlineStr">
        <is>
          <t>6.19</t>
        </is>
      </c>
      <c r="H604" s="12" t="inlineStr"/>
      <c r="I604" s="17" t="n"/>
      <c r="J604" s="17" t="n"/>
    </row>
    <row r="605">
      <c r="A605" s="12" t="inlineStr">
        <is>
          <t>Quote editor</t>
        </is>
      </c>
      <c r="B605" s="12" t="inlineStr">
        <is>
          <t>QY-05</t>
        </is>
      </c>
      <c r="C605" s="12" t="inlineStr">
        <is>
          <t>The payment schedule</t>
        </is>
      </c>
      <c r="D605" s="14" t="inlineStr">
        <is>
          <t>Locking the schedule</t>
        </is>
      </c>
      <c r="E605" s="14" t="inlineStr">
        <is>
          <t>Built in parity round 4</t>
        </is>
      </c>
      <c r="F605" s="12" t="inlineStr">
        <is>
          <t>The payment lock holds on the server</t>
        </is>
      </c>
      <c r="G605" s="12" t="inlineStr">
        <is>
          <t>2.29</t>
        </is>
      </c>
      <c r="H605" s="12" t="inlineStr"/>
      <c r="I605" s="17" t="n"/>
      <c r="J605" s="17" t="n"/>
    </row>
    <row r="606">
      <c r="A606" s="12" t="inlineStr">
        <is>
          <t>Quote editor</t>
        </is>
      </c>
      <c r="B606" s="12" t="inlineStr">
        <is>
          <t>QY-06</t>
        </is>
      </c>
      <c r="C606" s="12" t="inlineStr">
        <is>
          <t>The payment schedule</t>
        </is>
      </c>
      <c r="D606" s="14" t="inlineStr">
        <is>
          <t>Schedule frozen at signing</t>
        </is>
      </c>
      <c r="E606" s="14" t="inlineStr">
        <is>
          <t>Built</t>
        </is>
      </c>
      <c r="F606" s="12" t="inlineStr"/>
      <c r="G606" s="12" t="inlineStr"/>
      <c r="H606" s="28" t="inlineStr">
        <is>
          <t>Team check</t>
        </is>
      </c>
      <c r="I606" s="17" t="n"/>
      <c r="J606" s="17" t="n"/>
    </row>
    <row r="607">
      <c r="A607" s="12" t="inlineStr">
        <is>
          <t>Quote editor</t>
        </is>
      </c>
      <c r="B607" s="12" t="inlineStr">
        <is>
          <t>QY-07</t>
        </is>
      </c>
      <c r="C607" s="12" t="inlineStr">
        <is>
          <t>The payment schedule</t>
        </is>
      </c>
      <c r="D607" s="14" t="inlineStr">
        <is>
          <t>Fixed-amount rows</t>
        </is>
      </c>
      <c r="E607" s="14" t="inlineStr">
        <is>
          <t>Later</t>
        </is>
      </c>
      <c r="F607" s="12" t="inlineStr">
        <is>
          <t>Finance (quote templates Q-16)</t>
        </is>
      </c>
      <c r="G607" s="12" t="inlineStr"/>
      <c r="H607" s="12" t="inlineStr"/>
      <c r="I607" s="17" t="n"/>
      <c r="J607" s="17" t="n"/>
    </row>
    <row r="608">
      <c r="A608" s="12" t="inlineStr">
        <is>
          <t>Quote editor</t>
        </is>
      </c>
      <c r="B608" s="12" t="inlineStr">
        <is>
          <t>QY-08</t>
        </is>
      </c>
      <c r="C608" s="12" t="inlineStr">
        <is>
          <t>The payment schedule</t>
        </is>
      </c>
      <c r="D608" s="14" t="inlineStr">
        <is>
          <t>The project-side schedule (Gantt)</t>
        </is>
      </c>
      <c r="E608" s="14" t="inlineStr">
        <is>
          <t>Later</t>
        </is>
      </c>
      <c r="F608" s="12" t="inlineStr">
        <is>
          <t>Projects</t>
        </is>
      </c>
      <c r="G608" s="12" t="inlineStr"/>
      <c r="H608" s="12" t="inlineStr"/>
      <c r="I608" s="17" t="n"/>
      <c r="J608" s="17" t="n"/>
    </row>
    <row r="609">
      <c r="A609" s="12" t="inlineStr">
        <is>
          <t>Quote editor</t>
        </is>
      </c>
      <c r="B609" s="12" t="inlineStr">
        <is>
          <t>QT-01</t>
        </is>
      </c>
      <c r="C609" s="12" t="inlineStr">
        <is>
          <t>Follow-ups and notifications</t>
        </is>
      </c>
      <c r="D609" s="14" t="inlineStr">
        <is>
          <t>Follow-up tasks for quotes</t>
        </is>
      </c>
      <c r="E609" s="14" t="inlineStr">
        <is>
          <t>2.0 only</t>
        </is>
      </c>
      <c r="F609" s="12" t="inlineStr">
        <is>
          <t>A due date raises a follow-up task</t>
        </is>
      </c>
      <c r="G609" s="12" t="inlineStr">
        <is>
          <t>6.30</t>
        </is>
      </c>
      <c r="H609" s="12" t="inlineStr"/>
      <c r="I609" s="17" t="n"/>
      <c r="J609" s="17" t="n"/>
    </row>
    <row r="610">
      <c r="A610" s="12" t="inlineStr">
        <is>
          <t>Quote editor</t>
        </is>
      </c>
      <c r="B610" s="12" t="inlineStr">
        <is>
          <t>QT-02</t>
        </is>
      </c>
      <c r="C610" s="12" t="inlineStr">
        <is>
          <t>Follow-ups and notifications</t>
        </is>
      </c>
      <c r="D610" s="14" t="inlineStr">
        <is>
          <t>Sent and signed notifications</t>
        </is>
      </c>
      <c r="E610" s="14" t="inlineStr">
        <is>
          <t>Built</t>
        </is>
      </c>
      <c r="F610" s="12" t="inlineStr"/>
      <c r="G610" s="12" t="inlineStr">
        <is>
          <t>6.38</t>
        </is>
      </c>
      <c r="H610" s="12" t="inlineStr"/>
      <c r="I610" s="17" t="n"/>
      <c r="J610" s="17" t="n"/>
    </row>
    <row r="611">
      <c r="A611" s="12" t="inlineStr">
        <is>
          <t>Quote editor</t>
        </is>
      </c>
      <c r="B611" s="12" t="inlineStr">
        <is>
          <t>QT-03</t>
        </is>
      </c>
      <c r="C611" s="12" t="inlineStr">
        <is>
          <t>Follow-ups and notifications</t>
        </is>
      </c>
      <c r="D611" s="14" t="inlineStr">
        <is>
          <t>Approval notifications</t>
        </is>
      </c>
      <c r="E611" s="14" t="inlineStr">
        <is>
          <t>Built in parity round 2</t>
        </is>
      </c>
      <c r="F611" s="12" t="inlineStr">
        <is>
          <t>Approved and changes-requested go to the sender</t>
        </is>
      </c>
      <c r="G611" s="12" t="inlineStr">
        <is>
          <t>10.11</t>
        </is>
      </c>
      <c r="H611" s="12" t="inlineStr"/>
      <c r="I611" s="17" t="n"/>
      <c r="J611" s="17" t="n"/>
    </row>
    <row r="612">
      <c r="A612" s="12" t="inlineStr">
        <is>
          <t>Quote editor</t>
        </is>
      </c>
      <c r="B612" s="12" t="inlineStr">
        <is>
          <t>QT-04</t>
        </is>
      </c>
      <c r="C612" s="12" t="inlineStr">
        <is>
          <t>Follow-ups and notifications</t>
        </is>
      </c>
      <c r="D612" s="14" t="inlineStr">
        <is>
          <t>Portal bells and usage events</t>
        </is>
      </c>
      <c r="E612" s="14" t="inlineStr">
        <is>
          <t>Later</t>
        </is>
      </c>
      <c r="F612" s="12" t="inlineStr">
        <is>
          <t>Portal later; usage events are the platform’s</t>
        </is>
      </c>
      <c r="G612" s="12" t="inlineStr"/>
      <c r="H612" s="12" t="inlineStr"/>
      <c r="I612" s="17" t="n"/>
      <c r="J612" s="17" t="n"/>
    </row>
    <row r="613">
      <c r="A613" s="12" t="inlineStr">
        <is>
          <t>Quote editor</t>
        </is>
      </c>
      <c r="B613" s="12" t="inlineStr">
        <is>
          <t>QR-01</t>
        </is>
      </c>
      <c r="C613" s="12" t="inlineStr">
        <is>
          <t>Roles</t>
        </is>
      </c>
      <c r="D613" s="14" t="inlineStr">
        <is>
          <t>Permissions per role</t>
        </is>
      </c>
      <c r="E613" s="14" t="inlineStr">
        <is>
          <t>Built</t>
        </is>
      </c>
      <c r="F613" s="12" t="inlineStr"/>
      <c r="G613" s="12" t="inlineStr"/>
      <c r="H613" s="28" t="inlineStr">
        <is>
          <t>Team check</t>
        </is>
      </c>
      <c r="I613" s="17" t="n"/>
      <c r="J613" s="17" t="n"/>
    </row>
    <row r="614">
      <c r="A614" s="12" t="inlineStr">
        <is>
          <t>Quote editor</t>
        </is>
      </c>
      <c r="B614" s="12" t="inlineStr">
        <is>
          <t>QR-02</t>
        </is>
      </c>
      <c r="C614" s="12" t="inlineStr">
        <is>
          <t>Roles</t>
        </is>
      </c>
      <c r="D614" s="14" t="inlineStr">
        <is>
          <t>Server checks on quote actions</t>
        </is>
      </c>
      <c r="E614" s="14" t="inlineStr">
        <is>
          <t>Built in parity round 3</t>
        </is>
      </c>
      <c r="F614" s="12" t="inlineStr">
        <is>
          <t>Who deletes; Who sees leads on quote pages</t>
        </is>
      </c>
      <c r="G614" s="12" t="inlineStr">
        <is>
          <t>6.42</t>
        </is>
      </c>
      <c r="H614" s="12" t="inlineStr"/>
      <c r="I614" s="17" t="n"/>
      <c r="J614" s="17" t="n"/>
    </row>
    <row r="615">
      <c r="A615" s="12" t="inlineStr">
        <is>
          <t>Quote editor</t>
        </is>
      </c>
      <c r="B615" s="12" t="inlineStr">
        <is>
          <t>QR-03</t>
        </is>
      </c>
      <c r="C615" s="12" t="inlineStr">
        <is>
          <t>Roles</t>
        </is>
      </c>
      <c r="D615" s="14" t="inlineStr">
        <is>
          <t>Accounting approves from Finance</t>
        </is>
      </c>
      <c r="E615" s="14" t="inlineStr">
        <is>
          <t>Later</t>
        </is>
      </c>
      <c r="F615" s="12" t="inlineStr">
        <is>
          <t>Finance</t>
        </is>
      </c>
      <c r="G615" s="12" t="inlineStr"/>
      <c r="H615" s="12" t="inlineStr"/>
      <c r="I615" s="17" t="n"/>
      <c r="J615" s="17" t="n"/>
    </row>
    <row r="616">
      <c r="A616" s="12" t="inlineStr">
        <is>
          <t>Quote editor</t>
        </is>
      </c>
      <c r="B616" s="12" t="inlineStr">
        <is>
          <t>QX-01</t>
        </is>
      </c>
      <c r="C616" s="12" t="inlineStr">
        <is>
          <t>Touchpoints</t>
        </is>
      </c>
      <c r="D616" s="14" t="inlineStr">
        <is>
          <t>Quote X-Ray on a quote</t>
        </is>
      </c>
      <c r="E616" s="14" t="inlineStr">
        <is>
          <t>Built</t>
        </is>
      </c>
      <c r="F616" s="12" t="inlineStr">
        <is>
          <t>Covered by the Quote X-Ray audit</t>
        </is>
      </c>
      <c r="G616" s="12" t="inlineStr"/>
      <c r="H616" s="28" t="inlineStr">
        <is>
          <t>Team check</t>
        </is>
      </c>
      <c r="I616" s="17" t="n"/>
      <c r="J616" s="17" t="n"/>
    </row>
    <row r="617">
      <c r="A617" s="12" t="inlineStr">
        <is>
          <t>Quote editor</t>
        </is>
      </c>
      <c r="B617" s="12" t="inlineStr">
        <is>
          <t>QX-02</t>
        </is>
      </c>
      <c r="C617" s="12" t="inlineStr">
        <is>
          <t>Touchpoints</t>
        </is>
      </c>
      <c r="D617" s="14" t="inlineStr">
        <is>
          <t>Contracts from a quote and the signing bundle</t>
        </is>
      </c>
      <c r="E617" s="14" t="inlineStr">
        <is>
          <t>Built</t>
        </is>
      </c>
      <c r="F617" s="12" t="inlineStr">
        <is>
          <t>Covered by the Contracts audit</t>
        </is>
      </c>
      <c r="G617" s="12" t="inlineStr"/>
      <c r="H617" s="28" t="inlineStr">
        <is>
          <t>Team check</t>
        </is>
      </c>
      <c r="I617" s="17" t="n"/>
      <c r="J617" s="17" t="n"/>
    </row>
    <row r="618">
      <c r="A618" s="12" t="inlineStr">
        <is>
          <t>Quote editor</t>
        </is>
      </c>
      <c r="B618" s="12" t="inlineStr">
        <is>
          <t>QX-03</t>
        </is>
      </c>
      <c r="C618" s="12" t="inlineStr">
        <is>
          <t>Touchpoints</t>
        </is>
      </c>
      <c r="D618" s="14" t="inlineStr">
        <is>
          <t>What a signed quote creates (project, Gantt)</t>
        </is>
      </c>
      <c r="E618" s="14" t="inlineStr">
        <is>
          <t>Later</t>
        </is>
      </c>
      <c r="F618" s="12" t="inlineStr">
        <is>
          <t>Projects</t>
        </is>
      </c>
      <c r="G618" s="12" t="inlineStr"/>
      <c r="H618" s="12" t="inlineStr"/>
      <c r="I618" s="17" t="n"/>
      <c r="J618" s="17" t="n"/>
    </row>
    <row r="619">
      <c r="A619" s="12" t="inlineStr">
        <is>
          <t>Quote editor</t>
        </is>
      </c>
      <c r="B619" s="12" t="inlineStr">
        <is>
          <t>QX-04</t>
        </is>
      </c>
      <c r="C619" s="12" t="inlineStr">
        <is>
          <t>Touchpoints</t>
        </is>
      </c>
      <c r="D619" s="14" t="inlineStr">
        <is>
          <t>Invoices, POs, variation orders, commissions</t>
        </is>
      </c>
      <c r="E619" s="14" t="inlineStr">
        <is>
          <t>Later</t>
        </is>
      </c>
      <c r="F619" s="12" t="inlineStr">
        <is>
          <t>Finance</t>
        </is>
      </c>
      <c r="G619" s="12" t="inlineStr"/>
      <c r="H619" s="12" t="inlineStr"/>
      <c r="I619" s="17" t="n"/>
      <c r="J619" s="17" t="n"/>
    </row>
    <row r="620">
      <c r="A620" s="12" t="inlineStr">
        <is>
          <t>Quote editor</t>
        </is>
      </c>
      <c r="B620" s="12" t="inlineStr">
        <is>
          <t>QX-05</t>
        </is>
      </c>
      <c r="C620" s="12" t="inlineStr">
        <is>
          <t>Touchpoints</t>
        </is>
      </c>
      <c r="D620" s="14" t="inlineStr">
        <is>
          <t>The co-pilot’s meeting brief</t>
        </is>
      </c>
      <c r="E620" s="14" t="inlineStr">
        <is>
          <t>Later</t>
        </is>
      </c>
      <c r="F620" s="12" t="inlineStr">
        <is>
          <t>Tools</t>
        </is>
      </c>
      <c r="G620" s="12" t="inlineStr"/>
      <c r="H620" s="12" t="inlineStr"/>
      <c r="I620" s="17" t="n"/>
      <c r="J620" s="17" t="n"/>
    </row>
    <row r="621">
      <c r="A621" s="12" t="inlineStr">
        <is>
          <t>Contracts</t>
        </is>
      </c>
      <c r="B621" s="12" t="inlineStr">
        <is>
          <t>DEF-01</t>
        </is>
      </c>
      <c r="C621" s="12" t="inlineStr">
        <is>
          <t>Definitions</t>
        </is>
      </c>
      <c r="D621" s="14" t="inlineStr">
        <is>
          <t>What a contract is — no record, four stand-ins</t>
        </is>
      </c>
      <c r="E621" s="14" t="inlineStr">
        <is>
          <t>Built in parity round 1</t>
        </is>
      </c>
      <c r="F621" s="12" t="inlineStr"/>
      <c r="G621" s="12" t="inlineStr">
        <is>
          <t>8.02</t>
        </is>
      </c>
      <c r="H621" s="12" t="inlineStr"/>
      <c r="I621" s="17" t="n"/>
      <c r="J621" s="17" t="n"/>
    </row>
    <row r="622">
      <c r="A622" s="12" t="inlineStr">
        <is>
          <t>Contracts</t>
        </is>
      </c>
      <c r="B622" s="12" t="inlineStr">
        <is>
          <t>DEF-02</t>
        </is>
      </c>
      <c r="C622" s="12" t="inlineStr">
        <is>
          <t>Definitions</t>
        </is>
      </c>
      <c r="D622" s="14" t="inlineStr">
        <is>
          <t>What the client signs — the quote plus documents</t>
        </is>
      </c>
      <c r="E622" s="14" t="inlineStr">
        <is>
          <t>Built in parity round 3</t>
        </is>
      </c>
      <c r="F622" s="12" t="inlineStr"/>
      <c r="G622" s="12" t="inlineStr">
        <is>
          <t>8.08</t>
        </is>
      </c>
      <c r="H622" s="12" t="inlineStr"/>
      <c r="I622" s="17" t="n"/>
      <c r="J622" s="17" t="n"/>
    </row>
    <row r="623">
      <c r="A623" s="12" t="inlineStr">
        <is>
          <t>Contracts</t>
        </is>
      </c>
      <c r="B623" s="12" t="inlineStr">
        <is>
          <t>DEF-03</t>
        </is>
      </c>
      <c r="C623" s="12" t="inlineStr">
        <is>
          <t>Definitions</t>
        </is>
      </c>
      <c r="D623" s="14" t="inlineStr">
        <is>
          <t>The signing library with read and accept checks</t>
        </is>
      </c>
      <c r="E623" s="14" t="inlineStr">
        <is>
          <t>Built in parity round 3</t>
        </is>
      </c>
      <c r="F623" s="12" t="inlineStr">
        <is>
          <t>PDF library held (Q-26); written documents are contract templates</t>
        </is>
      </c>
      <c r="G623" s="12" t="inlineStr">
        <is>
          <t>8.05, 8.24</t>
        </is>
      </c>
      <c r="H623" s="12" t="inlineStr"/>
      <c r="I623" s="17" t="n"/>
      <c r="J623" s="17" t="n"/>
    </row>
    <row r="624">
      <c r="A624" s="12" t="inlineStr">
        <is>
          <t>Contracts</t>
        </is>
      </c>
      <c r="B624" s="12" t="inlineStr">
        <is>
          <t>DEF-04</t>
        </is>
      </c>
      <c r="C624" s="12" t="inlineStr">
        <is>
          <t>Definitions</t>
        </is>
      </c>
      <c r="D624" s="14" t="inlineStr">
        <is>
          <t>Contract templates with tokens and a default</t>
        </is>
      </c>
      <c r="E624" s="14" t="inlineStr">
        <is>
          <t>Built</t>
        </is>
      </c>
      <c r="F624" s="12" t="inlineStr"/>
      <c r="G624" s="12" t="inlineStr">
        <is>
          <t>3.21, 8.02</t>
        </is>
      </c>
      <c r="H624" s="12" t="inlineStr"/>
      <c r="I624" s="17" t="n"/>
      <c r="J624" s="17" t="n"/>
    </row>
    <row r="625">
      <c r="A625" s="12" t="inlineStr">
        <is>
          <t>Contracts</t>
        </is>
      </c>
      <c r="B625" s="12" t="inlineStr">
        <is>
          <t>DEF-05</t>
        </is>
      </c>
      <c r="C625" s="12" t="inlineStr">
        <is>
          <t>Definitions</t>
        </is>
      </c>
      <c r="D625" s="14" t="inlineStr">
        <is>
          <t>Statuses: pending, viewed, signed, expired, cancelled</t>
        </is>
      </c>
      <c r="E625" s="14" t="inlineStr">
        <is>
          <t>Built in parity round 3</t>
        </is>
      </c>
      <c r="F625" s="12" t="inlineStr">
        <is>
          <t>Expired and cancelled stay the platform’s (Q-28); viewed is a date</t>
        </is>
      </c>
      <c r="G625" s="12" t="inlineStr">
        <is>
          <t>8.14</t>
        </is>
      </c>
      <c r="H625" s="12" t="inlineStr"/>
      <c r="I625" s="17" t="n"/>
      <c r="J625" s="17" t="n"/>
    </row>
    <row r="626">
      <c r="A626" s="12" t="inlineStr">
        <is>
          <t>Contracts</t>
        </is>
      </c>
      <c r="B626" s="12" t="inlineStr">
        <is>
          <t>DEF-06</t>
        </is>
      </c>
      <c r="C626" s="12" t="inlineStr">
        <is>
          <t>Definitions</t>
        </is>
      </c>
      <c r="D626" s="14" t="inlineStr">
        <is>
          <t>The text is fixed and fingerprinted when sent</t>
        </is>
      </c>
      <c r="E626" s="14" t="inlineStr">
        <is>
          <t>Built in parity round 1</t>
        </is>
      </c>
      <c r="F626" s="12" t="inlineStr"/>
      <c r="G626" s="12" t="inlineStr">
        <is>
          <t>8.11</t>
        </is>
      </c>
      <c r="H626" s="12" t="inlineStr"/>
      <c r="I626" s="17" t="n"/>
      <c r="J626" s="17" t="n"/>
    </row>
    <row r="627">
      <c r="A627" s="12" t="inlineStr">
        <is>
          <t>Contracts</t>
        </is>
      </c>
      <c r="B627" s="12" t="inlineStr">
        <is>
          <t>DEF-07</t>
        </is>
      </c>
      <c r="C627" s="12" t="inlineStr">
        <is>
          <t>Definitions</t>
        </is>
      </c>
      <c r="D627" s="14" t="inlineStr">
        <is>
          <t>Merge fields (11 tokens)</t>
        </is>
      </c>
      <c r="E627" s="14" t="inlineStr">
        <is>
          <t>Built</t>
        </is>
      </c>
      <c r="F627" s="12" t="inlineStr"/>
      <c r="G627" s="12" t="inlineStr">
        <is>
          <t>8.03</t>
        </is>
      </c>
      <c r="H627" s="12" t="inlineStr"/>
      <c r="I627" s="17" t="n"/>
      <c r="J627" s="17" t="n"/>
    </row>
    <row r="628">
      <c r="A628" s="12" t="inlineStr">
        <is>
          <t>Contracts</t>
        </is>
      </c>
      <c r="B628" s="12" t="inlineStr">
        <is>
          <t>DEF-08</t>
        </is>
      </c>
      <c r="C628" s="12" t="inlineStr">
        <is>
          <t>Definitions</t>
        </is>
      </c>
      <c r="D628" s="14" t="inlineStr">
        <is>
          <t>Which quote the contract belongs to</t>
        </is>
      </c>
      <c r="E628" s="14" t="inlineStr">
        <is>
          <t>Built in parity round 2</t>
        </is>
      </c>
      <c r="F628" s="12" t="inlineStr"/>
      <c r="G628" s="12" t="inlineStr">
        <is>
          <t>8.02</t>
        </is>
      </c>
      <c r="H628" s="12" t="inlineStr"/>
      <c r="I628" s="17" t="n"/>
      <c r="J628" s="17" t="n"/>
    </row>
    <row r="629">
      <c r="A629" s="12" t="inlineStr">
        <is>
          <t>Contracts</t>
        </is>
      </c>
      <c r="B629" s="12" t="inlineStr">
        <is>
          <t>DEF-09</t>
        </is>
      </c>
      <c r="C629" s="12" t="inlineStr">
        <is>
          <t>Definitions</t>
        </is>
      </c>
      <c r="D629" s="14" t="inlineStr">
        <is>
          <t>The issuing entity on the contract</t>
        </is>
      </c>
      <c r="E629" s="14" t="inlineStr">
        <is>
          <t>Built in parity round 2</t>
        </is>
      </c>
      <c r="F629" s="12" t="inlineStr"/>
      <c r="G629" s="12" t="inlineStr"/>
      <c r="H629" s="28" t="inlineStr">
        <is>
          <t>Team check</t>
        </is>
      </c>
      <c r="I629" s="17" t="n"/>
      <c r="J629" s="17" t="n"/>
    </row>
    <row r="630">
      <c r="A630" s="12" t="inlineStr">
        <is>
          <t>Contracts</t>
        </is>
      </c>
      <c r="B630" s="12" t="inlineStr">
        <is>
          <t>DEF-10</t>
        </is>
      </c>
      <c r="C630" s="12" t="inlineStr">
        <is>
          <t>Definitions</t>
        </is>
      </c>
      <c r="D630" s="14" t="inlineStr">
        <is>
          <t>Who signs, and how — drawn signature, phone code</t>
        </is>
      </c>
      <c r="E630" s="14" t="inlineStr">
        <is>
          <t>Built in parity round 3</t>
        </is>
      </c>
      <c r="F630" s="12" t="inlineStr">
        <is>
          <t>The one-time code stays simulated — the platform’s (Q-28)</t>
        </is>
      </c>
      <c r="G630" s="12" t="inlineStr">
        <is>
          <t>8.12, 12.12</t>
        </is>
      </c>
      <c r="H630" s="12" t="inlineStr"/>
      <c r="I630" s="17" t="n"/>
      <c r="J630" s="17" t="n"/>
    </row>
    <row r="631">
      <c r="A631" s="12" t="inlineStr">
        <is>
          <t>Contracts</t>
        </is>
      </c>
      <c r="B631" s="12" t="inlineStr">
        <is>
          <t>DEF-11</t>
        </is>
      </c>
      <c r="C631" s="12" t="inlineStr">
        <is>
          <t>Definitions</t>
        </is>
      </c>
      <c r="D631" s="14" t="inlineStr">
        <is>
          <t>The signing evidence and certificate</t>
        </is>
      </c>
      <c r="E631" s="14" t="inlineStr">
        <is>
          <t>Built in parity round 3</t>
        </is>
      </c>
      <c r="F631" s="12" t="inlineStr"/>
      <c r="G631" s="12" t="inlineStr">
        <is>
          <t>8.13</t>
        </is>
      </c>
      <c r="H631" s="12" t="inlineStr"/>
      <c r="I631" s="17" t="n"/>
      <c r="J631" s="17" t="n"/>
    </row>
    <row r="632">
      <c r="A632" s="12" t="inlineStr">
        <is>
          <t>Contracts</t>
        </is>
      </c>
      <c r="B632" s="12" t="inlineStr">
        <is>
          <t>DEF-12</t>
        </is>
      </c>
      <c r="C632" s="12" t="inlineStr">
        <is>
          <t>Definitions</t>
        </is>
      </c>
      <c r="D632" s="14" t="inlineStr">
        <is>
          <t>A paper contract uploaded on the lead</t>
        </is>
      </c>
      <c r="E632" s="14" t="inlineStr">
        <is>
          <t>Built in parity round 2</t>
        </is>
      </c>
      <c r="F632" s="12" t="inlineStr"/>
      <c r="G632" s="12" t="inlineStr">
        <is>
          <t>8.19, 8.21</t>
        </is>
      </c>
      <c r="H632" s="12" t="inlineStr"/>
      <c r="I632" s="17" t="n"/>
      <c r="J632" s="17" t="n"/>
    </row>
    <row r="633">
      <c r="A633" s="12" t="inlineStr">
        <is>
          <t>Contracts</t>
        </is>
      </c>
      <c r="B633" s="12" t="inlineStr">
        <is>
          <t>DEF-13</t>
        </is>
      </c>
      <c r="C633" s="12" t="inlineStr">
        <is>
          <t>Definitions</t>
        </is>
      </c>
      <c r="D633" s="14" t="inlineStr">
        <is>
          <t>The studio’s own signature on documents</t>
        </is>
      </c>
      <c r="E633" s="14" t="inlineStr">
        <is>
          <t>Built in parity round 1</t>
        </is>
      </c>
      <c r="F633" s="12" t="inlineStr">
        <is>
          <t>Its own Settings card held; set in a quote’s Signature section (Q-30)</t>
        </is>
      </c>
      <c r="G633" s="12" t="inlineStr"/>
      <c r="H633" s="28" t="inlineStr">
        <is>
          <t>Team check</t>
        </is>
      </c>
      <c r="I633" s="17" t="n"/>
      <c r="J633" s="17" t="n"/>
    </row>
    <row r="634">
      <c r="A634" s="12" t="inlineStr">
        <is>
          <t>Contracts</t>
        </is>
      </c>
      <c r="B634" s="12" t="inlineStr">
        <is>
          <t>MM-01</t>
        </is>
      </c>
      <c r="C634" s="12" t="inlineStr">
        <is>
          <t>Mismatches</t>
        </is>
      </c>
      <c r="D634" s="14" t="inlineStr">
        <is>
          <t>What a contract is</t>
        </is>
      </c>
      <c r="E634" s="14" t="inlineStr">
        <is>
          <t>Built in parity round 1</t>
        </is>
      </c>
      <c r="F634" s="12" t="inlineStr"/>
      <c r="G634" s="12" t="inlineStr">
        <is>
          <t>8.02</t>
        </is>
      </c>
      <c r="H634" s="12" t="inlineStr"/>
      <c r="I634" s="17" t="n"/>
      <c r="J634" s="17" t="n"/>
    </row>
    <row r="635">
      <c r="A635" s="12" t="inlineStr">
        <is>
          <t>Contracts</t>
        </is>
      </c>
      <c r="B635" s="12" t="inlineStr">
        <is>
          <t>MM-02</t>
        </is>
      </c>
      <c r="C635" s="12" t="inlineStr">
        <is>
          <t>Mismatches</t>
        </is>
      </c>
      <c r="D635" s="14" t="inlineStr">
        <is>
          <t>What the client signs</t>
        </is>
      </c>
      <c r="E635" s="14" t="inlineStr">
        <is>
          <t>Built in parity round 3</t>
        </is>
      </c>
      <c r="F635" s="12" t="inlineStr"/>
      <c r="G635" s="12" t="inlineStr">
        <is>
          <t>8.08</t>
        </is>
      </c>
      <c r="H635" s="12" t="inlineStr"/>
      <c r="I635" s="17" t="n"/>
      <c r="J635" s="17" t="n"/>
    </row>
    <row r="636">
      <c r="A636" s="12" t="inlineStr">
        <is>
          <t>Contracts</t>
        </is>
      </c>
      <c r="B636" s="12" t="inlineStr">
        <is>
          <t>MM-03</t>
        </is>
      </c>
      <c r="C636" s="12" t="inlineStr">
        <is>
          <t>Mismatches</t>
        </is>
      </c>
      <c r="D636" s="14" t="inlineStr">
        <is>
          <t>Statuses</t>
        </is>
      </c>
      <c r="E636" s="14" t="inlineStr">
        <is>
          <t>Built in parity round 3</t>
        </is>
      </c>
      <c r="F636" s="12" t="inlineStr"/>
      <c r="G636" s="12" t="inlineStr">
        <is>
          <t>8.14</t>
        </is>
      </c>
      <c r="H636" s="12" t="inlineStr"/>
      <c r="I636" s="17" t="n"/>
      <c r="J636" s="17" t="n"/>
    </row>
    <row r="637">
      <c r="A637" s="12" t="inlineStr">
        <is>
          <t>Contracts</t>
        </is>
      </c>
      <c r="B637" s="12" t="inlineStr">
        <is>
          <t>MM-04</t>
        </is>
      </c>
      <c r="C637" s="12" t="inlineStr">
        <is>
          <t>Mismatches</t>
        </is>
      </c>
      <c r="D637" s="14" t="inlineStr">
        <is>
          <t>The text at signing</t>
        </is>
      </c>
      <c r="E637" s="14" t="inlineStr">
        <is>
          <t>Built in parity round 1</t>
        </is>
      </c>
      <c r="F637" s="12" t="inlineStr"/>
      <c r="G637" s="12" t="inlineStr">
        <is>
          <t>8.11</t>
        </is>
      </c>
      <c r="H637" s="12" t="inlineStr"/>
      <c r="I637" s="17" t="n"/>
      <c r="J637" s="17" t="n"/>
    </row>
    <row r="638">
      <c r="A638" s="12" t="inlineStr">
        <is>
          <t>Contracts</t>
        </is>
      </c>
      <c r="B638" s="12" t="inlineStr">
        <is>
          <t>MM-05</t>
        </is>
      </c>
      <c r="C638" s="12" t="inlineStr">
        <is>
          <t>Mismatches</t>
        </is>
      </c>
      <c r="D638" s="14" t="inlineStr">
        <is>
          <t>What can change after signing</t>
        </is>
      </c>
      <c r="E638" s="14" t="inlineStr">
        <is>
          <t>Built in parity round 1</t>
        </is>
      </c>
      <c r="F638" s="12" t="inlineStr"/>
      <c r="G638" s="12" t="inlineStr">
        <is>
          <t>8.14, 8.20</t>
        </is>
      </c>
      <c r="H638" s="12" t="inlineStr"/>
      <c r="I638" s="17" t="n"/>
      <c r="J638" s="17" t="n"/>
    </row>
    <row r="639">
      <c r="A639" s="12" t="inlineStr">
        <is>
          <t>Contracts</t>
        </is>
      </c>
      <c r="B639" s="12" t="inlineStr">
        <is>
          <t>MM-06</t>
        </is>
      </c>
      <c r="C639" s="12" t="inlineStr">
        <is>
          <t>Mismatches</t>
        </is>
      </c>
      <c r="D639" s="14" t="inlineStr">
        <is>
          <t>The signing link’s life</t>
        </is>
      </c>
      <c r="E639" s="14" t="inlineStr">
        <is>
          <t>Built in parity round 1</t>
        </is>
      </c>
      <c r="F639" s="12" t="inlineStr">
        <is>
          <t>Token, expiry and cancel stay the platform’s (Q-28)</t>
        </is>
      </c>
      <c r="G639" s="12" t="inlineStr">
        <is>
          <t>8.07, 8.26, 12.10</t>
        </is>
      </c>
      <c r="H639" s="12" t="inlineStr"/>
      <c r="I639" s="17" t="n"/>
      <c r="J639" s="17" t="n"/>
    </row>
    <row r="640">
      <c r="A640" s="12" t="inlineStr">
        <is>
          <t>Contracts</t>
        </is>
      </c>
      <c r="B640" s="12" t="inlineStr">
        <is>
          <t>MM-07</t>
        </is>
      </c>
      <c r="C640" s="12" t="inlineStr">
        <is>
          <t>Mismatches</t>
        </is>
      </c>
      <c r="D640" s="14" t="inlineStr">
        <is>
          <t>The contract’s quote</t>
        </is>
      </c>
      <c r="E640" s="14" t="inlineStr">
        <is>
          <t>Built in parity round 2</t>
        </is>
      </c>
      <c r="F640" s="12" t="inlineStr"/>
      <c r="G640" s="12" t="inlineStr">
        <is>
          <t>8.02</t>
        </is>
      </c>
      <c r="H640" s="12" t="inlineStr"/>
      <c r="I640" s="17" t="n"/>
      <c r="J640" s="17" t="n"/>
    </row>
    <row r="641">
      <c r="A641" s="12" t="inlineStr">
        <is>
          <t>Contracts</t>
        </is>
      </c>
      <c r="B641" s="12" t="inlineStr">
        <is>
          <t>MM-08</t>
        </is>
      </c>
      <c r="C641" s="12" t="inlineStr">
        <is>
          <t>Mismatches</t>
        </is>
      </c>
      <c r="D641" s="14" t="inlineStr">
        <is>
          <t>The issuer</t>
        </is>
      </c>
      <c r="E641" s="14" t="inlineStr">
        <is>
          <t>Built in parity round 2</t>
        </is>
      </c>
      <c r="F641" s="12" t="inlineStr"/>
      <c r="G641" s="12" t="inlineStr"/>
      <c r="H641" s="28" t="inlineStr">
        <is>
          <t>Team check</t>
        </is>
      </c>
      <c r="I641" s="17" t="n"/>
      <c r="J641" s="17" t="n"/>
    </row>
    <row r="642">
      <c r="A642" s="12" t="inlineStr">
        <is>
          <t>Contracts</t>
        </is>
      </c>
      <c r="B642" s="12" t="inlineStr">
        <is>
          <t>MM-09</t>
        </is>
      </c>
      <c r="C642" s="12" t="inlineStr">
        <is>
          <t>Mismatches</t>
        </is>
      </c>
      <c r="D642" s="14" t="inlineStr">
        <is>
          <t>Several documents in one signing</t>
        </is>
      </c>
      <c r="E642" s="14" t="inlineStr">
        <is>
          <t>Built in parity round 3</t>
        </is>
      </c>
      <c r="F642" s="12" t="inlineStr"/>
      <c r="G642" s="12" t="inlineStr">
        <is>
          <t>8.05, 8.23</t>
        </is>
      </c>
      <c r="H642" s="12" t="inlineStr"/>
      <c r="I642" s="17" t="n"/>
      <c r="J642" s="17" t="n"/>
    </row>
    <row r="643">
      <c r="A643" s="12" t="inlineStr">
        <is>
          <t>Contracts</t>
        </is>
      </c>
      <c r="B643" s="12" t="inlineStr">
        <is>
          <t>MM-10</t>
        </is>
      </c>
      <c r="C643" s="12" t="inlineStr">
        <is>
          <t>Mismatches</t>
        </is>
      </c>
      <c r="D643" s="14" t="inlineStr">
        <is>
          <t>The signature — drawn or typed</t>
        </is>
      </c>
      <c r="E643" s="14" t="inlineStr">
        <is>
          <t>Built in parity round 3</t>
        </is>
      </c>
      <c r="F643" s="12" t="inlineStr"/>
      <c r="G643" s="12" t="inlineStr">
        <is>
          <t>8.12</t>
        </is>
      </c>
      <c r="H643" s="12" t="inlineStr"/>
      <c r="I643" s="17" t="n"/>
      <c r="J643" s="17" t="n"/>
    </row>
    <row r="644">
      <c r="A644" s="12" t="inlineStr">
        <is>
          <t>Contracts</t>
        </is>
      </c>
      <c r="B644" s="12" t="inlineStr">
        <is>
          <t>MM-11</t>
        </is>
      </c>
      <c r="C644" s="12" t="inlineStr">
        <is>
          <t>Mismatches</t>
        </is>
      </c>
      <c r="D644" s="14" t="inlineStr">
        <is>
          <t>Reminders</t>
        </is>
      </c>
      <c r="E644" s="14" t="inlineStr">
        <is>
          <t>Built in parity round 4</t>
        </is>
      </c>
      <c r="F644" s="12" t="inlineStr"/>
      <c r="G644" s="12" t="inlineStr">
        <is>
          <t>8.06, 8.16</t>
        </is>
      </c>
      <c r="H644" s="12" t="inlineStr"/>
      <c r="I644" s="17" t="n"/>
      <c r="J644" s="17" t="n"/>
    </row>
    <row r="645">
      <c r="A645" s="12" t="inlineStr">
        <is>
          <t>Contracts</t>
        </is>
      </c>
      <c r="B645" s="12" t="inlineStr">
        <is>
          <t>MM-12</t>
        </is>
      </c>
      <c r="C645" s="12" t="inlineStr">
        <is>
          <t>Mismatches</t>
        </is>
      </c>
      <c r="D645" s="14" t="inlineStr">
        <is>
          <t>Roles — who may do what with contracts</t>
        </is>
      </c>
      <c r="E645" s="14" t="inlineStr">
        <is>
          <t>Built in parity round 4</t>
        </is>
      </c>
      <c r="F645" s="12" t="inlineStr"/>
      <c r="G645" s="12" t="inlineStr">
        <is>
          <t>8.20</t>
        </is>
      </c>
      <c r="H645" s="12" t="inlineStr"/>
      <c r="I645" s="17" t="n"/>
      <c r="J645" s="17" t="n"/>
    </row>
    <row r="646">
      <c r="A646" s="12" t="inlineStr">
        <is>
          <t>Contracts</t>
        </is>
      </c>
      <c r="B646" s="12" t="inlineStr">
        <is>
          <t>CR-01</t>
        </is>
      </c>
      <c r="C646" s="12" t="inlineStr">
        <is>
          <t>The record and its ways in</t>
        </is>
      </c>
      <c r="D646" s="14" t="inlineStr">
        <is>
          <t>Ways to start a contract</t>
        </is>
      </c>
      <c r="E646" s="14" t="inlineStr">
        <is>
          <t>Built</t>
        </is>
      </c>
      <c r="F646" s="12" t="inlineStr"/>
      <c r="G646" s="12" t="inlineStr">
        <is>
          <t>8.01, 11.12, 12.10</t>
        </is>
      </c>
      <c r="H646" s="12" t="inlineStr"/>
      <c r="I646" s="17" t="n"/>
      <c r="J646" s="17" t="n"/>
    </row>
    <row r="647">
      <c r="A647" s="12" t="inlineStr">
        <is>
          <t>Contracts</t>
        </is>
      </c>
      <c r="B647" s="12" t="inlineStr">
        <is>
          <t>CR-02</t>
        </is>
      </c>
      <c r="C647" s="12" t="inlineStr">
        <is>
          <t>The record and its ways in</t>
        </is>
      </c>
      <c r="D647" s="14" t="inlineStr">
        <is>
          <t>The contract dialog’s states</t>
        </is>
      </c>
      <c r="E647" s="14" t="inlineStr">
        <is>
          <t>Built</t>
        </is>
      </c>
      <c r="F647" s="12" t="inlineStr"/>
      <c r="G647" s="12" t="inlineStr"/>
      <c r="H647" s="28" t="inlineStr">
        <is>
          <t>Team check</t>
        </is>
      </c>
      <c r="I647" s="17" t="n"/>
      <c r="J647" s="17" t="n"/>
    </row>
    <row r="648">
      <c r="A648" s="12" t="inlineStr">
        <is>
          <t>Contracts</t>
        </is>
      </c>
      <c r="B648" s="12" t="inlineStr">
        <is>
          <t>CR-03</t>
        </is>
      </c>
      <c r="C648" s="12" t="inlineStr">
        <is>
          <t>The record and its ways in</t>
        </is>
      </c>
      <c r="D648" s="14" t="inlineStr">
        <is>
          <t>A contract only with an approved quote</t>
        </is>
      </c>
      <c r="E648" s="14" t="inlineStr">
        <is>
          <t>Built</t>
        </is>
      </c>
      <c r="F648" s="12" t="inlineStr"/>
      <c r="G648" s="12" t="inlineStr"/>
      <c r="H648" s="28" t="inlineStr">
        <is>
          <t>Team check</t>
        </is>
      </c>
      <c r="I648" s="17" t="n"/>
      <c r="J648" s="17" t="n"/>
    </row>
    <row r="649">
      <c r="A649" s="12" t="inlineStr">
        <is>
          <t>Contracts</t>
        </is>
      </c>
      <c r="B649" s="12" t="inlineStr">
        <is>
          <t>CR-04</t>
        </is>
      </c>
      <c r="C649" s="12" t="inlineStr">
        <is>
          <t>The record and its ways in</t>
        </is>
      </c>
      <c r="D649" s="14" t="inlineStr">
        <is>
          <t>A record per contract</t>
        </is>
      </c>
      <c r="E649" s="14" t="inlineStr">
        <is>
          <t>2.0 only</t>
        </is>
      </c>
      <c r="F649" s="12" t="inlineStr"/>
      <c r="G649" s="12" t="inlineStr">
        <is>
          <t>8.02</t>
        </is>
      </c>
      <c r="H649" s="12" t="inlineStr"/>
      <c r="I649" s="17" t="n"/>
      <c r="J649" s="17" t="n"/>
    </row>
    <row r="650">
      <c r="A650" s="12" t="inlineStr">
        <is>
          <t>Contracts</t>
        </is>
      </c>
      <c r="B650" s="12" t="inlineStr">
        <is>
          <t>CR-05</t>
        </is>
      </c>
      <c r="C650" s="12" t="inlineStr">
        <is>
          <t>The record and its ways in</t>
        </is>
      </c>
      <c r="D650" s="14" t="inlineStr">
        <is>
          <t>Drafts kept while writing</t>
        </is>
      </c>
      <c r="E650" s="14" t="inlineStr">
        <is>
          <t>Built</t>
        </is>
      </c>
      <c r="F650" s="12" t="inlineStr"/>
      <c r="G650" s="12" t="inlineStr">
        <is>
          <t>8.02</t>
        </is>
      </c>
      <c r="H650" s="12" t="inlineStr"/>
      <c r="I650" s="17" t="n"/>
      <c r="J650" s="17" t="n"/>
    </row>
    <row r="651">
      <c r="A651" s="12" t="inlineStr">
        <is>
          <t>Contracts</t>
        </is>
      </c>
      <c r="B651" s="12" t="inlineStr">
        <is>
          <t>CR-06</t>
        </is>
      </c>
      <c r="C651" s="12" t="inlineStr">
        <is>
          <t>The record and its ways in</t>
        </is>
      </c>
      <c r="D651" s="14" t="inlineStr">
        <is>
          <t>Close and reopen</t>
        </is>
      </c>
      <c r="E651" s="14" t="inlineStr">
        <is>
          <t>Built</t>
        </is>
      </c>
      <c r="F651" s="12" t="inlineStr"/>
      <c r="G651" s="12" t="inlineStr">
        <is>
          <t>8.15</t>
        </is>
      </c>
      <c r="H651" s="12" t="inlineStr"/>
      <c r="I651" s="17" t="n"/>
      <c r="J651" s="17" t="n"/>
    </row>
    <row r="652">
      <c r="A652" s="12" t="inlineStr">
        <is>
          <t>Contracts</t>
        </is>
      </c>
      <c r="B652" s="12" t="inlineStr">
        <is>
          <t>CR-07</t>
        </is>
      </c>
      <c r="C652" s="12" t="inlineStr">
        <is>
          <t>The record and its ways in</t>
        </is>
      </c>
      <c r="D652" s="14" t="inlineStr">
        <is>
          <t>Duplicate a contract</t>
        </is>
      </c>
      <c r="E652" s="14" t="inlineStr">
        <is>
          <t>2.0 only</t>
        </is>
      </c>
      <c r="F652" s="12" t="inlineStr"/>
      <c r="G652" s="12" t="inlineStr"/>
      <c r="H652" s="28" t="inlineStr">
        <is>
          <t>Team check</t>
        </is>
      </c>
      <c r="I652" s="17" t="n"/>
      <c r="J652" s="17" t="n"/>
    </row>
    <row r="653">
      <c r="A653" s="12" t="inlineStr">
        <is>
          <t>Contracts</t>
        </is>
      </c>
      <c r="B653" s="12" t="inlineStr">
        <is>
          <t>CR-08</t>
        </is>
      </c>
      <c r="C653" s="12" t="inlineStr">
        <is>
          <t>The record and its ways in</t>
        </is>
      </c>
      <c r="D653" s="14" t="inlineStr">
        <is>
          <t>Archive</t>
        </is>
      </c>
      <c r="E653" s="14" t="inlineStr">
        <is>
          <t>Built in parity round 1</t>
        </is>
      </c>
      <c r="F653" s="12" t="inlineStr"/>
      <c r="G653" s="12" t="inlineStr"/>
      <c r="H653" s="28" t="inlineStr">
        <is>
          <t>Team check</t>
        </is>
      </c>
      <c r="I653" s="17" t="n"/>
      <c r="J653" s="17" t="n"/>
    </row>
    <row r="654">
      <c r="A654" s="12" t="inlineStr">
        <is>
          <t>Contracts</t>
        </is>
      </c>
      <c r="B654" s="12" t="inlineStr">
        <is>
          <t>CR-09</t>
        </is>
      </c>
      <c r="C654" s="12" t="inlineStr">
        <is>
          <t>The record and its ways in</t>
        </is>
      </c>
      <c r="D654" s="14" t="inlineStr">
        <is>
          <t>Delete</t>
        </is>
      </c>
      <c r="E654" s="14" t="inlineStr">
        <is>
          <t>Built in parity round 4</t>
        </is>
      </c>
      <c r="F654" s="12" t="inlineStr"/>
      <c r="G654" s="12" t="inlineStr">
        <is>
          <t>8.25, 8.26</t>
        </is>
      </c>
      <c r="H654" s="12" t="inlineStr"/>
      <c r="I654" s="17" t="n"/>
      <c r="J654" s="17" t="n"/>
    </row>
    <row r="655">
      <c r="A655" s="12" t="inlineStr">
        <is>
          <t>Contracts</t>
        </is>
      </c>
      <c r="B655" s="12" t="inlineStr">
        <is>
          <t>CR-10</t>
        </is>
      </c>
      <c r="C655" s="12" t="inlineStr">
        <is>
          <t>The record and its ways in</t>
        </is>
      </c>
      <c r="D655" s="14" t="inlineStr">
        <is>
          <t>What happens when the lead goes</t>
        </is>
      </c>
      <c r="E655" s="14" t="inlineStr">
        <is>
          <t>Built in parity round 1</t>
        </is>
      </c>
      <c r="F655" s="12" t="inlineStr"/>
      <c r="G655" s="12" t="inlineStr"/>
      <c r="H655" s="28" t="inlineStr">
        <is>
          <t>Team check</t>
        </is>
      </c>
      <c r="I655" s="17" t="n"/>
      <c r="J655" s="17" t="n"/>
    </row>
    <row r="656">
      <c r="A656" s="12" t="inlineStr">
        <is>
          <t>Contracts</t>
        </is>
      </c>
      <c r="B656" s="12" t="inlineStr">
        <is>
          <t>CD-01</t>
        </is>
      </c>
      <c r="C656" s="12" t="inlineStr">
        <is>
          <t>The document</t>
        </is>
      </c>
      <c r="D656" s="14" t="inlineStr">
        <is>
          <t>One rich-text body</t>
        </is>
      </c>
      <c r="E656" s="14" t="inlineStr">
        <is>
          <t>Built</t>
        </is>
      </c>
      <c r="F656" s="12" t="inlineStr"/>
      <c r="G656" s="12" t="inlineStr">
        <is>
          <t>8.04</t>
        </is>
      </c>
      <c r="H656" s="12" t="inlineStr"/>
      <c r="I656" s="17" t="n"/>
      <c r="J656" s="17" t="n"/>
    </row>
    <row r="657">
      <c r="A657" s="12" t="inlineStr">
        <is>
          <t>Contracts</t>
        </is>
      </c>
      <c r="B657" s="12" t="inlineStr">
        <is>
          <t>CD-02</t>
        </is>
      </c>
      <c r="C657" s="12" t="inlineStr">
        <is>
          <t>The document</t>
        </is>
      </c>
      <c r="D657" s="14" t="inlineStr">
        <is>
          <t>Start from a template or blank</t>
        </is>
      </c>
      <c r="E657" s="14" t="inlineStr">
        <is>
          <t>Built</t>
        </is>
      </c>
      <c r="F657" s="12" t="inlineStr"/>
      <c r="G657" s="12" t="inlineStr">
        <is>
          <t>8.01</t>
        </is>
      </c>
      <c r="H657" s="12" t="inlineStr"/>
      <c r="I657" s="17" t="n"/>
      <c r="J657" s="17" t="n"/>
    </row>
    <row r="658">
      <c r="A658" s="12" t="inlineStr">
        <is>
          <t>Contracts</t>
        </is>
      </c>
      <c r="B658" s="12" t="inlineStr">
        <is>
          <t>CD-03</t>
        </is>
      </c>
      <c r="C658" s="12" t="inlineStr">
        <is>
          <t>The document</t>
        </is>
      </c>
      <c r="D658" s="14" t="inlineStr">
        <is>
          <t>Save as a new template</t>
        </is>
      </c>
      <c r="E658" s="14" t="inlineStr">
        <is>
          <t>Built</t>
        </is>
      </c>
      <c r="F658" s="12" t="inlineStr"/>
      <c r="G658" s="12" t="inlineStr"/>
      <c r="H658" s="28" t="inlineStr">
        <is>
          <t>Team check</t>
        </is>
      </c>
      <c r="I658" s="17" t="n"/>
      <c r="J658" s="17" t="n"/>
    </row>
    <row r="659">
      <c r="A659" s="12" t="inlineStr">
        <is>
          <t>Contracts</t>
        </is>
      </c>
      <c r="B659" s="12" t="inlineStr">
        <is>
          <t>CD-04</t>
        </is>
      </c>
      <c r="C659" s="12" t="inlineStr">
        <is>
          <t>The document</t>
        </is>
      </c>
      <c r="D659" s="14" t="inlineStr">
        <is>
          <t>The live preview matches the client’s page</t>
        </is>
      </c>
      <c r="E659" s="14" t="inlineStr">
        <is>
          <t>Built in parity round 1</t>
        </is>
      </c>
      <c r="F659" s="12" t="inlineStr"/>
      <c r="G659" s="12" t="inlineStr"/>
      <c r="H659" s="28" t="inlineStr">
        <is>
          <t>Team check</t>
        </is>
      </c>
      <c r="I659" s="17" t="n"/>
      <c r="J659" s="17" t="n"/>
    </row>
    <row r="660">
      <c r="A660" s="12" t="inlineStr">
        <is>
          <t>Contracts</t>
        </is>
      </c>
      <c r="B660" s="12" t="inlineStr">
        <is>
          <t>CD-05</t>
        </is>
      </c>
      <c r="C660" s="12" t="inlineStr">
        <is>
          <t>The document</t>
        </is>
      </c>
      <c r="D660" s="14" t="inlineStr">
        <is>
          <t>Formatting survives on every surface</t>
        </is>
      </c>
      <c r="E660" s="14" t="inlineStr">
        <is>
          <t>Built</t>
        </is>
      </c>
      <c r="F660" s="12" t="inlineStr"/>
      <c r="G660" s="12" t="inlineStr"/>
      <c r="H660" s="28" t="inlineStr">
        <is>
          <t>Team check</t>
        </is>
      </c>
      <c r="I660" s="17" t="n"/>
      <c r="J660" s="17" t="n"/>
    </row>
    <row r="661">
      <c r="A661" s="12" t="inlineStr">
        <is>
          <t>Contracts</t>
        </is>
      </c>
      <c r="B661" s="12" t="inlineStr">
        <is>
          <t>CD-06</t>
        </is>
      </c>
      <c r="C661" s="12" t="inlineStr">
        <is>
          <t>The document</t>
        </is>
      </c>
      <c r="D661" s="14" t="inlineStr">
        <is>
          <t>Cleaning pasted HTML safely</t>
        </is>
      </c>
      <c r="E661" s="14" t="inlineStr">
        <is>
          <t>Built in parity round 1</t>
        </is>
      </c>
      <c r="F661" s="12" t="inlineStr"/>
      <c r="G661" s="12" t="inlineStr"/>
      <c r="H661" s="28" t="inlineStr">
        <is>
          <t>Team check</t>
        </is>
      </c>
      <c r="I661" s="17" t="n"/>
      <c r="J661" s="17" t="n"/>
    </row>
    <row r="662">
      <c r="A662" s="12" t="inlineStr">
        <is>
          <t>Contracts</t>
        </is>
      </c>
      <c r="B662" s="12" t="inlineStr">
        <is>
          <t>CD-07</t>
        </is>
      </c>
      <c r="C662" s="12" t="inlineStr">
        <is>
          <t>The document</t>
        </is>
      </c>
      <c r="D662" s="14" t="inlineStr">
        <is>
          <t>Download as PDF</t>
        </is>
      </c>
      <c r="E662" s="14" t="inlineStr">
        <is>
          <t>Platform</t>
        </is>
      </c>
      <c r="F662" s="12" t="inlineStr">
        <is>
          <t>Stored PDFs are the platform’s; 2.0 prints the page</t>
        </is>
      </c>
      <c r="G662" s="12" t="inlineStr">
        <is>
          <t>8.13</t>
        </is>
      </c>
      <c r="H662" s="12" t="inlineStr"/>
      <c r="I662" s="17" t="n"/>
      <c r="J662" s="17" t="n"/>
    </row>
    <row r="663">
      <c r="A663" s="12" t="inlineStr">
        <is>
          <t>Contracts</t>
        </is>
      </c>
      <c r="B663" s="12" t="inlineStr">
        <is>
          <t>CD-08</t>
        </is>
      </c>
      <c r="C663" s="12" t="inlineStr">
        <is>
          <t>The document</t>
        </is>
      </c>
      <c r="D663" s="14" t="inlineStr">
        <is>
          <t>The PDF page layout</t>
        </is>
      </c>
      <c r="E663" s="14" t="inlineStr">
        <is>
          <t>Built</t>
        </is>
      </c>
      <c r="F663" s="12" t="inlineStr"/>
      <c r="G663" s="12" t="inlineStr">
        <is>
          <t>8.13</t>
        </is>
      </c>
      <c r="H663" s="12" t="inlineStr"/>
      <c r="I663" s="17" t="n"/>
      <c r="J663" s="17" t="n"/>
    </row>
    <row r="664">
      <c r="A664" s="12" t="inlineStr">
        <is>
          <t>Contracts</t>
        </is>
      </c>
      <c r="B664" s="12" t="inlineStr">
        <is>
          <t>CD-09</t>
        </is>
      </c>
      <c r="C664" s="12" t="inlineStr">
        <is>
          <t>The document</t>
        </is>
      </c>
      <c r="D664" s="14" t="inlineStr">
        <is>
          <t>Checks before sending</t>
        </is>
      </c>
      <c r="E664" s="14" t="inlineStr">
        <is>
          <t>Built in parity round 4</t>
        </is>
      </c>
      <c r="F664" s="12" t="inlineStr"/>
      <c r="G664" s="12" t="inlineStr">
        <is>
          <t>8.07, 8.22</t>
        </is>
      </c>
      <c r="H664" s="12" t="inlineStr"/>
      <c r="I664" s="17" t="n"/>
      <c r="J664" s="17" t="n"/>
    </row>
    <row r="665">
      <c r="A665" s="12" t="inlineStr">
        <is>
          <t>Contracts</t>
        </is>
      </c>
      <c r="B665" s="12" t="inlineStr">
        <is>
          <t>CD-10</t>
        </is>
      </c>
      <c r="C665" s="12" t="inlineStr">
        <is>
          <t>The document</t>
        </is>
      </c>
      <c r="D665" s="14" t="inlineStr">
        <is>
          <t>Read-only once signed</t>
        </is>
      </c>
      <c r="E665" s="14" t="inlineStr">
        <is>
          <t>Built in parity round 1</t>
        </is>
      </c>
      <c r="F665" s="12" t="inlineStr"/>
      <c r="G665" s="12" t="inlineStr">
        <is>
          <t>8.14</t>
        </is>
      </c>
      <c r="H665" s="12" t="inlineStr"/>
      <c r="I665" s="17" t="n"/>
      <c r="J665" s="17" t="n"/>
    </row>
    <row r="666">
      <c r="A666" s="12" t="inlineStr">
        <is>
          <t>Contracts</t>
        </is>
      </c>
      <c r="B666" s="12" t="inlineStr">
        <is>
          <t>CD-11</t>
        </is>
      </c>
      <c r="C666" s="12" t="inlineStr">
        <is>
          <t>The document</t>
        </is>
      </c>
      <c r="D666" s="14" t="inlineStr">
        <is>
          <t>Outline of headings</t>
        </is>
      </c>
      <c r="E666" s="14" t="inlineStr">
        <is>
          <t>2.0 only</t>
        </is>
      </c>
      <c r="F666" s="12" t="inlineStr"/>
      <c r="G666" s="12" t="inlineStr">
        <is>
          <t>8.04</t>
        </is>
      </c>
      <c r="H666" s="12" t="inlineStr"/>
      <c r="I666" s="17" t="n"/>
      <c r="J666" s="17" t="n"/>
    </row>
    <row r="667">
      <c r="A667" s="12" t="inlineStr">
        <is>
          <t>Contracts</t>
        </is>
      </c>
      <c r="B667" s="12" t="inlineStr">
        <is>
          <t>CD-12</t>
        </is>
      </c>
      <c r="C667" s="12" t="inlineStr">
        <is>
          <t>The document</t>
        </is>
      </c>
      <c r="D667" s="14" t="inlineStr">
        <is>
          <t>An uploaded contract file</t>
        </is>
      </c>
      <c r="E667" s="14" t="inlineStr">
        <is>
          <t>Platform</t>
        </is>
      </c>
      <c r="F667" s="12" t="inlineStr">
        <is>
          <t>File contents are the platform’s; 2.0 keeps the name</t>
        </is>
      </c>
      <c r="G667" s="12" t="inlineStr">
        <is>
          <t>8.19</t>
        </is>
      </c>
      <c r="H667" s="12" t="inlineStr"/>
      <c r="I667" s="17" t="n"/>
      <c r="J667" s="17" t="n"/>
    </row>
    <row r="668">
      <c r="A668" s="12" t="inlineStr">
        <is>
          <t>Contracts</t>
        </is>
      </c>
      <c r="B668" s="12" t="inlineStr">
        <is>
          <t>CM-01</t>
        </is>
      </c>
      <c r="C668" s="12" t="inlineStr">
        <is>
          <t>Smart text</t>
        </is>
      </c>
      <c r="D668" s="14" t="inlineStr">
        <is>
          <t>The merge fields</t>
        </is>
      </c>
      <c r="E668" s="14" t="inlineStr">
        <is>
          <t>Built</t>
        </is>
      </c>
      <c r="F668" s="12" t="inlineStr"/>
      <c r="G668" s="12" t="inlineStr">
        <is>
          <t>8.03</t>
        </is>
      </c>
      <c r="H668" s="12" t="inlineStr"/>
      <c r="I668" s="17" t="n"/>
      <c r="J668" s="17" t="n"/>
    </row>
    <row r="669">
      <c r="A669" s="12" t="inlineStr">
        <is>
          <t>Contracts</t>
        </is>
      </c>
      <c r="B669" s="12" t="inlineStr">
        <is>
          <t>CM-02</t>
        </is>
      </c>
      <c r="C669" s="12" t="inlineStr">
        <is>
          <t>Smart text</t>
        </is>
      </c>
      <c r="D669" s="14" t="inlineStr">
        <is>
          <t>Client name</t>
        </is>
      </c>
      <c r="E669" s="14" t="inlineStr">
        <is>
          <t>Built</t>
        </is>
      </c>
      <c r="F669" s="12" t="inlineStr"/>
      <c r="G669" s="12" t="inlineStr"/>
      <c r="H669" s="28" t="inlineStr">
        <is>
          <t>Team check</t>
        </is>
      </c>
      <c r="I669" s="17" t="n"/>
      <c r="J669" s="17" t="n"/>
    </row>
    <row r="670">
      <c r="A670" s="12" t="inlineStr">
        <is>
          <t>Contracts</t>
        </is>
      </c>
      <c r="B670" s="12" t="inlineStr">
        <is>
          <t>CM-03</t>
        </is>
      </c>
      <c r="C670" s="12" t="inlineStr">
        <is>
          <t>Smart text</t>
        </is>
      </c>
      <c r="D670" s="14" t="inlineStr">
        <is>
          <t>Quote total</t>
        </is>
      </c>
      <c r="E670" s="14" t="inlineStr">
        <is>
          <t>Built in parity round 2</t>
        </is>
      </c>
      <c r="F670" s="12" t="inlineStr"/>
      <c r="G670" s="12" t="inlineStr">
        <is>
          <t>8.03</t>
        </is>
      </c>
      <c r="H670" s="12" t="inlineStr"/>
      <c r="I670" s="17" t="n"/>
      <c r="J670" s="17" t="n"/>
    </row>
    <row r="671">
      <c r="A671" s="12" t="inlineStr">
        <is>
          <t>Contracts</t>
        </is>
      </c>
      <c r="B671" s="12" t="inlineStr">
        <is>
          <t>CM-04</t>
        </is>
      </c>
      <c r="C671" s="12" t="inlineStr">
        <is>
          <t>Smart text</t>
        </is>
      </c>
      <c r="D671" s="14" t="inlineStr">
        <is>
          <t>Project address</t>
        </is>
      </c>
      <c r="E671" s="14" t="inlineStr">
        <is>
          <t>Built</t>
        </is>
      </c>
      <c r="F671" s="12" t="inlineStr"/>
      <c r="G671" s="12" t="inlineStr"/>
      <c r="H671" s="28" t="inlineStr">
        <is>
          <t>Team check</t>
        </is>
      </c>
      <c r="I671" s="17" t="n"/>
      <c r="J671" s="17" t="n"/>
    </row>
    <row r="672">
      <c r="A672" s="12" t="inlineStr">
        <is>
          <t>Contracts</t>
        </is>
      </c>
      <c r="B672" s="12" t="inlineStr">
        <is>
          <t>CM-05</t>
        </is>
      </c>
      <c r="C672" s="12" t="inlineStr">
        <is>
          <t>Smart text</t>
        </is>
      </c>
      <c r="D672" s="14" t="inlineStr">
        <is>
          <t>Dates</t>
        </is>
      </c>
      <c r="E672" s="14" t="inlineStr">
        <is>
          <t>Built</t>
        </is>
      </c>
      <c r="F672" s="12" t="inlineStr">
        <is>
          <t>No start date — key collection is a period (Q-11)</t>
        </is>
      </c>
      <c r="G672" s="12" t="inlineStr"/>
      <c r="H672" s="28" t="inlineStr">
        <is>
          <t>Team check</t>
        </is>
      </c>
      <c r="I672" s="17" t="n"/>
      <c r="J672" s="17" t="n"/>
    </row>
    <row r="673">
      <c r="A673" s="12" t="inlineStr">
        <is>
          <t>Contracts</t>
        </is>
      </c>
      <c r="B673" s="12" t="inlineStr">
        <is>
          <t>CM-06</t>
        </is>
      </c>
      <c r="C673" s="12" t="inlineStr">
        <is>
          <t>Smart text</t>
        </is>
      </c>
      <c r="D673" s="14" t="inlineStr">
        <is>
          <t>The entity’s fields incl. GST number</t>
        </is>
      </c>
      <c r="E673" s="14" t="inlineStr">
        <is>
          <t>Built in parity round 2</t>
        </is>
      </c>
      <c r="F673" s="12" t="inlineStr"/>
      <c r="G673" s="12" t="inlineStr">
        <is>
          <t>8.03</t>
        </is>
      </c>
      <c r="H673" s="12" t="inlineStr"/>
      <c r="I673" s="17" t="n"/>
      <c r="J673" s="17" t="n"/>
    </row>
    <row r="674">
      <c r="A674" s="12" t="inlineStr">
        <is>
          <t>Contracts</t>
        </is>
      </c>
      <c r="B674" s="12" t="inlineStr">
        <is>
          <t>CM-07</t>
        </is>
      </c>
      <c r="C674" s="12" t="inlineStr">
        <is>
          <t>Smart text</t>
        </is>
      </c>
      <c r="D674" s="14" t="inlineStr">
        <is>
          <t>Variables list showing each value</t>
        </is>
      </c>
      <c r="E674" s="14" t="inlineStr">
        <is>
          <t>Built in parity round 2</t>
        </is>
      </c>
      <c r="F674" s="12" t="inlineStr"/>
      <c r="G674" s="12" t="inlineStr">
        <is>
          <t>8.03</t>
        </is>
      </c>
      <c r="H674" s="12" t="inlineStr"/>
      <c r="I674" s="17" t="n"/>
      <c r="J674" s="17" t="n"/>
    </row>
    <row r="675">
      <c r="A675" s="12" t="inlineStr">
        <is>
          <t>Contracts</t>
        </is>
      </c>
      <c r="B675" s="12" t="inlineStr">
        <is>
          <t>CM-08</t>
        </is>
      </c>
      <c r="C675" s="12" t="inlineStr">
        <is>
          <t>Smart text</t>
        </is>
      </c>
      <c r="D675" s="14" t="inlineStr">
        <is>
          <t>Unknown and empty fields</t>
        </is>
      </c>
      <c r="E675" s="14" t="inlineStr">
        <is>
          <t>Built</t>
        </is>
      </c>
      <c r="F675" s="12" t="inlineStr"/>
      <c r="G675" s="12" t="inlineStr">
        <is>
          <t>8.03</t>
        </is>
      </c>
      <c r="H675" s="12" t="inlineStr"/>
      <c r="I675" s="17" t="n"/>
      <c r="J675" s="17" t="n"/>
    </row>
    <row r="676">
      <c r="A676" s="12" t="inlineStr">
        <is>
          <t>Contracts</t>
        </is>
      </c>
      <c r="B676" s="12" t="inlineStr">
        <is>
          <t>CM-09</t>
        </is>
      </c>
      <c r="C676" s="12" t="inlineStr">
        <is>
          <t>Smart text</t>
        </is>
      </c>
      <c r="D676" s="14" t="inlineStr">
        <is>
          <t>Money format</t>
        </is>
      </c>
      <c r="E676" s="14" t="inlineStr">
        <is>
          <t>Built</t>
        </is>
      </c>
      <c r="F676" s="12" t="inlineStr"/>
      <c r="G676" s="12" t="inlineStr">
        <is>
          <t>8.03</t>
        </is>
      </c>
      <c r="H676" s="12" t="inlineStr"/>
      <c r="I676" s="17" t="n"/>
      <c r="J676" s="17" t="n"/>
    </row>
    <row r="677">
      <c r="A677" s="12" t="inlineStr">
        <is>
          <t>Contracts</t>
        </is>
      </c>
      <c r="B677" s="12" t="inlineStr">
        <is>
          <t>CM-10</t>
        </is>
      </c>
      <c r="C677" s="12" t="inlineStr">
        <is>
          <t>Smart text</t>
        </is>
      </c>
      <c r="D677" s="14" t="inlineStr">
        <is>
          <t>Values fixed when sent</t>
        </is>
      </c>
      <c r="E677" s="14" t="inlineStr">
        <is>
          <t>Built in parity round 1</t>
        </is>
      </c>
      <c r="F677" s="12" t="inlineStr"/>
      <c r="G677" s="12" t="inlineStr">
        <is>
          <t>8.14</t>
        </is>
      </c>
      <c r="H677" s="12" t="inlineStr"/>
      <c r="I677" s="17" t="n"/>
      <c r="J677" s="17" t="n"/>
    </row>
    <row r="678">
      <c r="A678" s="12" t="inlineStr">
        <is>
          <t>Contracts</t>
        </is>
      </c>
      <c r="B678" s="12" t="inlineStr">
        <is>
          <t>CT-01</t>
        </is>
      </c>
      <c r="C678" s="12" t="inlineStr">
        <is>
          <t>Templates</t>
        </is>
      </c>
      <c r="D678" s="14" t="inlineStr">
        <is>
          <t>Where contract templates live</t>
        </is>
      </c>
      <c r="E678" s="14" t="inlineStr">
        <is>
          <t>Built</t>
        </is>
      </c>
      <c r="F678" s="12" t="inlineStr"/>
      <c r="G678" s="12" t="inlineStr">
        <is>
          <t>3.21, 8.01</t>
        </is>
      </c>
      <c r="H678" s="12" t="inlineStr"/>
      <c r="I678" s="17" t="n"/>
      <c r="J678" s="17" t="n"/>
    </row>
    <row r="679">
      <c r="A679" s="12" t="inlineStr">
        <is>
          <t>Contracts</t>
        </is>
      </c>
      <c r="B679" s="12" t="inlineStr">
        <is>
          <t>CT-02</t>
        </is>
      </c>
      <c r="C679" s="12" t="inlineStr">
        <is>
          <t>Templates</t>
        </is>
      </c>
      <c r="D679" s="14" t="inlineStr">
        <is>
          <t>The template picker</t>
        </is>
      </c>
      <c r="E679" s="14" t="inlineStr">
        <is>
          <t>Built</t>
        </is>
      </c>
      <c r="F679" s="12" t="inlineStr"/>
      <c r="G679" s="12" t="inlineStr">
        <is>
          <t>8.01</t>
        </is>
      </c>
      <c r="H679" s="12" t="inlineStr"/>
      <c r="I679" s="17" t="n"/>
      <c r="J679" s="17" t="n"/>
    </row>
    <row r="680">
      <c r="A680" s="12" t="inlineStr">
        <is>
          <t>Contracts</t>
        </is>
      </c>
      <c r="B680" s="12" t="inlineStr">
        <is>
          <t>CT-03</t>
        </is>
      </c>
      <c r="C680" s="12" t="inlineStr">
        <is>
          <t>Templates</t>
        </is>
      </c>
      <c r="D680" s="14" t="inlineStr">
        <is>
          <t>No templates yet</t>
        </is>
      </c>
      <c r="E680" s="14" t="inlineStr">
        <is>
          <t>Built</t>
        </is>
      </c>
      <c r="F680" s="12" t="inlineStr"/>
      <c r="G680" s="12" t="inlineStr">
        <is>
          <t>3.21</t>
        </is>
      </c>
      <c r="H680" s="12" t="inlineStr"/>
      <c r="I680" s="17" t="n"/>
      <c r="J680" s="17" t="n"/>
    </row>
    <row r="681">
      <c r="A681" s="12" t="inlineStr">
        <is>
          <t>Contracts</t>
        </is>
      </c>
      <c r="B681" s="12" t="inlineStr">
        <is>
          <t>CT-04</t>
        </is>
      </c>
      <c r="C681" s="12" t="inlineStr">
        <is>
          <t>Templates</t>
        </is>
      </c>
      <c r="D681" s="14" t="inlineStr">
        <is>
          <t>The default template</t>
        </is>
      </c>
      <c r="E681" s="14" t="inlineStr">
        <is>
          <t>Built in parity round 2</t>
        </is>
      </c>
      <c r="F681" s="12" t="inlineStr"/>
      <c r="G681" s="12" t="inlineStr">
        <is>
          <t>3.22, 8.01</t>
        </is>
      </c>
      <c r="H681" s="12" t="inlineStr"/>
      <c r="I681" s="17" t="n"/>
      <c r="J681" s="17" t="n"/>
    </row>
    <row r="682">
      <c r="A682" s="12" t="inlineStr">
        <is>
          <t>Contracts</t>
        </is>
      </c>
      <c r="B682" s="12" t="inlineStr">
        <is>
          <t>CT-05</t>
        </is>
      </c>
      <c r="C682" s="12" t="inlineStr">
        <is>
          <t>Templates</t>
        </is>
      </c>
      <c r="D682" s="14" t="inlineStr">
        <is>
          <t>Per-entity template copies</t>
        </is>
      </c>
      <c r="E682" s="14" t="inlineStr">
        <is>
          <t>Not built — by design</t>
        </is>
      </c>
      <c r="F682" s="12" t="inlineStr">
        <is>
          <t>The contract’s issuing entity picks the letterhead instead (Q-29)</t>
        </is>
      </c>
      <c r="G682" s="12" t="inlineStr"/>
      <c r="H682" s="12" t="inlineStr"/>
      <c r="I682" s="17" t="n"/>
      <c r="J682" s="17" t="n"/>
    </row>
    <row r="683">
      <c r="A683" s="12" t="inlineStr">
        <is>
          <t>Contracts</t>
        </is>
      </c>
      <c r="B683" s="12" t="inlineStr">
        <is>
          <t>CT-06</t>
        </is>
      </c>
      <c r="C683" s="12" t="inlineStr">
        <is>
          <t>Templates</t>
        </is>
      </c>
      <c r="D683" s="14" t="inlineStr">
        <is>
          <t>The seeded contract template</t>
        </is>
      </c>
      <c r="E683" s="14" t="inlineStr">
        <is>
          <t>Built</t>
        </is>
      </c>
      <c r="F683" s="12" t="inlineStr"/>
      <c r="G683" s="12" t="inlineStr"/>
      <c r="H683" s="28" t="inlineStr">
        <is>
          <t>Team check</t>
        </is>
      </c>
      <c r="I683" s="17" t="n"/>
      <c r="J683" s="17" t="n"/>
    </row>
    <row r="684">
      <c r="A684" s="12" t="inlineStr">
        <is>
          <t>Contracts</t>
        </is>
      </c>
      <c r="B684" s="12" t="inlineStr">
        <is>
          <t>CT-07</t>
        </is>
      </c>
      <c r="C684" s="12" t="inlineStr">
        <is>
          <t>Templates</t>
        </is>
      </c>
      <c r="D684" s="14" t="inlineStr">
        <is>
          <t>The template editor</t>
        </is>
      </c>
      <c r="E684" s="14" t="inlineStr">
        <is>
          <t>Built</t>
        </is>
      </c>
      <c r="F684" s="12" t="inlineStr"/>
      <c r="G684" s="12" t="inlineStr">
        <is>
          <t>3.21</t>
        </is>
      </c>
      <c r="H684" s="12" t="inlineStr"/>
      <c r="I684" s="17" t="n"/>
      <c r="J684" s="17" t="n"/>
    </row>
    <row r="685">
      <c r="A685" s="12" t="inlineStr">
        <is>
          <t>Contracts</t>
        </is>
      </c>
      <c r="B685" s="12" t="inlineStr">
        <is>
          <t>CT-08</t>
        </is>
      </c>
      <c r="C685" s="12" t="inlineStr">
        <is>
          <t>Templates</t>
        </is>
      </c>
      <c r="D685" s="14" t="inlineStr">
        <is>
          <t>Delete a template</t>
        </is>
      </c>
      <c r="E685" s="14" t="inlineStr">
        <is>
          <t>Built in parity round 4</t>
        </is>
      </c>
      <c r="F685" s="12" t="inlineStr"/>
      <c r="G685" s="12" t="inlineStr"/>
      <c r="H685" s="28" t="inlineStr">
        <is>
          <t>Team check</t>
        </is>
      </c>
      <c r="I685" s="17" t="n"/>
      <c r="J685" s="17" t="n"/>
    </row>
    <row r="686">
      <c r="A686" s="12" t="inlineStr">
        <is>
          <t>Contracts</t>
        </is>
      </c>
      <c r="B686" s="12" t="inlineStr">
        <is>
          <t>CT-09</t>
        </is>
      </c>
      <c r="C686" s="12" t="inlineStr">
        <is>
          <t>Templates</t>
        </is>
      </c>
      <c r="D686" s="14" t="inlineStr">
        <is>
          <t>Who edits templates</t>
        </is>
      </c>
      <c r="E686" s="14" t="inlineStr">
        <is>
          <t>Built</t>
        </is>
      </c>
      <c r="F686" s="12" t="inlineStr"/>
      <c r="G686" s="12" t="inlineStr"/>
      <c r="H686" s="28" t="inlineStr">
        <is>
          <t>Team check</t>
        </is>
      </c>
      <c r="I686" s="17" t="n"/>
      <c r="J686" s="17" t="n"/>
    </row>
    <row r="687">
      <c r="A687" s="12" t="inlineStr">
        <is>
          <t>Contracts</t>
        </is>
      </c>
      <c r="B687" s="12" t="inlineStr">
        <is>
          <t>CT-10</t>
        </is>
      </c>
      <c r="C687" s="12" t="inlineStr">
        <is>
          <t>Templates</t>
        </is>
      </c>
      <c r="D687" s="14" t="inlineStr">
        <is>
          <t>Which template a contract came from</t>
        </is>
      </c>
      <c r="E687" s="14" t="inlineStr">
        <is>
          <t>Built</t>
        </is>
      </c>
      <c r="F687" s="12" t="inlineStr"/>
      <c r="G687" s="12" t="inlineStr">
        <is>
          <t>8.02</t>
        </is>
      </c>
      <c r="H687" s="12" t="inlineStr"/>
      <c r="I687" s="17" t="n"/>
      <c r="J687" s="17" t="n"/>
    </row>
    <row r="688">
      <c r="A688" s="12" t="inlineStr">
        <is>
          <t>Contracts</t>
        </is>
      </c>
      <c r="B688" s="12" t="inlineStr">
        <is>
          <t>CT-11</t>
        </is>
      </c>
      <c r="C688" s="12" t="inlineStr">
        <is>
          <t>Templates</t>
        </is>
      </c>
      <c r="D688" s="14" t="inlineStr">
        <is>
          <t>Updated by</t>
        </is>
      </c>
      <c r="E688" s="14" t="inlineStr">
        <is>
          <t>Built in parity round 4</t>
        </is>
      </c>
      <c r="F688" s="12" t="inlineStr"/>
      <c r="G688" s="12" t="inlineStr"/>
      <c r="H688" s="28" t="inlineStr">
        <is>
          <t>Team check</t>
        </is>
      </c>
      <c r="I688" s="17" t="n"/>
      <c r="J688" s="17" t="n"/>
    </row>
    <row r="689">
      <c r="A689" s="12" t="inlineStr">
        <is>
          <t>Contracts</t>
        </is>
      </c>
      <c r="B689" s="12" t="inlineStr">
        <is>
          <t>CT-12</t>
        </is>
      </c>
      <c r="C689" s="12" t="inlineStr">
        <is>
          <t>Templates</t>
        </is>
      </c>
      <c r="D689" s="14" t="inlineStr">
        <is>
          <t>Signing flow order setting</t>
        </is>
      </c>
      <c r="E689" s="14" t="inlineStr">
        <is>
          <t>Dead</t>
        </is>
      </c>
      <c r="F689" s="12" t="inlineStr">
        <is>
          <t>Seeded in 1.0, never read</t>
        </is>
      </c>
      <c r="G689" s="12" t="inlineStr"/>
      <c r="H689" s="12" t="inlineStr"/>
      <c r="I689" s="17" t="n"/>
      <c r="J689" s="17" t="n"/>
    </row>
    <row r="690">
      <c r="A690" s="12" t="inlineStr">
        <is>
          <t>Contracts</t>
        </is>
      </c>
      <c r="B690" s="12" t="inlineStr">
        <is>
          <t>CT-13</t>
        </is>
      </c>
      <c r="C690" s="12" t="inlineStr">
        <is>
          <t>Templates</t>
        </is>
      </c>
      <c r="D690" s="14" t="inlineStr">
        <is>
          <t>T&amp;Cs at signing</t>
        </is>
      </c>
      <c r="E690" s="14" t="inlineStr">
        <is>
          <t>Built</t>
        </is>
      </c>
      <c r="F690" s="12" t="inlineStr"/>
      <c r="G690" s="12" t="inlineStr">
        <is>
          <t>8.09</t>
        </is>
      </c>
      <c r="H690" s="12" t="inlineStr"/>
      <c r="I690" s="17" t="n"/>
      <c r="J690" s="17" t="n"/>
    </row>
    <row r="691">
      <c r="A691" s="12" t="inlineStr">
        <is>
          <t>Contracts</t>
        </is>
      </c>
      <c r="B691" s="12" t="inlineStr">
        <is>
          <t>CT-14</t>
        </is>
      </c>
      <c r="C691" s="12" t="inlineStr">
        <is>
          <t>Templates</t>
        </is>
      </c>
      <c r="D691" s="14" t="inlineStr">
        <is>
          <t>Read and accept checks on a document</t>
        </is>
      </c>
      <c r="E691" s="14" t="inlineStr">
        <is>
          <t>Built in parity round 3</t>
        </is>
      </c>
      <c r="F691" s="12" t="inlineStr"/>
      <c r="G691" s="12" t="inlineStr">
        <is>
          <t>3.21, 8.05</t>
        </is>
      </c>
      <c r="H691" s="12" t="inlineStr"/>
      <c r="I691" s="17" t="n"/>
      <c r="J691" s="17" t="n"/>
    </row>
    <row r="692">
      <c r="A692" s="12" t="inlineStr">
        <is>
          <t>Contracts</t>
        </is>
      </c>
      <c r="B692" s="12" t="inlineStr">
        <is>
          <t>CQ-01</t>
        </is>
      </c>
      <c r="C692" s="12" t="inlineStr">
        <is>
          <t>The quote and the issuing entity</t>
        </is>
      </c>
      <c r="D692" s="14" t="inlineStr">
        <is>
          <t>Which quote the contract reads</t>
        </is>
      </c>
      <c r="E692" s="14" t="inlineStr">
        <is>
          <t>Built in parity round 2</t>
        </is>
      </c>
      <c r="F692" s="12" t="inlineStr"/>
      <c r="G692" s="12" t="inlineStr">
        <is>
          <t>8.02</t>
        </is>
      </c>
      <c r="H692" s="12" t="inlineStr"/>
      <c r="I692" s="17" t="n"/>
      <c r="J692" s="17" t="n"/>
    </row>
    <row r="693">
      <c r="A693" s="12" t="inlineStr">
        <is>
          <t>Contracts</t>
        </is>
      </c>
      <c r="B693" s="12" t="inlineStr">
        <is>
          <t>CQ-02</t>
        </is>
      </c>
      <c r="C693" s="12" t="inlineStr">
        <is>
          <t>The quote and the issuing entity</t>
        </is>
      </c>
      <c r="D693" s="14" t="inlineStr">
        <is>
          <t>Choosing the quote</t>
        </is>
      </c>
      <c r="E693" s="14" t="inlineStr">
        <is>
          <t>Built in parity round 2</t>
        </is>
      </c>
      <c r="F693" s="12" t="inlineStr"/>
      <c r="G693" s="12" t="inlineStr">
        <is>
          <t>8.02</t>
        </is>
      </c>
      <c r="H693" s="12" t="inlineStr"/>
      <c r="I693" s="17" t="n"/>
      <c r="J693" s="17" t="n"/>
    </row>
    <row r="694">
      <c r="A694" s="12" t="inlineStr">
        <is>
          <t>Contracts</t>
        </is>
      </c>
      <c r="B694" s="12" t="inlineStr">
        <is>
          <t>CQ-03</t>
        </is>
      </c>
      <c r="C694" s="12" t="inlineStr">
        <is>
          <t>The quote and the issuing entity</t>
        </is>
      </c>
      <c r="D694" s="14" t="inlineStr">
        <is>
          <t>The quote shown on the contract</t>
        </is>
      </c>
      <c r="E694" s="14" t="inlineStr">
        <is>
          <t>Built in parity round 2</t>
        </is>
      </c>
      <c r="F694" s="12" t="inlineStr"/>
      <c r="G694" s="12" t="inlineStr">
        <is>
          <t>8.02</t>
        </is>
      </c>
      <c r="H694" s="12" t="inlineStr"/>
      <c r="I694" s="17" t="n"/>
      <c r="J694" s="17" t="n"/>
    </row>
    <row r="695">
      <c r="A695" s="12" t="inlineStr">
        <is>
          <t>Contracts</t>
        </is>
      </c>
      <c r="B695" s="12" t="inlineStr">
        <is>
          <t>CQ-04</t>
        </is>
      </c>
      <c r="C695" s="12" t="inlineStr">
        <is>
          <t>The quote and the issuing entity</t>
        </is>
      </c>
      <c r="D695" s="14" t="inlineStr">
        <is>
          <t>The contract shown on the quote</t>
        </is>
      </c>
      <c r="E695" s="14" t="inlineStr">
        <is>
          <t>Built in parity round 2</t>
        </is>
      </c>
      <c r="F695" s="12" t="inlineStr"/>
      <c r="G695" s="12" t="inlineStr">
        <is>
          <t>8.15</t>
        </is>
      </c>
      <c r="H695" s="12" t="inlineStr"/>
      <c r="I695" s="17" t="n"/>
      <c r="J695" s="17" t="n"/>
    </row>
    <row r="696">
      <c r="A696" s="12" t="inlineStr">
        <is>
          <t>Contracts</t>
        </is>
      </c>
      <c r="B696" s="12" t="inlineStr">
        <is>
          <t>CQ-05</t>
        </is>
      </c>
      <c r="C696" s="12" t="inlineStr">
        <is>
          <t>The quote and the issuing entity</t>
        </is>
      </c>
      <c r="D696" s="14" t="inlineStr">
        <is>
          <t>Signing the contract signs the quote</t>
        </is>
      </c>
      <c r="E696" s="14" t="inlineStr">
        <is>
          <t>Built</t>
        </is>
      </c>
      <c r="F696" s="12" t="inlineStr"/>
      <c r="G696" s="12" t="inlineStr">
        <is>
          <t>8.15</t>
        </is>
      </c>
      <c r="H696" s="12" t="inlineStr"/>
      <c r="I696" s="17" t="n"/>
      <c r="J696" s="17" t="n"/>
    </row>
    <row r="697">
      <c r="A697" s="12" t="inlineStr">
        <is>
          <t>Contracts</t>
        </is>
      </c>
      <c r="B697" s="12" t="inlineStr">
        <is>
          <t>CQ-06</t>
        </is>
      </c>
      <c r="C697" s="12" t="inlineStr">
        <is>
          <t>The quote and the issuing entity</t>
        </is>
      </c>
      <c r="D697" s="14" t="inlineStr">
        <is>
          <t>One signed base quote per lead</t>
        </is>
      </c>
      <c r="E697" s="14" t="inlineStr">
        <is>
          <t>Built</t>
        </is>
      </c>
      <c r="F697" s="12" t="inlineStr">
        <is>
          <t>Not proposed: each contract names its own quote</t>
        </is>
      </c>
      <c r="G697" s="12" t="inlineStr"/>
      <c r="H697" s="28" t="inlineStr">
        <is>
          <t>Team check</t>
        </is>
      </c>
      <c r="I697" s="17" t="n"/>
      <c r="J697" s="17" t="n"/>
    </row>
    <row r="698">
      <c r="A698" s="12" t="inlineStr">
        <is>
          <t>Contracts</t>
        </is>
      </c>
      <c r="B698" s="12" t="inlineStr">
        <is>
          <t>CQ-07</t>
        </is>
      </c>
      <c r="C698" s="12" t="inlineStr">
        <is>
          <t>The quote and the issuing entity</t>
        </is>
      </c>
      <c r="D698" s="14" t="inlineStr">
        <is>
          <t>The signed quote shows the client’s signed name</t>
        </is>
      </c>
      <c r="E698" s="14" t="inlineStr">
        <is>
          <t>Built in parity round 2</t>
        </is>
      </c>
      <c r="F698" s="12" t="inlineStr"/>
      <c r="G698" s="12" t="inlineStr"/>
      <c r="H698" s="28" t="inlineStr">
        <is>
          <t>Team check</t>
        </is>
      </c>
      <c r="I698" s="17" t="n"/>
      <c r="J698" s="17" t="n"/>
    </row>
    <row r="699">
      <c r="A699" s="12" t="inlineStr">
        <is>
          <t>Contracts</t>
        </is>
      </c>
      <c r="B699" s="12" t="inlineStr">
        <is>
          <t>CQ-08</t>
        </is>
      </c>
      <c r="C699" s="12" t="inlineStr">
        <is>
          <t>The quote and the issuing entity</t>
        </is>
      </c>
      <c r="D699" s="14" t="inlineStr">
        <is>
          <t>Picking the entity when sending</t>
        </is>
      </c>
      <c r="E699" s="14" t="inlineStr">
        <is>
          <t>Built in parity round 2</t>
        </is>
      </c>
      <c r="F699" s="12" t="inlineStr"/>
      <c r="G699" s="12" t="inlineStr"/>
      <c r="H699" s="28" t="inlineStr">
        <is>
          <t>Team check</t>
        </is>
      </c>
      <c r="I699" s="17" t="n"/>
      <c r="J699" s="17" t="n"/>
    </row>
    <row r="700">
      <c r="A700" s="12" t="inlineStr">
        <is>
          <t>Contracts</t>
        </is>
      </c>
      <c r="B700" s="12" t="inlineStr">
        <is>
          <t>CQ-09</t>
        </is>
      </c>
      <c r="C700" s="12" t="inlineStr">
        <is>
          <t>The quote and the issuing entity</t>
        </is>
      </c>
      <c r="D700" s="14" t="inlineStr">
        <is>
          <t>The entity printed on the document</t>
        </is>
      </c>
      <c r="E700" s="14" t="inlineStr">
        <is>
          <t>Built in parity round 2</t>
        </is>
      </c>
      <c r="F700" s="12" t="inlineStr"/>
      <c r="G700" s="12" t="inlineStr"/>
      <c r="H700" s="28" t="inlineStr">
        <is>
          <t>Team check</t>
        </is>
      </c>
      <c r="I700" s="17" t="n"/>
      <c r="J700" s="17" t="n"/>
    </row>
    <row r="701">
      <c r="A701" s="12" t="inlineStr">
        <is>
          <t>Contracts</t>
        </is>
      </c>
      <c r="B701" s="12" t="inlineStr">
        <is>
          <t>CS-01</t>
        </is>
      </c>
      <c r="C701" s="12" t="inlineStr">
        <is>
          <t>Sending</t>
        </is>
      </c>
      <c r="D701" s="14" t="inlineStr">
        <is>
          <t>The send form</t>
        </is>
      </c>
      <c r="E701" s="14" t="inlineStr">
        <is>
          <t>Built</t>
        </is>
      </c>
      <c r="F701" s="12" t="inlineStr"/>
      <c r="G701" s="12" t="inlineStr">
        <is>
          <t>8.07, 8.23</t>
        </is>
      </c>
      <c r="H701" s="12" t="inlineStr"/>
      <c r="I701" s="17" t="n"/>
      <c r="J701" s="17" t="n"/>
    </row>
    <row r="702">
      <c r="A702" s="12" t="inlineStr">
        <is>
          <t>Contracts</t>
        </is>
      </c>
      <c r="B702" s="12" t="inlineStr">
        <is>
          <t>CS-02</t>
        </is>
      </c>
      <c r="C702" s="12" t="inlineStr">
        <is>
          <t>Sending</t>
        </is>
      </c>
      <c r="D702" s="14" t="inlineStr">
        <is>
          <t>E-mail a composed contract as a PDF</t>
        </is>
      </c>
      <c r="E702" s="14" t="inlineStr">
        <is>
          <t>Not built — by design</t>
        </is>
      </c>
      <c r="F702" s="12" t="inlineStr">
        <is>
          <t>2.0 sends a signing link on WhatsApp; e-mail is the platform’s (Q-27)</t>
        </is>
      </c>
      <c r="G702" s="12" t="inlineStr"/>
      <c r="H702" s="12" t="inlineStr"/>
      <c r="I702" s="17" t="n"/>
      <c r="J702" s="17" t="n"/>
    </row>
    <row r="703">
      <c r="A703" s="12" t="inlineStr">
        <is>
          <t>Contracts</t>
        </is>
      </c>
      <c r="B703" s="12" t="inlineStr">
        <is>
          <t>CS-03</t>
        </is>
      </c>
      <c r="C703" s="12" t="inlineStr">
        <is>
          <t>Sending</t>
        </is>
      </c>
      <c r="D703" s="14" t="inlineStr">
        <is>
          <t>The link: copy, resend, regenerate, cancel</t>
        </is>
      </c>
      <c r="E703" s="14" t="inlineStr">
        <is>
          <t>Built in parity round 1</t>
        </is>
      </c>
      <c r="F703" s="12" t="inlineStr">
        <is>
          <t>Regenerate and cancel stay the platform’s (Q-28)</t>
        </is>
      </c>
      <c r="G703" s="12" t="inlineStr">
        <is>
          <t>8.07</t>
        </is>
      </c>
      <c r="H703" s="12" t="inlineStr"/>
      <c r="I703" s="17" t="n"/>
      <c r="J703" s="17" t="n"/>
    </row>
    <row r="704">
      <c r="A704" s="12" t="inlineStr">
        <is>
          <t>Contracts</t>
        </is>
      </c>
      <c r="B704" s="12" t="inlineStr">
        <is>
          <t>CS-04</t>
        </is>
      </c>
      <c r="C704" s="12" t="inlineStr">
        <is>
          <t>Sending</t>
        </is>
      </c>
      <c r="D704" s="14" t="inlineStr">
        <is>
          <t>Checks before sending</t>
        </is>
      </c>
      <c r="E704" s="14" t="inlineStr">
        <is>
          <t>Built in parity round 4</t>
        </is>
      </c>
      <c r="F704" s="12" t="inlineStr"/>
      <c r="G704" s="12" t="inlineStr">
        <is>
          <t>8.07, 8.22</t>
        </is>
      </c>
      <c r="H704" s="12" t="inlineStr"/>
      <c r="I704" s="17" t="n"/>
      <c r="J704" s="17" t="n"/>
    </row>
    <row r="705">
      <c r="A705" s="12" t="inlineStr">
        <is>
          <t>Contracts</t>
        </is>
      </c>
      <c r="B705" s="12" t="inlineStr">
        <is>
          <t>CS-05</t>
        </is>
      </c>
      <c r="C705" s="12" t="inlineStr">
        <is>
          <t>Sending</t>
        </is>
      </c>
      <c r="D705" s="14" t="inlineStr">
        <is>
          <t>The studio told when it is sent</t>
        </is>
      </c>
      <c r="E705" s="14" t="inlineStr">
        <is>
          <t>Built in parity round 4</t>
        </is>
      </c>
      <c r="F705" s="12" t="inlineStr"/>
      <c r="G705" s="12" t="inlineStr"/>
      <c r="H705" s="28" t="inlineStr">
        <is>
          <t>Team check</t>
        </is>
      </c>
      <c r="I705" s="17" t="n"/>
      <c r="J705" s="17" t="n"/>
    </row>
    <row r="706">
      <c r="A706" s="12" t="inlineStr">
        <is>
          <t>Contracts</t>
        </is>
      </c>
      <c r="B706" s="12" t="inlineStr">
        <is>
          <t>CS-06</t>
        </is>
      </c>
      <c r="C706" s="12" t="inlineStr">
        <is>
          <t>Sending</t>
        </is>
      </c>
      <c r="D706" s="14" t="inlineStr">
        <is>
          <t>Who sent it</t>
        </is>
      </c>
      <c r="E706" s="14" t="inlineStr">
        <is>
          <t>Built in parity round 4</t>
        </is>
      </c>
      <c r="F706" s="12" t="inlineStr"/>
      <c r="G706" s="12" t="inlineStr"/>
      <c r="H706" s="28" t="inlineStr">
        <is>
          <t>Team check</t>
        </is>
      </c>
      <c r="I706" s="17" t="n"/>
      <c r="J706" s="17" t="n"/>
    </row>
    <row r="707">
      <c r="A707" s="12" t="inlineStr">
        <is>
          <t>Contracts</t>
        </is>
      </c>
      <c r="B707" s="12" t="inlineStr">
        <is>
          <t>CS-07</t>
        </is>
      </c>
      <c r="C707" s="12" t="inlineStr">
        <is>
          <t>Sending</t>
        </is>
      </c>
      <c r="D707" s="14" t="inlineStr">
        <is>
          <t>The client’s phone number</t>
        </is>
      </c>
      <c r="E707" s="14" t="inlineStr">
        <is>
          <t>Built in parity round 1</t>
        </is>
      </c>
      <c r="F707" s="12" t="inlineStr"/>
      <c r="G707" s="12" t="inlineStr">
        <is>
          <t>8.07</t>
        </is>
      </c>
      <c r="H707" s="12" t="inlineStr"/>
      <c r="I707" s="17" t="n"/>
      <c r="J707" s="17" t="n"/>
    </row>
    <row r="708">
      <c r="A708" s="12" t="inlineStr">
        <is>
          <t>Contracts</t>
        </is>
      </c>
      <c r="B708" s="12" t="inlineStr">
        <is>
          <t>CP-01</t>
        </is>
      </c>
      <c r="C708" s="12" t="inlineStr">
        <is>
          <t>The signing page</t>
        </is>
      </c>
      <c r="D708" s="14" t="inlineStr">
        <is>
          <t>The signing steps</t>
        </is>
      </c>
      <c r="E708" s="14" t="inlineStr">
        <is>
          <t>Built</t>
        </is>
      </c>
      <c r="F708" s="12" t="inlineStr"/>
      <c r="G708" s="12" t="inlineStr">
        <is>
          <t>8.08</t>
        </is>
      </c>
      <c r="H708" s="12" t="inlineStr"/>
      <c r="I708" s="17" t="n"/>
      <c r="J708" s="17" t="n"/>
    </row>
    <row r="709">
      <c r="A709" s="12" t="inlineStr">
        <is>
          <t>Contracts</t>
        </is>
      </c>
      <c r="B709" s="12" t="inlineStr">
        <is>
          <t>CP-02</t>
        </is>
      </c>
      <c r="C709" s="12" t="inlineStr">
        <is>
          <t>The signing page</t>
        </is>
      </c>
      <c r="D709" s="14" t="inlineStr">
        <is>
          <t>The one-time code</t>
        </is>
      </c>
      <c r="E709" s="14" t="inlineStr">
        <is>
          <t>Platform</t>
        </is>
      </c>
      <c r="F709" s="12" t="inlineStr">
        <is>
          <t>Real SMS codes are the platform’s; the prototype simulates (Q-28)</t>
        </is>
      </c>
      <c r="G709" s="12" t="inlineStr">
        <is>
          <t>8.11</t>
        </is>
      </c>
      <c r="H709" s="12" t="inlineStr"/>
      <c r="I709" s="17" t="n"/>
      <c r="J709" s="17" t="n"/>
    </row>
    <row r="710">
      <c r="A710" s="12" t="inlineStr">
        <is>
          <t>Contracts</t>
        </is>
      </c>
      <c r="B710" s="12" t="inlineStr">
        <is>
          <t>CP-03</t>
        </is>
      </c>
      <c r="C710" s="12" t="inlineStr">
        <is>
          <t>The signing page</t>
        </is>
      </c>
      <c r="D710" s="14" t="inlineStr">
        <is>
          <t>One document per screen with progress</t>
        </is>
      </c>
      <c r="E710" s="14" t="inlineStr">
        <is>
          <t>Built in parity round 3</t>
        </is>
      </c>
      <c r="F710" s="12" t="inlineStr"/>
      <c r="G710" s="12" t="inlineStr">
        <is>
          <t>8.24</t>
        </is>
      </c>
      <c r="H710" s="12" t="inlineStr"/>
      <c r="I710" s="17" t="n"/>
      <c r="J710" s="17" t="n"/>
    </row>
    <row r="711">
      <c r="A711" s="12" t="inlineStr">
        <is>
          <t>Contracts</t>
        </is>
      </c>
      <c r="B711" s="12" t="inlineStr">
        <is>
          <t>CP-04</t>
        </is>
      </c>
      <c r="C711" s="12" t="inlineStr">
        <is>
          <t>The signing page</t>
        </is>
      </c>
      <c r="D711" s="14" t="inlineStr">
        <is>
          <t>A PDF drawn inline</t>
        </is>
      </c>
      <c r="E711" s="14" t="inlineStr">
        <is>
          <t>Platform</t>
        </is>
      </c>
      <c r="F711" s="12" t="inlineStr">
        <is>
          <t>File contents are the platform’s; a file card stands in</t>
        </is>
      </c>
      <c r="G711" s="12" t="inlineStr"/>
      <c r="H711" s="12" t="inlineStr"/>
      <c r="I711" s="17" t="n"/>
      <c r="J711" s="17" t="n"/>
    </row>
    <row r="712">
      <c r="A712" s="12" t="inlineStr">
        <is>
          <t>Contracts</t>
        </is>
      </c>
      <c r="B712" s="12" t="inlineStr">
        <is>
          <t>CP-05</t>
        </is>
      </c>
      <c r="C712" s="12" t="inlineStr">
        <is>
          <t>The signing page</t>
        </is>
      </c>
      <c r="D712" s="14" t="inlineStr">
        <is>
          <t>Read to the end before going on</t>
        </is>
      </c>
      <c r="E712" s="14" t="inlineStr">
        <is>
          <t>Built in parity round 3</t>
        </is>
      </c>
      <c r="F712" s="12" t="inlineStr"/>
      <c r="G712" s="12" t="inlineStr">
        <is>
          <t>8.10, 12.11</t>
        </is>
      </c>
      <c r="H712" s="12" t="inlineStr"/>
      <c r="I712" s="17" t="n"/>
      <c r="J712" s="17" t="n"/>
    </row>
    <row r="713">
      <c r="A713" s="12" t="inlineStr">
        <is>
          <t>Contracts</t>
        </is>
      </c>
      <c r="B713" s="12" t="inlineStr">
        <is>
          <t>CP-06</t>
        </is>
      </c>
      <c r="C713" s="12" t="inlineStr">
        <is>
          <t>The signing page</t>
        </is>
      </c>
      <c r="D713" s="14" t="inlineStr">
        <is>
          <t>Tick to accept</t>
        </is>
      </c>
      <c r="E713" s="14" t="inlineStr">
        <is>
          <t>Built in parity round 3</t>
        </is>
      </c>
      <c r="F713" s="12" t="inlineStr"/>
      <c r="G713" s="12" t="inlineStr">
        <is>
          <t>8.10, 12.11</t>
        </is>
      </c>
      <c r="H713" s="12" t="inlineStr"/>
      <c r="I713" s="17" t="n"/>
      <c r="J713" s="17" t="n"/>
    </row>
    <row r="714">
      <c r="A714" s="12" t="inlineStr">
        <is>
          <t>Contracts</t>
        </is>
      </c>
      <c r="B714" s="12" t="inlineStr">
        <is>
          <t>CP-07</t>
        </is>
      </c>
      <c r="C714" s="12" t="inlineStr">
        <is>
          <t>The signing page</t>
        </is>
      </c>
      <c r="D714" s="14" t="inlineStr">
        <is>
          <t>The agreement sentence</t>
        </is>
      </c>
      <c r="E714" s="14" t="inlineStr">
        <is>
          <t>Built in parity round 3</t>
        </is>
      </c>
      <c r="F714" s="12" t="inlineStr"/>
      <c r="G714" s="12" t="inlineStr">
        <is>
          <t>8.12, 8.24</t>
        </is>
      </c>
      <c r="H714" s="12" t="inlineStr"/>
      <c r="I714" s="17" t="n"/>
      <c r="J714" s="17" t="n"/>
    </row>
    <row r="715">
      <c r="A715" s="12" t="inlineStr">
        <is>
          <t>Contracts</t>
        </is>
      </c>
      <c r="B715" s="12" t="inlineStr">
        <is>
          <t>CP-08</t>
        </is>
      </c>
      <c r="C715" s="12" t="inlineStr">
        <is>
          <t>The signing page</t>
        </is>
      </c>
      <c r="D715" s="14" t="inlineStr">
        <is>
          <t>The quote on the signing page</t>
        </is>
      </c>
      <c r="E715" s="14" t="inlineStr">
        <is>
          <t>Built in parity round 3</t>
        </is>
      </c>
      <c r="F715" s="12" t="inlineStr"/>
      <c r="G715" s="12" t="inlineStr">
        <is>
          <t>8.09</t>
        </is>
      </c>
      <c r="H715" s="12" t="inlineStr"/>
      <c r="I715" s="17" t="n"/>
      <c r="J715" s="17" t="n"/>
    </row>
    <row r="716">
      <c r="A716" s="12" t="inlineStr">
        <is>
          <t>Contracts</t>
        </is>
      </c>
      <c r="B716" s="12" t="inlineStr">
        <is>
          <t>CP-09</t>
        </is>
      </c>
      <c r="C716" s="12" t="inlineStr">
        <is>
          <t>The signing page</t>
        </is>
      </c>
      <c r="D716" s="14" t="inlineStr">
        <is>
          <t>A drawn signature</t>
        </is>
      </c>
      <c r="E716" s="14" t="inlineStr">
        <is>
          <t>Built in parity round 3</t>
        </is>
      </c>
      <c r="F716" s="12" t="inlineStr"/>
      <c r="G716" s="12" t="inlineStr">
        <is>
          <t>8.12, 12.12</t>
        </is>
      </c>
      <c r="H716" s="12" t="inlineStr"/>
      <c r="I716" s="17" t="n"/>
      <c r="J716" s="17" t="n"/>
    </row>
    <row r="717">
      <c r="A717" s="12" t="inlineStr">
        <is>
          <t>Contracts</t>
        </is>
      </c>
      <c r="B717" s="12" t="inlineStr">
        <is>
          <t>CP-10</t>
        </is>
      </c>
      <c r="C717" s="12" t="inlineStr">
        <is>
          <t>The signing page</t>
        </is>
      </c>
      <c r="D717" s="14" t="inlineStr">
        <is>
          <t>An ID number (NRIC / FIN)</t>
        </is>
      </c>
      <c r="E717" s="14" t="inlineStr">
        <is>
          <t>2.0 only</t>
        </is>
      </c>
      <c r="F717" s="12" t="inlineStr"/>
      <c r="G717" s="12" t="inlineStr">
        <is>
          <t>8.12</t>
        </is>
      </c>
      <c r="H717" s="12" t="inlineStr"/>
      <c r="I717" s="17" t="n"/>
      <c r="J717" s="17" t="n"/>
    </row>
    <row r="718">
      <c r="A718" s="12" t="inlineStr">
        <is>
          <t>Contracts</t>
        </is>
      </c>
      <c r="B718" s="12" t="inlineStr">
        <is>
          <t>CP-11</t>
        </is>
      </c>
      <c r="C718" s="12" t="inlineStr">
        <is>
          <t>The signing page</t>
        </is>
      </c>
      <c r="D718" s="14" t="inlineStr">
        <is>
          <t>Done — keep a copy</t>
        </is>
      </c>
      <c r="E718" s="14" t="inlineStr">
        <is>
          <t>Built</t>
        </is>
      </c>
      <c r="F718" s="12" t="inlineStr"/>
      <c r="G718" s="12" t="inlineStr">
        <is>
          <t>8.13</t>
        </is>
      </c>
      <c r="H718" s="12" t="inlineStr"/>
      <c r="I718" s="17" t="n"/>
      <c r="J718" s="17" t="n"/>
    </row>
    <row r="719">
      <c r="A719" s="12" t="inlineStr">
        <is>
          <t>Contracts</t>
        </is>
      </c>
      <c r="B719" s="12" t="inlineStr">
        <is>
          <t>CP-12</t>
        </is>
      </c>
      <c r="C719" s="12" t="inlineStr">
        <is>
          <t>The signing page</t>
        </is>
      </c>
      <c r="D719" s="14" t="inlineStr">
        <is>
          <t>The issuer shown on the page</t>
        </is>
      </c>
      <c r="E719" s="14" t="inlineStr">
        <is>
          <t>Built in parity round 2</t>
        </is>
      </c>
      <c r="F719" s="12" t="inlineStr"/>
      <c r="G719" s="12" t="inlineStr">
        <is>
          <t>8.08</t>
        </is>
      </c>
      <c r="H719" s="12" t="inlineStr"/>
      <c r="I719" s="17" t="n"/>
      <c r="J719" s="17" t="n"/>
    </row>
    <row r="720">
      <c r="A720" s="12" t="inlineStr">
        <is>
          <t>Contracts</t>
        </is>
      </c>
      <c r="B720" s="12" t="inlineStr">
        <is>
          <t>CP-13</t>
        </is>
      </c>
      <c r="C720" s="12" t="inlineStr">
        <is>
          <t>The signing page</t>
        </is>
      </c>
      <c r="D720" s="14" t="inlineStr">
        <is>
          <t>A dead link</t>
        </is>
      </c>
      <c r="E720" s="14" t="inlineStr">
        <is>
          <t>Built in parity round 1</t>
        </is>
      </c>
      <c r="F720" s="12" t="inlineStr"/>
      <c r="G720" s="12" t="inlineStr">
        <is>
          <t>8.26</t>
        </is>
      </c>
      <c r="H720" s="12" t="inlineStr"/>
      <c r="I720" s="17" t="n"/>
      <c r="J720" s="17" t="n"/>
    </row>
    <row r="721">
      <c r="A721" s="12" t="inlineStr">
        <is>
          <t>Contracts</t>
        </is>
      </c>
      <c r="B721" s="12" t="inlineStr">
        <is>
          <t>CP-14</t>
        </is>
      </c>
      <c r="C721" s="12" t="inlineStr">
        <is>
          <t>The signing page</t>
        </is>
      </c>
      <c r="D721" s="14" t="inlineStr">
        <is>
          <t>Viewed</t>
        </is>
      </c>
      <c r="E721" s="14" t="inlineStr">
        <is>
          <t>Built in parity round 3</t>
        </is>
      </c>
      <c r="F721" s="12" t="inlineStr"/>
      <c r="G721" s="12" t="inlineStr">
        <is>
          <t>8.18</t>
        </is>
      </c>
      <c r="H721" s="12" t="inlineStr"/>
      <c r="I721" s="17" t="n"/>
      <c r="J721" s="17" t="n"/>
    </row>
    <row r="722">
      <c r="A722" s="12" t="inlineStr">
        <is>
          <t>Contracts</t>
        </is>
      </c>
      <c r="B722" s="12" t="inlineStr">
        <is>
          <t>CP-15</t>
        </is>
      </c>
      <c r="C722" s="12" t="inlineStr">
        <is>
          <t>The signing page</t>
        </is>
      </c>
      <c r="D722" s="14" t="inlineStr">
        <is>
          <t>Changed while the client reads</t>
        </is>
      </c>
      <c r="E722" s="14" t="inlineStr">
        <is>
          <t>Built in parity round 1</t>
        </is>
      </c>
      <c r="F722" s="12" t="inlineStr"/>
      <c r="G722" s="12" t="inlineStr">
        <is>
          <t>8.11</t>
        </is>
      </c>
      <c r="H722" s="12" t="inlineStr"/>
      <c r="I722" s="17" t="n"/>
      <c r="J722" s="17" t="n"/>
    </row>
    <row r="723">
      <c r="A723" s="12" t="inlineStr">
        <is>
          <t>Contracts</t>
        </is>
      </c>
      <c r="B723" s="12" t="inlineStr">
        <is>
          <t>CP-16</t>
        </is>
      </c>
      <c r="C723" s="12" t="inlineStr">
        <is>
          <t>The signing page</t>
        </is>
      </c>
      <c r="D723" s="14" t="inlineStr">
        <is>
          <t>A signed link turning expired</t>
        </is>
      </c>
      <c r="E723" s="14" t="inlineStr">
        <is>
          <t>Dead</t>
        </is>
      </c>
      <c r="F723" s="12" t="inlineStr">
        <is>
          <t>A 1.0 defect; not ported</t>
        </is>
      </c>
      <c r="G723" s="12" t="inlineStr"/>
      <c r="H723" s="12" t="inlineStr"/>
      <c r="I723" s="17" t="n"/>
      <c r="J723" s="17" t="n"/>
    </row>
    <row r="724">
      <c r="A724" s="12" t="inlineStr">
        <is>
          <t>Contracts</t>
        </is>
      </c>
      <c r="B724" s="12" t="inlineStr">
        <is>
          <t>CP-17</t>
        </is>
      </c>
      <c r="C724" s="12" t="inlineStr">
        <is>
          <t>The signing page</t>
        </is>
      </c>
      <c r="D724" s="14" t="inlineStr">
        <is>
          <t>CaseTrust step</t>
        </is>
      </c>
      <c r="E724" s="14" t="inlineStr">
        <is>
          <t>Later</t>
        </is>
      </c>
      <c r="F724" s="12" t="inlineStr">
        <is>
          <t>A later module’s step</t>
        </is>
      </c>
      <c r="G724" s="12" t="inlineStr"/>
      <c r="H724" s="12" t="inlineStr"/>
      <c r="I724" s="17" t="n"/>
      <c r="J724" s="17" t="n"/>
    </row>
    <row r="725">
      <c r="A725" s="12" t="inlineStr">
        <is>
          <t>Contracts</t>
        </is>
      </c>
      <c r="B725" s="12" t="inlineStr">
        <is>
          <t>CL-01</t>
        </is>
      </c>
      <c r="C725" s="12" t="inlineStr">
        <is>
          <t>The library and bundles</t>
        </is>
      </c>
      <c r="D725" s="14" t="inlineStr">
        <is>
          <t>The signing library</t>
        </is>
      </c>
      <c r="E725" s="14" t="inlineStr">
        <is>
          <t>Built in parity round 3</t>
        </is>
      </c>
      <c r="F725" s="12" t="inlineStr">
        <is>
          <t>PDF library held (Q-26); written documents are contract templates</t>
        </is>
      </c>
      <c r="G725" s="12" t="inlineStr"/>
      <c r="H725" s="28" t="inlineStr">
        <is>
          <t>Team check</t>
        </is>
      </c>
      <c r="I725" s="17" t="n"/>
      <c r="J725" s="17" t="n"/>
    </row>
    <row r="726">
      <c r="A726" s="12" t="inlineStr">
        <is>
          <t>Contracts</t>
        </is>
      </c>
      <c r="B726" s="12" t="inlineStr">
        <is>
          <t>CL-02</t>
        </is>
      </c>
      <c r="C726" s="12" t="inlineStr">
        <is>
          <t>The library and bundles</t>
        </is>
      </c>
      <c r="D726" s="14" t="inlineStr">
        <is>
          <t>Upload a PDF to the library</t>
        </is>
      </c>
      <c r="E726" s="14" t="inlineStr">
        <is>
          <t>Platform</t>
        </is>
      </c>
      <c r="F726" s="12" t="inlineStr">
        <is>
          <t>Held: 2.0 keeps no file bytes (Q-26)</t>
        </is>
      </c>
      <c r="G726" s="12" t="inlineStr"/>
      <c r="H726" s="12" t="inlineStr"/>
      <c r="I726" s="17" t="n"/>
      <c r="J726" s="17" t="n"/>
    </row>
    <row r="727">
      <c r="A727" s="12" t="inlineStr">
        <is>
          <t>Contracts</t>
        </is>
      </c>
      <c r="B727" s="12" t="inlineStr">
        <is>
          <t>CL-03</t>
        </is>
      </c>
      <c r="C727" s="12" t="inlineStr">
        <is>
          <t>The library and bundles</t>
        </is>
      </c>
      <c r="D727" s="14" t="inlineStr">
        <is>
          <t>Write a document</t>
        </is>
      </c>
      <c r="E727" s="14" t="inlineStr">
        <is>
          <t>Built</t>
        </is>
      </c>
      <c r="F727" s="12" t="inlineStr"/>
      <c r="G727" s="12" t="inlineStr"/>
      <c r="H727" s="28" t="inlineStr">
        <is>
          <t>Team check</t>
        </is>
      </c>
      <c r="I727" s="17" t="n"/>
      <c r="J727" s="17" t="n"/>
    </row>
    <row r="728">
      <c r="A728" s="12" t="inlineStr">
        <is>
          <t>Contracts</t>
        </is>
      </c>
      <c r="B728" s="12" t="inlineStr">
        <is>
          <t>CL-04</t>
        </is>
      </c>
      <c r="C728" s="12" t="inlineStr">
        <is>
          <t>The library and bundles</t>
        </is>
      </c>
      <c r="D728" s="14" t="inlineStr">
        <is>
          <t>Pick documents into one signing</t>
        </is>
      </c>
      <c r="E728" s="14" t="inlineStr">
        <is>
          <t>Built</t>
        </is>
      </c>
      <c r="F728" s="12" t="inlineStr"/>
      <c r="G728" s="12" t="inlineStr">
        <is>
          <t>8.23</t>
        </is>
      </c>
      <c r="H728" s="12" t="inlineStr"/>
      <c r="I728" s="17" t="n"/>
      <c r="J728" s="17" t="n"/>
    </row>
    <row r="729">
      <c r="A729" s="12" t="inlineStr">
        <is>
          <t>Contracts</t>
        </is>
      </c>
      <c r="B729" s="12" t="inlineStr">
        <is>
          <t>CL-05</t>
        </is>
      </c>
      <c r="C729" s="12" t="inlineStr">
        <is>
          <t>The library and bundles</t>
        </is>
      </c>
      <c r="D729" s="14" t="inlineStr">
        <is>
          <t>The snapshot kept per signing</t>
        </is>
      </c>
      <c r="E729" s="14" t="inlineStr">
        <is>
          <t>Built in parity round 1</t>
        </is>
      </c>
      <c r="F729" s="12" t="inlineStr"/>
      <c r="G729" s="12" t="inlineStr">
        <is>
          <t>8.14</t>
        </is>
      </c>
      <c r="H729" s="12" t="inlineStr"/>
      <c r="I729" s="17" t="n"/>
      <c r="J729" s="17" t="n"/>
    </row>
    <row r="730">
      <c r="A730" s="12" t="inlineStr">
        <is>
          <t>Contracts</t>
        </is>
      </c>
      <c r="B730" s="12" t="inlineStr">
        <is>
          <t>CL-06</t>
        </is>
      </c>
      <c r="C730" s="12" t="inlineStr">
        <is>
          <t>The library and bundles</t>
        </is>
      </c>
      <c r="D730" s="14" t="inlineStr">
        <is>
          <t>The fingerprints</t>
        </is>
      </c>
      <c r="E730" s="14" t="inlineStr">
        <is>
          <t>Built in parity round 1</t>
        </is>
      </c>
      <c r="F730" s="12" t="inlineStr"/>
      <c r="G730" s="12" t="inlineStr">
        <is>
          <t>8.11</t>
        </is>
      </c>
      <c r="H730" s="12" t="inlineStr"/>
      <c r="I730" s="17" t="n"/>
      <c r="J730" s="17" t="n"/>
    </row>
    <row r="731">
      <c r="A731" s="12" t="inlineStr">
        <is>
          <t>Contracts</t>
        </is>
      </c>
      <c r="B731" s="12" t="inlineStr">
        <is>
          <t>CL-07</t>
        </is>
      </c>
      <c r="C731" s="12" t="inlineStr">
        <is>
          <t>The library and bundles</t>
        </is>
      </c>
      <c r="D731" s="14" t="inlineStr">
        <is>
          <t>Viewed and accepted per document</t>
        </is>
      </c>
      <c r="E731" s="14" t="inlineStr">
        <is>
          <t>Built in parity round 3</t>
        </is>
      </c>
      <c r="F731" s="12" t="inlineStr"/>
      <c r="G731" s="12" t="inlineStr">
        <is>
          <t>8.10</t>
        </is>
      </c>
      <c r="H731" s="12" t="inlineStr"/>
      <c r="I731" s="17" t="n"/>
      <c r="J731" s="17" t="n"/>
    </row>
    <row r="732">
      <c r="A732" s="12" t="inlineStr">
        <is>
          <t>Contracts</t>
        </is>
      </c>
      <c r="B732" s="12" t="inlineStr">
        <is>
          <t>CL-08</t>
        </is>
      </c>
      <c r="C732" s="12" t="inlineStr">
        <is>
          <t>The library and bundles</t>
        </is>
      </c>
      <c r="D732" s="14" t="inlineStr">
        <is>
          <t>The signed packet with a certificate page</t>
        </is>
      </c>
      <c r="E732" s="14" t="inlineStr">
        <is>
          <t>Built in parity round 3</t>
        </is>
      </c>
      <c r="F732" s="12" t="inlineStr">
        <is>
          <t>The stored packet stays the platform’s; the print carries the record</t>
        </is>
      </c>
      <c r="G732" s="12" t="inlineStr">
        <is>
          <t>8.13</t>
        </is>
      </c>
      <c r="H732" s="12" t="inlineStr"/>
      <c r="I732" s="17" t="n"/>
      <c r="J732" s="17" t="n"/>
    </row>
    <row r="733">
      <c r="A733" s="12" t="inlineStr">
        <is>
          <t>Contracts</t>
        </is>
      </c>
      <c r="B733" s="12" t="inlineStr">
        <is>
          <t>CL-09</t>
        </is>
      </c>
      <c r="C733" s="12" t="inlineStr">
        <is>
          <t>The library and bundles</t>
        </is>
      </c>
      <c r="D733" s="14" t="inlineStr">
        <is>
          <t>One signature over the set</t>
        </is>
      </c>
      <c r="E733" s="14" t="inlineStr">
        <is>
          <t>Built</t>
        </is>
      </c>
      <c r="F733" s="12" t="inlineStr"/>
      <c r="G733" s="12" t="inlineStr">
        <is>
          <t>8.24</t>
        </is>
      </c>
      <c r="H733" s="12" t="inlineStr"/>
      <c r="I733" s="17" t="n"/>
      <c r="J733" s="17" t="n"/>
    </row>
    <row r="734">
      <c r="A734" s="12" t="inlineStr">
        <is>
          <t>Contracts</t>
        </is>
      </c>
      <c r="B734" s="12" t="inlineStr">
        <is>
          <t>CL-10</t>
        </is>
      </c>
      <c r="C734" s="12" t="inlineStr">
        <is>
          <t>The library and bundles</t>
        </is>
      </c>
      <c r="D734" s="14" t="inlineStr">
        <is>
          <t>Bundles across screens</t>
        </is>
      </c>
      <c r="E734" s="14" t="inlineStr">
        <is>
          <t>2.0 only</t>
        </is>
      </c>
      <c r="F734" s="12" t="inlineStr"/>
      <c r="G734" s="12" t="inlineStr">
        <is>
          <t>8.23</t>
        </is>
      </c>
      <c r="H734" s="12" t="inlineStr"/>
      <c r="I734" s="17" t="n"/>
      <c r="J734" s="17" t="n"/>
    </row>
    <row r="735">
      <c r="A735" s="12" t="inlineStr">
        <is>
          <t>Contracts</t>
        </is>
      </c>
      <c r="B735" s="12" t="inlineStr">
        <is>
          <t>CA-01</t>
        </is>
      </c>
      <c r="C735" s="12" t="inlineStr">
        <is>
          <t>Signed, and after</t>
        </is>
      </c>
      <c r="D735" s="14" t="inlineStr">
        <is>
          <t>The signing certificate</t>
        </is>
      </c>
      <c r="E735" s="14" t="inlineStr">
        <is>
          <t>Built in parity round 3</t>
        </is>
      </c>
      <c r="F735" s="12" t="inlineStr"/>
      <c r="G735" s="12" t="inlineStr">
        <is>
          <t>8.13</t>
        </is>
      </c>
      <c r="H735" s="12" t="inlineStr"/>
      <c r="I735" s="17" t="n"/>
      <c r="J735" s="17" t="n"/>
    </row>
    <row r="736">
      <c r="A736" s="12" t="inlineStr">
        <is>
          <t>Contracts</t>
        </is>
      </c>
      <c r="B736" s="12" t="inlineStr">
        <is>
          <t>CA-02</t>
        </is>
      </c>
      <c r="C736" s="12" t="inlineStr">
        <is>
          <t>Signed, and after</t>
        </is>
      </c>
      <c r="D736" s="14" t="inlineStr">
        <is>
          <t>The signed copy</t>
        </is>
      </c>
      <c r="E736" s="14" t="inlineStr">
        <is>
          <t>Platform</t>
        </is>
      </c>
      <c r="F736" s="12" t="inlineStr">
        <is>
          <t>Stored PDFs are the platform’s; the print carries the kept text</t>
        </is>
      </c>
      <c r="G736" s="12" t="inlineStr">
        <is>
          <t>8.13</t>
        </is>
      </c>
      <c r="H736" s="12" t="inlineStr"/>
      <c r="I736" s="17" t="n"/>
      <c r="J736" s="17" t="n"/>
    </row>
    <row r="737">
      <c r="A737" s="12" t="inlineStr">
        <is>
          <t>Contracts</t>
        </is>
      </c>
      <c r="B737" s="12" t="inlineStr">
        <is>
          <t>CA-03</t>
        </is>
      </c>
      <c r="C737" s="12" t="inlineStr">
        <is>
          <t>Signed, and after</t>
        </is>
      </c>
      <c r="D737" s="14" t="inlineStr">
        <is>
          <t>Paper contracts</t>
        </is>
      </c>
      <c r="E737" s="14" t="inlineStr">
        <is>
          <t>Built</t>
        </is>
      </c>
      <c r="F737" s="12" t="inlineStr"/>
      <c r="G737" s="12" t="inlineStr">
        <is>
          <t>8.19, 8.21</t>
        </is>
      </c>
      <c r="H737" s="12" t="inlineStr"/>
      <c r="I737" s="17" t="n"/>
      <c r="J737" s="17" t="n"/>
    </row>
    <row r="738">
      <c r="A738" s="12" t="inlineStr">
        <is>
          <t>Contracts</t>
        </is>
      </c>
      <c r="B738" s="12" t="inlineStr">
        <is>
          <t>CA-04</t>
        </is>
      </c>
      <c r="C738" s="12" t="inlineStr">
        <is>
          <t>Signed, and after</t>
        </is>
      </c>
      <c r="D738" s="14" t="inlineStr">
        <is>
          <t>Un-signing</t>
        </is>
      </c>
      <c r="E738" s="14" t="inlineStr">
        <is>
          <t>Built in parity round 4</t>
        </is>
      </c>
      <c r="F738" s="12" t="inlineStr"/>
      <c r="G738" s="12" t="inlineStr">
        <is>
          <t>8.18, 8.20</t>
        </is>
      </c>
      <c r="H738" s="12" t="inlineStr"/>
      <c r="I738" s="17" t="n"/>
      <c r="J738" s="17" t="n"/>
    </row>
    <row r="739">
      <c r="A739" s="12" t="inlineStr">
        <is>
          <t>Contracts</t>
        </is>
      </c>
      <c r="B739" s="12" t="inlineStr">
        <is>
          <t>CA-05</t>
        </is>
      </c>
      <c r="C739" s="12" t="inlineStr">
        <is>
          <t>Signed, and after</t>
        </is>
      </c>
      <c r="D739" s="14" t="inlineStr">
        <is>
          <t>Signing times</t>
        </is>
      </c>
      <c r="E739" s="14" t="inlineStr">
        <is>
          <t>Built</t>
        </is>
      </c>
      <c r="F739" s="12" t="inlineStr"/>
      <c r="G739" s="12" t="inlineStr">
        <is>
          <t>8.14</t>
        </is>
      </c>
      <c r="H739" s="12" t="inlineStr"/>
      <c r="I739" s="17" t="n"/>
      <c r="J739" s="17" t="n"/>
    </row>
    <row r="740">
      <c r="A740" s="12" t="inlineStr">
        <is>
          <t>Contracts</t>
        </is>
      </c>
      <c r="B740" s="12" t="inlineStr">
        <is>
          <t>CA-06</t>
        </is>
      </c>
      <c r="C740" s="12" t="inlineStr">
        <is>
          <t>Signed, and after</t>
        </is>
      </c>
      <c r="D740" s="14" t="inlineStr">
        <is>
          <t>The Won gate</t>
        </is>
      </c>
      <c r="E740" s="14" t="inlineStr">
        <is>
          <t>Built</t>
        </is>
      </c>
      <c r="F740" s="12" t="inlineStr"/>
      <c r="G740" s="12" t="inlineStr">
        <is>
          <t>9.02</t>
        </is>
      </c>
      <c r="H740" s="12" t="inlineStr"/>
      <c r="I740" s="17" t="n"/>
      <c r="J740" s="17" t="n"/>
    </row>
    <row r="741">
      <c r="A741" s="12" t="inlineStr">
        <is>
          <t>Contracts</t>
        </is>
      </c>
      <c r="B741" s="12" t="inlineStr">
        <is>
          <t>CA-07</t>
        </is>
      </c>
      <c r="C741" s="12" t="inlineStr">
        <is>
          <t>Signed, and after</t>
        </is>
      </c>
      <c r="D741" s="14" t="inlineStr">
        <is>
          <t>Reminders and notices</t>
        </is>
      </c>
      <c r="E741" s="14" t="inlineStr">
        <is>
          <t>Built in parity round 4</t>
        </is>
      </c>
      <c r="F741" s="12" t="inlineStr"/>
      <c r="G741" s="12" t="inlineStr">
        <is>
          <t>8.06, 8.16</t>
        </is>
      </c>
      <c r="H741" s="12" t="inlineStr"/>
      <c r="I741" s="17" t="n"/>
      <c r="J741" s="17" t="n"/>
    </row>
    <row r="742">
      <c r="A742" s="12" t="inlineStr">
        <is>
          <t>Contracts</t>
        </is>
      </c>
      <c r="B742" s="12" t="inlineStr">
        <is>
          <t>CA-08</t>
        </is>
      </c>
      <c r="C742" s="12" t="inlineStr">
        <is>
          <t>Signed, and after</t>
        </is>
      </c>
      <c r="D742" s="14" t="inlineStr">
        <is>
          <t>The project’s contract</t>
        </is>
      </c>
      <c r="E742" s="14" t="inlineStr">
        <is>
          <t>Later</t>
        </is>
      </c>
      <c r="F742" s="12" t="inlineStr">
        <is>
          <t>Projects module</t>
        </is>
      </c>
      <c r="G742" s="12" t="inlineStr"/>
      <c r="H742" s="12" t="inlineStr"/>
      <c r="I742" s="17" t="n"/>
      <c r="J742" s="17" t="n"/>
    </row>
    <row r="743">
      <c r="A743" s="12" t="inlineStr">
        <is>
          <t>Contracts</t>
        </is>
      </c>
      <c r="B743" s="12" t="inlineStr">
        <is>
          <t>CA-09</t>
        </is>
      </c>
      <c r="C743" s="12" t="inlineStr">
        <is>
          <t>Signed, and after</t>
        </is>
      </c>
      <c r="D743" s="14" t="inlineStr">
        <is>
          <t>The contract value and its freeze</t>
        </is>
      </c>
      <c r="E743" s="14" t="inlineStr">
        <is>
          <t>Later</t>
        </is>
      </c>
      <c r="F743" s="12" t="inlineStr">
        <is>
          <t>Finance module</t>
        </is>
      </c>
      <c r="G743" s="12" t="inlineStr"/>
      <c r="H743" s="12" t="inlineStr"/>
      <c r="I743" s="17" t="n"/>
      <c r="J743" s="17" t="n"/>
    </row>
    <row r="744">
      <c r="A744" s="12" t="inlineStr">
        <is>
          <t>Contracts</t>
        </is>
      </c>
      <c r="B744" s="12" t="inlineStr">
        <is>
          <t>CA-10</t>
        </is>
      </c>
      <c r="C744" s="12" t="inlineStr">
        <is>
          <t>Signed, and after</t>
        </is>
      </c>
      <c r="D744" s="14" t="inlineStr">
        <is>
          <t>Variation orders</t>
        </is>
      </c>
      <c r="E744" s="14" t="inlineStr">
        <is>
          <t>Later</t>
        </is>
      </c>
      <c r="F744" s="12" t="inlineStr">
        <is>
          <t>Finance module</t>
        </is>
      </c>
      <c r="G744" s="12" t="inlineStr"/>
      <c r="H744" s="12" t="inlineStr"/>
      <c r="I744" s="17" t="n"/>
      <c r="J744" s="17" t="n"/>
    </row>
    <row r="745">
      <c r="A745" s="12" t="inlineStr">
        <is>
          <t>Contracts</t>
        </is>
      </c>
      <c r="B745" s="12" t="inlineStr">
        <is>
          <t>CA-11</t>
        </is>
      </c>
      <c r="C745" s="12" t="inlineStr">
        <is>
          <t>Signed, and after</t>
        </is>
      </c>
      <c r="D745" s="14" t="inlineStr">
        <is>
          <t>Signing in the homeowner portal</t>
        </is>
      </c>
      <c r="E745" s="14" t="inlineStr">
        <is>
          <t>Later</t>
        </is>
      </c>
      <c r="F745" s="12" t="inlineStr">
        <is>
          <t>The portal module</t>
        </is>
      </c>
      <c r="G745" s="12" t="inlineStr"/>
      <c r="H745" s="12" t="inlineStr"/>
      <c r="I745" s="17" t="n"/>
      <c r="J745" s="17" t="n"/>
    </row>
    <row r="746">
      <c r="A746" s="12" t="inlineStr">
        <is>
          <t>Contracts</t>
        </is>
      </c>
      <c r="B746" s="12" t="inlineStr">
        <is>
          <t>CN-01</t>
        </is>
      </c>
      <c r="C746" s="12" t="inlineStr">
        <is>
          <t>Lists, roles and follow-through</t>
        </is>
      </c>
      <c r="D746" s="14" t="inlineStr">
        <is>
          <t>A list of contracts</t>
        </is>
      </c>
      <c r="E746" s="14" t="inlineStr">
        <is>
          <t>2.0 only</t>
        </is>
      </c>
      <c r="F746" s="12" t="inlineStr"/>
      <c r="G746" s="12" t="inlineStr">
        <is>
          <t>8.18</t>
        </is>
      </c>
      <c r="H746" s="12" t="inlineStr"/>
      <c r="I746" s="17" t="n"/>
      <c r="J746" s="17" t="n"/>
    </row>
    <row r="747">
      <c r="A747" s="12" t="inlineStr">
        <is>
          <t>Contracts</t>
        </is>
      </c>
      <c r="B747" s="12" t="inlineStr">
        <is>
          <t>CN-02</t>
        </is>
      </c>
      <c r="C747" s="12" t="inlineStr">
        <is>
          <t>Lists, roles and follow-through</t>
        </is>
      </c>
      <c r="D747" s="14" t="inlineStr">
        <is>
          <t>A studio-wide contracts list</t>
        </is>
      </c>
      <c r="E747" s="14" t="inlineStr">
        <is>
          <t>2.0 only</t>
        </is>
      </c>
      <c r="F747" s="12" t="inlineStr"/>
      <c r="G747" s="12" t="inlineStr">
        <is>
          <t>8.25, 11.12, 12.09</t>
        </is>
      </c>
      <c r="H747" s="12" t="inlineStr"/>
      <c r="I747" s="17" t="n"/>
      <c r="J747" s="17" t="n"/>
    </row>
    <row r="748">
      <c r="A748" s="12" t="inlineStr">
        <is>
          <t>Contracts</t>
        </is>
      </c>
      <c r="B748" s="12" t="inlineStr">
        <is>
          <t>CN-03</t>
        </is>
      </c>
      <c r="C748" s="12" t="inlineStr">
        <is>
          <t>Lists, roles and follow-through</t>
        </is>
      </c>
      <c r="D748" s="14" t="inlineStr">
        <is>
          <t>Deleted contracts</t>
        </is>
      </c>
      <c r="E748" s="14" t="inlineStr">
        <is>
          <t>2.0 only</t>
        </is>
      </c>
      <c r="F748" s="12" t="inlineStr"/>
      <c r="G748" s="12" t="inlineStr">
        <is>
          <t>8.26</t>
        </is>
      </c>
      <c r="H748" s="12" t="inlineStr"/>
      <c r="I748" s="17" t="n"/>
      <c r="J748" s="17" t="n"/>
    </row>
    <row r="749">
      <c r="A749" s="12" t="inlineStr">
        <is>
          <t>Contracts</t>
        </is>
      </c>
      <c r="B749" s="12" t="inlineStr">
        <is>
          <t>CN-04</t>
        </is>
      </c>
      <c r="C749" s="12" t="inlineStr">
        <is>
          <t>Lists, roles and follow-through</t>
        </is>
      </c>
      <c r="D749" s="14" t="inlineStr">
        <is>
          <t>Permissions</t>
        </is>
      </c>
      <c r="E749" s="14" t="inlineStr">
        <is>
          <t>Built in parity round 4</t>
        </is>
      </c>
      <c r="F749" s="12" t="inlineStr"/>
      <c r="G749" s="12" t="inlineStr">
        <is>
          <t>8.20, 8.25</t>
        </is>
      </c>
      <c r="H749" s="12" t="inlineStr"/>
      <c r="I749" s="17" t="n"/>
      <c r="J749" s="17" t="n"/>
    </row>
    <row r="750">
      <c r="A750" s="12" t="inlineStr">
        <is>
          <t>Contracts</t>
        </is>
      </c>
      <c r="B750" s="12" t="inlineStr">
        <is>
          <t>CN-05</t>
        </is>
      </c>
      <c r="C750" s="12" t="inlineStr">
        <is>
          <t>Lists, roles and follow-through</t>
        </is>
      </c>
      <c r="D750" s="14" t="inlineStr">
        <is>
          <t>Lead visibility on contract pages</t>
        </is>
      </c>
      <c r="E750" s="14" t="inlineStr">
        <is>
          <t>Built in parity round 4</t>
        </is>
      </c>
      <c r="F750" s="12" t="inlineStr"/>
      <c r="G750" s="12" t="inlineStr"/>
      <c r="H750" s="28" t="inlineStr">
        <is>
          <t>Team check</t>
        </is>
      </c>
      <c r="I750" s="17" t="n"/>
      <c r="J750" s="17" t="n"/>
    </row>
    <row r="751">
      <c r="A751" s="12" t="inlineStr">
        <is>
          <t>Contracts</t>
        </is>
      </c>
      <c r="B751" s="12" t="inlineStr">
        <is>
          <t>CN-06</t>
        </is>
      </c>
      <c r="C751" s="12" t="inlineStr">
        <is>
          <t>Lists, roles and follow-through</t>
        </is>
      </c>
      <c r="D751" s="14" t="inlineStr">
        <is>
          <t>Activity</t>
        </is>
      </c>
      <c r="E751" s="14" t="inlineStr">
        <is>
          <t>Built</t>
        </is>
      </c>
      <c r="F751" s="12" t="inlineStr"/>
      <c r="G751" s="12" t="inlineStr"/>
      <c r="H751" s="28" t="inlineStr">
        <is>
          <t>Team check</t>
        </is>
      </c>
      <c r="I751" s="17" t="n"/>
      <c r="J751" s="17" t="n"/>
    </row>
    <row r="752">
      <c r="A752" s="12" t="inlineStr">
        <is>
          <t>Contracts</t>
        </is>
      </c>
      <c r="B752" s="12" t="inlineStr">
        <is>
          <t>CN-07</t>
        </is>
      </c>
      <c r="C752" s="12" t="inlineStr">
        <is>
          <t>Lists, roles and follow-through</t>
        </is>
      </c>
      <c r="D752" s="14" t="inlineStr">
        <is>
          <t>Notifications on send and signing</t>
        </is>
      </c>
      <c r="E752" s="14" t="inlineStr">
        <is>
          <t>Built in parity round 4</t>
        </is>
      </c>
      <c r="F752" s="12" t="inlineStr"/>
      <c r="G752" s="12" t="inlineStr">
        <is>
          <t>8.17, 12.13</t>
        </is>
      </c>
      <c r="H752" s="12" t="inlineStr"/>
      <c r="I752" s="17" t="n"/>
      <c r="J752" s="17" t="n"/>
    </row>
    <row r="753">
      <c r="A753" s="12" t="inlineStr">
        <is>
          <t>Contracts</t>
        </is>
      </c>
      <c r="B753" s="12" t="inlineStr">
        <is>
          <t>CN-08</t>
        </is>
      </c>
      <c r="C753" s="12" t="inlineStr">
        <is>
          <t>Lists, roles and follow-through</t>
        </is>
      </c>
      <c r="D753" s="14" t="inlineStr">
        <is>
          <t>The client’s page access</t>
        </is>
      </c>
      <c r="E753" s="14" t="inlineStr">
        <is>
          <t>Platform</t>
        </is>
      </c>
      <c r="F753" s="12" t="inlineStr">
        <is>
          <t>Tokens and expiry are the platform’s (Q-28)</t>
        </is>
      </c>
      <c r="G753" s="12" t="inlineStr"/>
      <c r="H753" s="12" t="inlineStr"/>
      <c r="I753" s="17" t="n"/>
      <c r="J753" s="17" t="n"/>
    </row>
    <row r="754">
      <c r="A754" s="12" t="inlineStr">
        <is>
          <t>Contracts</t>
        </is>
      </c>
      <c r="B754" s="12" t="inlineStr">
        <is>
          <t>CZ-01</t>
        </is>
      </c>
      <c r="C754" s="12" t="inlineStr">
        <is>
          <t>Touchpoints</t>
        </is>
      </c>
      <c r="D754" s="14" t="inlineStr">
        <is>
          <t>The project’s contract and setup check</t>
        </is>
      </c>
      <c r="E754" s="14" t="inlineStr">
        <is>
          <t>Later</t>
        </is>
      </c>
      <c r="F754" s="12" t="inlineStr">
        <is>
          <t>Projects module</t>
        </is>
      </c>
      <c r="G754" s="12" t="inlineStr"/>
      <c r="H754" s="12" t="inlineStr"/>
      <c r="I754" s="17" t="n"/>
      <c r="J754" s="17" t="n"/>
    </row>
    <row r="755">
      <c r="A755" s="12" t="inlineStr">
        <is>
          <t>Contracts</t>
        </is>
      </c>
      <c r="B755" s="12" t="inlineStr">
        <is>
          <t>CZ-02</t>
        </is>
      </c>
      <c r="C755" s="12" t="inlineStr">
        <is>
          <t>Touchpoints</t>
        </is>
      </c>
      <c r="D755" s="14" t="inlineStr">
        <is>
          <t>Contract value, freeze, variation orders</t>
        </is>
      </c>
      <c r="E755" s="14" t="inlineStr">
        <is>
          <t>Later</t>
        </is>
      </c>
      <c r="F755" s="12" t="inlineStr">
        <is>
          <t>Finance module</t>
        </is>
      </c>
      <c r="G755" s="12" t="inlineStr"/>
      <c r="H755" s="12" t="inlineStr"/>
      <c r="I755" s="17" t="n"/>
      <c r="J755" s="17" t="n"/>
    </row>
    <row r="756">
      <c r="A756" s="12" t="inlineStr">
        <is>
          <t>Contracts</t>
        </is>
      </c>
      <c r="B756" s="12" t="inlineStr">
        <is>
          <t>CZ-03</t>
        </is>
      </c>
      <c r="C756" s="12" t="inlineStr">
        <is>
          <t>Touchpoints</t>
        </is>
      </c>
      <c r="D756" s="14" t="inlineStr">
        <is>
          <t>Portal signing and documents tab</t>
        </is>
      </c>
      <c r="E756" s="14" t="inlineStr">
        <is>
          <t>Later</t>
        </is>
      </c>
      <c r="F756" s="12" t="inlineStr">
        <is>
          <t>The portal module</t>
        </is>
      </c>
      <c r="G756" s="12" t="inlineStr"/>
      <c r="H756" s="12" t="inlineStr"/>
      <c r="I756" s="17" t="n"/>
      <c r="J756" s="17" t="n"/>
    </row>
    <row r="757">
      <c r="A757" s="12" t="inlineStr">
        <is>
          <t>Contracts</t>
        </is>
      </c>
      <c r="B757" s="12" t="inlineStr">
        <is>
          <t>CZ-04</t>
        </is>
      </c>
      <c r="C757" s="12" t="inlineStr">
        <is>
          <t>Touchpoints</t>
        </is>
      </c>
      <c r="D757" s="14" t="inlineStr">
        <is>
          <t>My Signature and its auto-apply</t>
        </is>
      </c>
      <c r="E757" s="14" t="inlineStr">
        <is>
          <t>Built</t>
        </is>
      </c>
      <c r="F757" s="12" t="inlineStr">
        <is>
          <t>Kept in a quote’s Signature section (Accounts Setup ST-08); auto-apply not ported</t>
        </is>
      </c>
      <c r="G757" s="12" t="inlineStr"/>
      <c r="H757" s="28" t="inlineStr">
        <is>
          <t>Team check</t>
        </is>
      </c>
      <c r="I757" s="17" t="n"/>
      <c r="J757" s="17" t="n"/>
    </row>
    <row r="758">
      <c r="A758" s="12" t="inlineStr">
        <is>
          <t>Contracts</t>
        </is>
      </c>
      <c r="B758" s="12" t="inlineStr">
        <is>
          <t>CZ-05</t>
        </is>
      </c>
      <c r="C758" s="12" t="inlineStr">
        <is>
          <t>Touchpoints</t>
        </is>
      </c>
      <c r="D758" s="14" t="inlineStr">
        <is>
          <t>Quote X-Ray (nothing on contracts)</t>
        </is>
      </c>
      <c r="E758" s="14" t="inlineStr">
        <is>
          <t>Excluded</t>
        </is>
      </c>
      <c r="F758" s="12" t="inlineStr">
        <is>
          <t>X-Ray has no contract side; its own audit</t>
        </is>
      </c>
      <c r="G758" s="12" t="inlineStr"/>
      <c r="H758" s="12" t="inlineStr"/>
      <c r="I758" s="17" t="n"/>
      <c r="J758" s="17" t="n"/>
    </row>
    <row r="759">
      <c r="A759" s="12" t="inlineStr">
        <is>
          <t>Quote X-Ray</t>
        </is>
      </c>
      <c r="B759" s="12" t="inlineStr">
        <is>
          <t>DEF-01</t>
        </is>
      </c>
      <c r="C759" s="12" t="inlineStr">
        <is>
          <t>Definitions</t>
        </is>
      </c>
      <c r="D759" s="14" t="inlineStr">
        <is>
          <t>One reading: your quote against another studio’s</t>
        </is>
      </c>
      <c r="E759" s="14" t="inlineStr">
        <is>
          <t>Built</t>
        </is>
      </c>
      <c r="F759" s="12" t="inlineStr">
        <is>
          <t>Retired 1.0 objectives left behind (Q-01)</t>
        </is>
      </c>
      <c r="G759" s="12" t="inlineStr">
        <is>
          <t>7.03</t>
        </is>
      </c>
      <c r="H759" s="12" t="inlineStr"/>
      <c r="I759" s="17" t="n"/>
      <c r="J759" s="17" t="n"/>
    </row>
    <row r="760">
      <c r="A760" s="12" t="inlineStr">
        <is>
          <t>Quote X-Ray</t>
        </is>
      </c>
      <c r="B760" s="12" t="inlineStr">
        <is>
          <t>DEF-02</t>
        </is>
      </c>
      <c r="C760" s="12" t="inlineStr">
        <is>
          <t>Definitions</t>
        </is>
      </c>
      <c r="D760" s="14" t="inlineStr">
        <is>
          <t>Reading the other studio’s file</t>
        </is>
      </c>
      <c r="E760" s="14" t="inlineStr">
        <is>
          <t>Built in parity round 2</t>
        </is>
      </c>
      <c r="F760" s="12" t="inlineStr">
        <is>
          <t>Sheets read for real; PDFs and photos only by known name</t>
        </is>
      </c>
      <c r="G760" s="12" t="inlineStr">
        <is>
          <t>7.02, 7.10</t>
        </is>
      </c>
      <c r="H760" s="12" t="inlineStr"/>
      <c r="I760" s="17" t="n"/>
      <c r="J760" s="17" t="n"/>
    </row>
    <row r="761">
      <c r="A761" s="12" t="inlineStr">
        <is>
          <t>Quote X-Ray</t>
        </is>
      </c>
      <c r="B761" s="12" t="inlineStr">
        <is>
          <t>DEF-03</t>
        </is>
      </c>
      <c r="C761" s="12" t="inlineStr">
        <is>
          <t>Definitions</t>
        </is>
      </c>
      <c r="D761" s="14" t="inlineStr">
        <is>
          <t>Your side of the comparison</t>
        </is>
      </c>
      <c r="E761" s="14" t="inlineStr">
        <is>
          <t>Built in parity round 1</t>
        </is>
      </c>
      <c r="F761" s="12" t="inlineStr"/>
      <c r="G761" s="12" t="inlineStr">
        <is>
          <t>7.04</t>
        </is>
      </c>
      <c r="H761" s="12" t="inlineStr"/>
      <c r="I761" s="17" t="n"/>
      <c r="J761" s="17" t="n"/>
    </row>
    <row r="762">
      <c r="A762" s="12" t="inlineStr">
        <is>
          <t>Quote X-Ray</t>
        </is>
      </c>
      <c r="B762" s="12" t="inlineStr">
        <is>
          <t>DEF-04</t>
        </is>
      </c>
      <c r="C762" s="12" t="inlineStr">
        <is>
          <t>Definitions</t>
        </is>
      </c>
      <c r="D762" s="14" t="inlineStr">
        <is>
          <t>What counts as a match</t>
        </is>
      </c>
      <c r="E762" s="14" t="inlineStr">
        <is>
          <t>Built in parity round 1</t>
        </is>
      </c>
      <c r="F762" s="12" t="inlineStr">
        <is>
          <t>Plurals, trade words, one against several; corrections in round 3</t>
        </is>
      </c>
      <c r="G762" s="12" t="inlineStr">
        <is>
          <t>7.05</t>
        </is>
      </c>
      <c r="H762" s="12" t="inlineStr"/>
      <c r="I762" s="17" t="n"/>
      <c r="J762" s="17" t="n"/>
    </row>
    <row r="763">
      <c r="A763" s="12" t="inlineStr">
        <is>
          <t>Quote X-Ray</t>
        </is>
      </c>
      <c r="B763" s="12" t="inlineStr">
        <is>
          <t>DEF-05</t>
        </is>
      </c>
      <c r="C763" s="12" t="inlineStr">
        <is>
          <t>Definitions</t>
        </is>
      </c>
      <c r="D763" s="14" t="inlineStr">
        <is>
          <t>The real price difference</t>
        </is>
      </c>
      <c r="E763" s="14" t="inlineStr">
        <is>
          <t>Built</t>
        </is>
      </c>
      <c r="F763" s="12" t="inlineStr"/>
      <c r="G763" s="12" t="inlineStr">
        <is>
          <t>7.04</t>
        </is>
      </c>
      <c r="H763" s="12" t="inlineStr"/>
      <c r="I763" s="17" t="n"/>
      <c r="J763" s="17" t="n"/>
    </row>
    <row r="764">
      <c r="A764" s="12" t="inlineStr">
        <is>
          <t>Quote X-Ray</t>
        </is>
      </c>
      <c r="B764" s="12" t="inlineStr">
        <is>
          <t>DEF-06</t>
        </is>
      </c>
      <c r="C764" s="12" t="inlineStr">
        <is>
          <t>Definitions</t>
        </is>
      </c>
      <c r="D764" s="14" t="inlineStr">
        <is>
          <t>Points to tell the client</t>
        </is>
      </c>
      <c r="E764" s="14" t="inlineStr">
        <is>
          <t>Built in parity round 1</t>
        </is>
      </c>
      <c r="F764" s="12" t="inlineStr"/>
      <c r="G764" s="12" t="inlineStr">
        <is>
          <t>7.08</t>
        </is>
      </c>
      <c r="H764" s="12" t="inlineStr"/>
      <c r="I764" s="17" t="n"/>
      <c r="J764" s="17" t="n"/>
    </row>
    <row r="765">
      <c r="A765" s="12" t="inlineStr">
        <is>
          <t>Quote X-Ray</t>
        </is>
      </c>
      <c r="B765" s="12" t="inlineStr">
        <is>
          <t>DEF-07</t>
        </is>
      </c>
      <c r="C765" s="12" t="inlineStr">
        <is>
          <t>Definitions</t>
        </is>
      </c>
      <c r="D765" s="14" t="inlineStr">
        <is>
          <t>Brand key points</t>
        </is>
      </c>
      <c r="E765" s="14" t="inlineStr">
        <is>
          <t>Built in parity round 1</t>
        </is>
      </c>
      <c r="F765" s="12" t="inlineStr">
        <is>
          <t>Curated notes stand in for web research</t>
        </is>
      </c>
      <c r="G765" s="12" t="inlineStr">
        <is>
          <t>7.08</t>
        </is>
      </c>
      <c r="H765" s="12" t="inlineStr"/>
      <c r="I765" s="17" t="n"/>
      <c r="J765" s="17" t="n"/>
    </row>
    <row r="766">
      <c r="A766" s="12" t="inlineStr">
        <is>
          <t>Quote X-Ray</t>
        </is>
      </c>
      <c r="B766" s="12" t="inlineStr">
        <is>
          <t>DEF-08</t>
        </is>
      </c>
      <c r="C766" s="12" t="inlineStr">
        <is>
          <t>Definitions</t>
        </is>
      </c>
      <c r="D766" s="14" t="inlineStr">
        <is>
          <t>The WhatsApp message to the client</t>
        </is>
      </c>
      <c r="E766" s="14" t="inlineStr">
        <is>
          <t>Built in parity round 3</t>
        </is>
      </c>
      <c r="F766" s="12" t="inlineStr">
        <is>
          <t>Wording in round 1; the send kept in round 3</t>
        </is>
      </c>
      <c r="G766" s="12" t="inlineStr">
        <is>
          <t>7.09</t>
        </is>
      </c>
      <c r="H766" s="12" t="inlineStr"/>
      <c r="I766" s="17" t="n"/>
      <c r="J766" s="17" t="n"/>
    </row>
    <row r="767">
      <c r="A767" s="12" t="inlineStr">
        <is>
          <t>Quote X-Ray</t>
        </is>
      </c>
      <c r="B767" s="12" t="inlineStr">
        <is>
          <t>DEF-09</t>
        </is>
      </c>
      <c r="C767" s="12" t="inlineStr">
        <is>
          <t>Definitions</t>
        </is>
      </c>
      <c r="D767" s="14" t="inlineStr">
        <is>
          <t>History of comparisons</t>
        </is>
      </c>
      <c r="E767" s="14" t="inlineStr">
        <is>
          <t>Built in parity round 2</t>
        </is>
      </c>
      <c r="F767" s="12" t="inlineStr">
        <is>
          <t>Every reading listed, with search; Who sees leads in round 4</t>
        </is>
      </c>
      <c r="G767" s="12" t="inlineStr">
        <is>
          <t>7.12</t>
        </is>
      </c>
      <c r="H767" s="12" t="inlineStr"/>
      <c r="I767" s="17" t="n"/>
      <c r="J767" s="17" t="n"/>
    </row>
    <row r="768">
      <c r="A768" s="12" t="inlineStr">
        <is>
          <t>Quote X-Ray</t>
        </is>
      </c>
      <c r="B768" s="12" t="inlineStr">
        <is>
          <t>DEF-10</t>
        </is>
      </c>
      <c r="C768" s="12" t="inlineStr">
        <is>
          <t>Definitions</t>
        </is>
      </c>
      <c r="D768" s="14" t="inlineStr">
        <is>
          <t>A reading over time</t>
        </is>
      </c>
      <c r="E768" s="14" t="inlineStr">
        <is>
          <t>Built in parity round 3</t>
        </is>
      </c>
      <c r="F768" s="12" t="inlineStr">
        <is>
          <t>Corrections, the changed-quote warning and Run again</t>
        </is>
      </c>
      <c r="G768" s="12" t="inlineStr">
        <is>
          <t>7.06, 7.12</t>
        </is>
      </c>
      <c r="H768" s="12" t="inlineStr"/>
      <c r="I768" s="17" t="n"/>
      <c r="J768" s="17" t="n"/>
    </row>
    <row r="769">
      <c r="A769" s="12" t="inlineStr">
        <is>
          <t>Quote X-Ray</t>
        </is>
      </c>
      <c r="B769" s="12" t="inlineStr">
        <is>
          <t>MM-01</t>
        </is>
      </c>
      <c r="C769" s="12" t="inlineStr">
        <is>
          <t>Mismatches</t>
        </is>
      </c>
      <c r="D769" s="14" t="inlineStr">
        <is>
          <t>The basis of your total</t>
        </is>
      </c>
      <c r="E769" s="14" t="inlineStr">
        <is>
          <t>Built in parity round 1</t>
        </is>
      </c>
      <c r="F769" s="12" t="inlineStr"/>
      <c r="G769" s="12" t="inlineStr">
        <is>
          <t>7.04</t>
        </is>
      </c>
      <c r="H769" s="12" t="inlineStr"/>
      <c r="I769" s="17" t="n"/>
      <c r="J769" s="17" t="n"/>
    </row>
    <row r="770">
      <c r="A770" s="12" t="inlineStr">
        <is>
          <t>Quote X-Ray</t>
        </is>
      </c>
      <c r="B770" s="12" t="inlineStr">
        <is>
          <t>MM-02</t>
        </is>
      </c>
      <c r="C770" s="12" t="inlineStr">
        <is>
          <t>Mismatches</t>
        </is>
      </c>
      <c r="D770" s="14" t="inlineStr">
        <is>
          <t>Your lines printing FOC or Inclusive</t>
        </is>
      </c>
      <c r="E770" s="14" t="inlineStr">
        <is>
          <t>Built in parity round 1</t>
        </is>
      </c>
      <c r="F770" s="12" t="inlineStr"/>
      <c r="G770" s="12" t="inlineStr">
        <is>
          <t>7.04</t>
        </is>
      </c>
      <c r="H770" s="12" t="inlineStr"/>
      <c r="I770" s="17" t="n"/>
      <c r="J770" s="17" t="n"/>
    </row>
    <row r="771">
      <c r="A771" s="12" t="inlineStr">
        <is>
          <t>Quote X-Ray</t>
        </is>
      </c>
      <c r="B771" s="12" t="inlineStr">
        <is>
          <t>MM-03</t>
        </is>
      </c>
      <c r="C771" s="12" t="inlineStr">
        <is>
          <t>Mismatches</t>
        </is>
      </c>
      <c r="D771" s="14" t="inlineStr">
        <is>
          <t>The “below market” label</t>
        </is>
      </c>
      <c r="E771" s="14" t="inlineStr">
        <is>
          <t>Built in parity round 1</t>
        </is>
      </c>
      <c r="F771" s="12" t="inlineStr">
        <is>
          <t>Reads “Priced well below ours” — no market rates (Q-06)</t>
        </is>
      </c>
      <c r="G771" s="12" t="inlineStr">
        <is>
          <t>7.08</t>
        </is>
      </c>
      <c r="H771" s="12" t="inlineStr"/>
      <c r="I771" s="17" t="n"/>
      <c r="J771" s="17" t="n"/>
    </row>
    <row r="772">
      <c r="A772" s="12" t="inlineStr">
        <is>
          <t>Quote X-Ray</t>
        </is>
      </c>
      <c r="B772" s="12" t="inlineStr">
        <is>
          <t>MM-04</t>
        </is>
      </c>
      <c r="C772" s="12" t="inlineStr">
        <is>
          <t>Mismatches</t>
        </is>
      </c>
      <c r="D772" s="14" t="inlineStr">
        <is>
          <t>Naming the other studio to the client</t>
        </is>
      </c>
      <c r="E772" s="14" t="inlineStr">
        <is>
          <t>Built in parity round 1</t>
        </is>
      </c>
      <c r="F772" s="12" t="inlineStr"/>
      <c r="G772" s="12" t="inlineStr">
        <is>
          <t>7.09</t>
        </is>
      </c>
      <c r="H772" s="12" t="inlineStr"/>
      <c r="I772" s="17" t="n"/>
      <c r="J772" s="17" t="n"/>
    </row>
    <row r="773">
      <c r="A773" s="12" t="inlineStr">
        <is>
          <t>Quote X-Ray</t>
        </is>
      </c>
      <c r="B773" s="12" t="inlineStr">
        <is>
          <t>MM-05</t>
        </is>
      </c>
      <c r="C773" s="12" t="inlineStr">
        <is>
          <t>Mismatches</t>
        </is>
      </c>
      <c r="D773" s="14" t="inlineStr">
        <is>
          <t>Brands with nothing to raise</t>
        </is>
      </c>
      <c r="E773" s="14" t="inlineStr">
        <is>
          <t>Built in parity round 1</t>
        </is>
      </c>
      <c r="F773" s="12" t="inlineStr"/>
      <c r="G773" s="12" t="inlineStr">
        <is>
          <t>7.08</t>
        </is>
      </c>
      <c r="H773" s="12" t="inlineStr"/>
      <c r="I773" s="17" t="n"/>
      <c r="J773" s="17" t="n"/>
    </row>
    <row r="774">
      <c r="A774" s="12" t="inlineStr">
        <is>
          <t>Quote X-Ray</t>
        </is>
      </c>
      <c r="B774" s="12" t="inlineStr">
        <is>
          <t>MM-06</t>
        </is>
      </c>
      <c r="C774" s="12" t="inlineStr">
        <is>
          <t>Mismatches</t>
        </is>
      </c>
      <c r="D774" s="14" t="inlineStr">
        <is>
          <t>Whose WhatsApp chat opens</t>
        </is>
      </c>
      <c r="E774" s="14" t="inlineStr">
        <is>
          <t>Built in parity round 3</t>
        </is>
      </c>
      <c r="F774" s="12" t="inlineStr"/>
      <c r="G774" s="12" t="inlineStr">
        <is>
          <t>7.09</t>
        </is>
      </c>
      <c r="H774" s="12" t="inlineStr"/>
      <c r="I774" s="17" t="n"/>
      <c r="J774" s="17" t="n"/>
    </row>
    <row r="775">
      <c r="A775" s="12" t="inlineStr">
        <is>
          <t>Quote X-Ray</t>
        </is>
      </c>
      <c r="B775" s="12" t="inlineStr">
        <is>
          <t>MM-07</t>
        </is>
      </c>
      <c r="C775" s="12" t="inlineStr">
        <is>
          <t>Mismatches</t>
        </is>
      </c>
      <c r="D775" s="14" t="inlineStr">
        <is>
          <t>Upload mode and the lead</t>
        </is>
      </c>
      <c r="E775" s="14" t="inlineStr">
        <is>
          <t>Built in parity round 2</t>
        </is>
      </c>
      <c r="F775" s="12" t="inlineStr"/>
      <c r="G775" s="12" t="inlineStr"/>
      <c r="H775" s="28" t="inlineStr">
        <is>
          <t>Team check</t>
        </is>
      </c>
      <c r="I775" s="17" t="n"/>
      <c r="J775" s="17" t="n"/>
    </row>
    <row r="776">
      <c r="A776" s="12" t="inlineStr">
        <is>
          <t>Quote X-Ray</t>
        </is>
      </c>
      <c r="B776" s="12" t="inlineStr">
        <is>
          <t>MM-08</t>
        </is>
      </c>
      <c r="C776" s="12" t="inlineStr">
        <is>
          <t>Mismatches</t>
        </is>
      </c>
      <c r="D776" s="14" t="inlineStr">
        <is>
          <t>Whose comparisons you see</t>
        </is>
      </c>
      <c r="E776" s="14" t="inlineStr">
        <is>
          <t>Built in parity round 4</t>
        </is>
      </c>
      <c r="F776" s="12" t="inlineStr"/>
      <c r="G776" s="12" t="inlineStr"/>
      <c r="H776" s="28" t="inlineStr">
        <is>
          <t>Team check</t>
        </is>
      </c>
      <c r="I776" s="17" t="n"/>
      <c r="J776" s="17" t="n"/>
    </row>
    <row r="777">
      <c r="A777" s="12" t="inlineStr">
        <is>
          <t>Quote X-Ray</t>
        </is>
      </c>
      <c r="B777" s="12" t="inlineStr">
        <is>
          <t>MM-09</t>
        </is>
      </c>
      <c r="C777" s="12" t="inlineStr">
        <is>
          <t>Mismatches</t>
        </is>
      </c>
      <c r="D777" s="14" t="inlineStr">
        <is>
          <t>When the lead is deleted</t>
        </is>
      </c>
      <c r="E777" s="14" t="inlineStr">
        <is>
          <t>Built in parity round 4</t>
        </is>
      </c>
      <c r="F777" s="12" t="inlineStr"/>
      <c r="G777" s="12" t="inlineStr"/>
      <c r="H777" s="28" t="inlineStr">
        <is>
          <t>Team check</t>
        </is>
      </c>
      <c r="I777" s="17" t="n"/>
      <c r="J777" s="17" t="n"/>
    </row>
    <row r="778">
      <c r="A778" s="12" t="inlineStr">
        <is>
          <t>Quote X-Ray</t>
        </is>
      </c>
      <c r="B778" s="12" t="inlineStr">
        <is>
          <t>XE-01</t>
        </is>
      </c>
      <c r="C778" s="12" t="inlineStr">
        <is>
          <t>Ways in and back</t>
        </is>
      </c>
      <c r="D778" s="14" t="inlineStr">
        <is>
          <t>X-Ray in Tools</t>
        </is>
      </c>
      <c r="E778" s="14" t="inlineStr">
        <is>
          <t>Built</t>
        </is>
      </c>
      <c r="F778" s="12" t="inlineStr"/>
      <c r="G778" s="12" t="inlineStr">
        <is>
          <t>1.06, 7.10, 11.13, 12.09</t>
        </is>
      </c>
      <c r="H778" s="12" t="inlineStr"/>
      <c r="I778" s="17" t="n"/>
      <c r="J778" s="17" t="n"/>
    </row>
    <row r="779">
      <c r="A779" s="12" t="inlineStr">
        <is>
          <t>Quote X-Ray</t>
        </is>
      </c>
      <c r="B779" s="12" t="inlineStr">
        <is>
          <t>XE-02</t>
        </is>
      </c>
      <c r="C779" s="12" t="inlineStr">
        <is>
          <t>Ways in and back</t>
        </is>
      </c>
      <c r="D779" s="14" t="inlineStr">
        <is>
          <t>“Beat this quote” link on the lead</t>
        </is>
      </c>
      <c r="E779" s="14" t="inlineStr">
        <is>
          <t>Built in parity round 2</t>
        </is>
      </c>
      <c r="F779" s="12" t="inlineStr">
        <is>
          <t>Quote rows’ Compare with another quote, phone included</t>
        </is>
      </c>
      <c r="G779" s="12" t="inlineStr">
        <is>
          <t>7.01</t>
        </is>
      </c>
      <c r="H779" s="12" t="inlineStr"/>
      <c r="I779" s="17" t="n"/>
      <c r="J779" s="17" t="n"/>
    </row>
    <row r="780">
      <c r="A780" s="12" t="inlineStr">
        <is>
          <t>Quote X-Ray</t>
        </is>
      </c>
      <c r="B780" s="12" t="inlineStr">
        <is>
          <t>XE-03</t>
        </is>
      </c>
      <c r="C780" s="12" t="inlineStr">
        <is>
          <t>Ways in and back</t>
        </is>
      </c>
      <c r="D780" s="14" t="inlineStr">
        <is>
          <t>X-Ray from a quote</t>
        </is>
      </c>
      <c r="E780" s="14" t="inlineStr">
        <is>
          <t>Built in parity round 2</t>
        </is>
      </c>
      <c r="F780" s="12" t="inlineStr">
        <is>
          <t>Also on the Quotes tab and Tools › Quotes rows</t>
        </is>
      </c>
      <c r="G780" s="12" t="inlineStr">
        <is>
          <t>7.01</t>
        </is>
      </c>
      <c r="H780" s="12" t="inlineStr"/>
      <c r="I780" s="17" t="n"/>
      <c r="J780" s="17" t="n"/>
    </row>
    <row r="781">
      <c r="A781" s="12" t="inlineStr">
        <is>
          <t>Quote X-Ray</t>
        </is>
      </c>
      <c r="B781" s="12" t="inlineStr">
        <is>
          <t>XE-04</t>
        </is>
      </c>
      <c r="C781" s="12" t="inlineStr">
        <is>
          <t>Ways in and back</t>
        </is>
      </c>
      <c r="D781" s="14" t="inlineStr">
        <is>
          <t>Links straight to a reading</t>
        </is>
      </c>
      <c r="E781" s="14" t="inlineStr">
        <is>
          <t>Built</t>
        </is>
      </c>
      <c r="F781" s="12" t="inlineStr"/>
      <c r="G781" s="12" t="inlineStr"/>
      <c r="H781" s="28" t="inlineStr">
        <is>
          <t>Team check</t>
        </is>
      </c>
      <c r="I781" s="17" t="n"/>
      <c r="J781" s="17" t="n"/>
    </row>
    <row r="782">
      <c r="A782" s="12" t="inlineStr">
        <is>
          <t>Quote X-Ray</t>
        </is>
      </c>
      <c r="B782" s="12" t="inlineStr">
        <is>
          <t>XE-05</t>
        </is>
      </c>
      <c r="C782" s="12" t="inlineStr">
        <is>
          <t>Ways in and back</t>
        </is>
      </c>
      <c r="D782" s="14" t="inlineStr">
        <is>
          <t>Page frame, loading and crumbs</t>
        </is>
      </c>
      <c r="E782" s="14" t="inlineStr">
        <is>
          <t>Built in parity round 2</t>
        </is>
      </c>
      <c r="F782" s="12" t="inlineStr"/>
      <c r="G782" s="12" t="inlineStr"/>
      <c r="H782" s="28" t="inlineStr">
        <is>
          <t>Team check</t>
        </is>
      </c>
      <c r="I782" s="17" t="n"/>
      <c r="J782" s="17" t="n"/>
    </row>
    <row r="783">
      <c r="A783" s="12" t="inlineStr">
        <is>
          <t>Quote X-Ray</t>
        </is>
      </c>
      <c r="B783" s="12" t="inlineStr">
        <is>
          <t>XE-06</t>
        </is>
      </c>
      <c r="C783" s="12" t="inlineStr">
        <is>
          <t>Ways in and back</t>
        </is>
      </c>
      <c r="D783" s="14" t="inlineStr">
        <is>
          <t>The way back keeps the lead</t>
        </is>
      </c>
      <c r="E783" s="14" t="inlineStr">
        <is>
          <t>Built in parity round 2</t>
        </is>
      </c>
      <c r="F783" s="12" t="inlineStr"/>
      <c r="G783" s="12" t="inlineStr"/>
      <c r="H783" s="28" t="inlineStr">
        <is>
          <t>Team check</t>
        </is>
      </c>
      <c r="I783" s="17" t="n"/>
      <c r="J783" s="17" t="n"/>
    </row>
    <row r="784">
      <c r="A784" s="12" t="inlineStr">
        <is>
          <t>Quote X-Ray</t>
        </is>
      </c>
      <c r="B784" s="12" t="inlineStr">
        <is>
          <t>XE-07</t>
        </is>
      </c>
      <c r="C784" s="12" t="inlineStr">
        <is>
          <t>Ways in and back</t>
        </is>
      </c>
      <c r="D784" s="14" t="inlineStr">
        <is>
          <t>Who may open and run X-Ray</t>
        </is>
      </c>
      <c r="E784" s="14" t="inlineStr">
        <is>
          <t>Built in parity round 4</t>
        </is>
      </c>
      <c r="F784" s="12" t="inlineStr"/>
      <c r="G784" s="12" t="inlineStr">
        <is>
          <t>7.11</t>
        </is>
      </c>
      <c r="H784" s="12" t="inlineStr"/>
      <c r="I784" s="17" t="n"/>
      <c r="J784" s="17" t="n"/>
    </row>
    <row r="785">
      <c r="A785" s="12" t="inlineStr">
        <is>
          <t>Quote X-Ray</t>
        </is>
      </c>
      <c r="B785" s="12" t="inlineStr">
        <is>
          <t>XE-08</t>
        </is>
      </c>
      <c r="C785" s="12" t="inlineStr">
        <is>
          <t>Ways in and back</t>
        </is>
      </c>
      <c r="D785" s="14" t="inlineStr">
        <is>
          <t>Phone and tablet</t>
        </is>
      </c>
      <c r="E785" s="14" t="inlineStr">
        <is>
          <t>Built</t>
        </is>
      </c>
      <c r="F785" s="12" t="inlineStr"/>
      <c r="G785" s="12" t="inlineStr"/>
      <c r="H785" s="28" t="inlineStr">
        <is>
          <t>Team check</t>
        </is>
      </c>
      <c r="I785" s="17" t="n"/>
      <c r="J785" s="17" t="n"/>
    </row>
    <row r="786">
      <c r="A786" s="12" t="inlineStr">
        <is>
          <t>Quote X-Ray</t>
        </is>
      </c>
      <c r="B786" s="12" t="inlineStr">
        <is>
          <t>XS-01</t>
        </is>
      </c>
      <c r="C786" s="12" t="inlineStr">
        <is>
          <t>The setup</t>
        </is>
      </c>
      <c r="D786" s="14" t="inlineStr">
        <is>
          <t>The explainer card</t>
        </is>
      </c>
      <c r="E786" s="14" t="inlineStr">
        <is>
          <t>Built</t>
        </is>
      </c>
      <c r="F786" s="12" t="inlineStr"/>
      <c r="G786" s="12" t="inlineStr">
        <is>
          <t>7.01</t>
        </is>
      </c>
      <c r="H786" s="12" t="inlineStr"/>
      <c r="I786" s="17" t="n"/>
      <c r="J786" s="17" t="n"/>
    </row>
    <row r="787">
      <c r="A787" s="12" t="inlineStr">
        <is>
          <t>Quote X-Ray</t>
        </is>
      </c>
      <c r="B787" s="12" t="inlineStr">
        <is>
          <t>XS-02</t>
        </is>
      </c>
      <c r="C787" s="12" t="inlineStr">
        <is>
          <t>The setup</t>
        </is>
      </c>
      <c r="D787" s="14" t="inlineStr">
        <is>
          <t>Two ways to start</t>
        </is>
      </c>
      <c r="E787" s="14" t="inlineStr">
        <is>
          <t>Built</t>
        </is>
      </c>
      <c r="F787" s="12" t="inlineStr"/>
      <c r="G787" s="12" t="inlineStr">
        <is>
          <t>7.10</t>
        </is>
      </c>
      <c r="H787" s="12" t="inlineStr"/>
      <c r="I787" s="17" t="n"/>
      <c r="J787" s="17" t="n"/>
    </row>
    <row r="788">
      <c r="A788" s="12" t="inlineStr">
        <is>
          <t>Quote X-Ray</t>
        </is>
      </c>
      <c r="B788" s="12" t="inlineStr">
        <is>
          <t>XS-03</t>
        </is>
      </c>
      <c r="C788" s="12" t="inlineStr">
        <is>
          <t>The setup</t>
        </is>
      </c>
      <c r="D788" s="14" t="inlineStr">
        <is>
          <t>Choosing the lead</t>
        </is>
      </c>
      <c r="E788" s="14" t="inlineStr">
        <is>
          <t>Built in parity round 2</t>
        </is>
      </c>
      <c r="F788" s="12" t="inlineStr"/>
      <c r="G788" s="12" t="inlineStr"/>
      <c r="H788" s="28" t="inlineStr">
        <is>
          <t>Team check</t>
        </is>
      </c>
      <c r="I788" s="17" t="n"/>
      <c r="J788" s="17" t="n"/>
    </row>
    <row r="789">
      <c r="A789" s="12" t="inlineStr">
        <is>
          <t>Quote X-Ray</t>
        </is>
      </c>
      <c r="B789" s="12" t="inlineStr">
        <is>
          <t>XS-04</t>
        </is>
      </c>
      <c r="C789" s="12" t="inlineStr">
        <is>
          <t>The setup</t>
        </is>
      </c>
      <c r="D789" s="14" t="inlineStr">
        <is>
          <t>Choosing the lead’s quote</t>
        </is>
      </c>
      <c r="E789" s="14" t="inlineStr">
        <is>
          <t>Built in parity round 2</t>
        </is>
      </c>
      <c r="F789" s="12" t="inlineStr"/>
      <c r="G789" s="12" t="inlineStr">
        <is>
          <t>7.01</t>
        </is>
      </c>
      <c r="H789" s="12" t="inlineStr"/>
      <c r="I789" s="17" t="n"/>
      <c r="J789" s="17" t="n"/>
    </row>
    <row r="790">
      <c r="A790" s="12" t="inlineStr">
        <is>
          <t>Quote X-Ray</t>
        </is>
      </c>
      <c r="B790" s="12" t="inlineStr">
        <is>
          <t>XS-05</t>
        </is>
      </c>
      <c r="C790" s="12" t="inlineStr">
        <is>
          <t>The setup</t>
        </is>
      </c>
      <c r="D790" s="14" t="inlineStr">
        <is>
          <t>A lead with no quote yet</t>
        </is>
      </c>
      <c r="E790" s="14" t="inlineStr">
        <is>
          <t>Built in parity round 2</t>
        </is>
      </c>
      <c r="F790" s="12" t="inlineStr"/>
      <c r="G790" s="12" t="inlineStr"/>
      <c r="H790" s="28" t="inlineStr">
        <is>
          <t>Team check</t>
        </is>
      </c>
      <c r="I790" s="17" t="n"/>
      <c r="J790" s="17" t="n"/>
    </row>
    <row r="791">
      <c r="A791" s="12" t="inlineStr">
        <is>
          <t>Quote X-Ray</t>
        </is>
      </c>
      <c r="B791" s="12" t="inlineStr">
        <is>
          <t>XS-06</t>
        </is>
      </c>
      <c r="C791" s="12" t="inlineStr">
        <is>
          <t>The setup</t>
        </is>
      </c>
      <c r="D791" s="14" t="inlineStr">
        <is>
          <t>Upload mode keeps the lead</t>
        </is>
      </c>
      <c r="E791" s="14" t="inlineStr">
        <is>
          <t>Built in parity round 2</t>
        </is>
      </c>
      <c r="F791" s="12" t="inlineStr"/>
      <c r="G791" s="12" t="inlineStr"/>
      <c r="H791" s="28" t="inlineStr">
        <is>
          <t>Team check</t>
        </is>
      </c>
      <c r="I791" s="17" t="n"/>
      <c r="J791" s="17" t="n"/>
    </row>
    <row r="792">
      <c r="A792" s="12" t="inlineStr">
        <is>
          <t>Quote X-Ray</t>
        </is>
      </c>
      <c r="B792" s="12" t="inlineStr">
        <is>
          <t>XS-07</t>
        </is>
      </c>
      <c r="C792" s="12" t="inlineStr">
        <is>
          <t>The setup</t>
        </is>
      </c>
      <c r="D792" s="14" t="inlineStr">
        <is>
          <t>The dropzone, file types and 10 MB</t>
        </is>
      </c>
      <c r="E792" s="14" t="inlineStr">
        <is>
          <t>Built in parity round 2</t>
        </is>
      </c>
      <c r="F792" s="12" t="inlineStr"/>
      <c r="G792" s="12" t="inlineStr">
        <is>
          <t>7.02</t>
        </is>
      </c>
      <c r="H792" s="12" t="inlineStr"/>
      <c r="I792" s="17" t="n"/>
      <c r="J792" s="17" t="n"/>
    </row>
    <row r="793">
      <c r="A793" s="12" t="inlineStr">
        <is>
          <t>Quote X-Ray</t>
        </is>
      </c>
      <c r="B793" s="12" t="inlineStr">
        <is>
          <t>XS-08</t>
        </is>
      </c>
      <c r="C793" s="12" t="inlineStr">
        <is>
          <t>The setup</t>
        </is>
      </c>
      <c r="D793" s="14" t="inlineStr">
        <is>
          <t>Compare button and its hint</t>
        </is>
      </c>
      <c r="E793" s="14" t="inlineStr">
        <is>
          <t>Built</t>
        </is>
      </c>
      <c r="F793" s="12" t="inlineStr"/>
      <c r="G793" s="12" t="inlineStr">
        <is>
          <t>7.02</t>
        </is>
      </c>
      <c r="H793" s="12" t="inlineStr"/>
      <c r="I793" s="17" t="n"/>
      <c r="J793" s="17" t="n"/>
    </row>
    <row r="794">
      <c r="A794" s="12" t="inlineStr">
        <is>
          <t>Quote X-Ray</t>
        </is>
      </c>
      <c r="B794" s="12" t="inlineStr">
        <is>
          <t>XS-09</t>
        </is>
      </c>
      <c r="C794" s="12" t="inlineStr">
        <is>
          <t>The setup</t>
        </is>
      </c>
      <c r="D794" s="14" t="inlineStr">
        <is>
          <t>Progress while comparing</t>
        </is>
      </c>
      <c r="E794" s="14" t="inlineStr">
        <is>
          <t>Built</t>
        </is>
      </c>
      <c r="F794" s="12" t="inlineStr"/>
      <c r="G794" s="12" t="inlineStr">
        <is>
          <t>7.03</t>
        </is>
      </c>
      <c r="H794" s="12" t="inlineStr"/>
      <c r="I794" s="17" t="n"/>
      <c r="J794" s="17" t="n"/>
    </row>
    <row r="795">
      <c r="A795" s="12" t="inlineStr">
        <is>
          <t>Quote X-Ray</t>
        </is>
      </c>
      <c r="B795" s="12" t="inlineStr">
        <is>
          <t>XS-10</t>
        </is>
      </c>
      <c r="C795" s="12" t="inlineStr">
        <is>
          <t>The setup</t>
        </is>
      </c>
      <c r="D795" s="14" t="inlineStr">
        <is>
          <t>Errors that name the file</t>
        </is>
      </c>
      <c r="E795" s="14" t="inlineStr">
        <is>
          <t>Built</t>
        </is>
      </c>
      <c r="F795" s="12" t="inlineStr"/>
      <c r="G795" s="12" t="inlineStr">
        <is>
          <t>7.10</t>
        </is>
      </c>
      <c r="H795" s="12" t="inlineStr"/>
      <c r="I795" s="17" t="n"/>
      <c r="J795" s="17" t="n"/>
    </row>
    <row r="796">
      <c r="A796" s="12" t="inlineStr">
        <is>
          <t>Quote X-Ray</t>
        </is>
      </c>
      <c r="B796" s="12" t="inlineStr">
        <is>
          <t>XR-01</t>
        </is>
      </c>
      <c r="C796" s="12" t="inlineStr">
        <is>
          <t>Reading the files</t>
        </is>
      </c>
      <c r="D796" s="14" t="inlineStr">
        <is>
          <t>Reading a PDF or a photo</t>
        </is>
      </c>
      <c r="E796" s="14" t="inlineStr">
        <is>
          <t>Platform</t>
        </is>
      </c>
      <c r="F796" s="12" t="inlineStr">
        <is>
          <t>Known sample names only; the platform reads the rest</t>
        </is>
      </c>
      <c r="G796" s="12" t="inlineStr">
        <is>
          <t>7.10</t>
        </is>
      </c>
      <c r="H796" s="12" t="inlineStr"/>
      <c r="I796" s="17" t="n"/>
      <c r="J796" s="17" t="n"/>
    </row>
    <row r="797">
      <c r="A797" s="12" t="inlineStr">
        <is>
          <t>Quote X-Ray</t>
        </is>
      </c>
      <c r="B797" s="12" t="inlineStr">
        <is>
          <t>XR-02</t>
        </is>
      </c>
      <c r="C797" s="12" t="inlineStr">
        <is>
          <t>Reading the files</t>
        </is>
      </c>
      <c r="D797" s="14" t="inlineStr">
        <is>
          <t>Reading spreadsheets</t>
        </is>
      </c>
      <c r="E797" s="14" t="inlineStr">
        <is>
          <t>Built in parity round 2</t>
        </is>
      </c>
      <c r="F797" s="12" t="inlineStr"/>
      <c r="G797" s="12" t="inlineStr">
        <is>
          <t>7.02</t>
        </is>
      </c>
      <c r="H797" s="12" t="inlineStr"/>
      <c r="I797" s="17" t="n"/>
      <c r="J797" s="17" t="n"/>
    </row>
    <row r="798">
      <c r="A798" s="12" t="inlineStr">
        <is>
          <t>Quote X-Ray</t>
        </is>
      </c>
      <c r="B798" s="12" t="inlineStr">
        <is>
          <t>XR-03</t>
        </is>
      </c>
      <c r="C798" s="12" t="inlineStr">
        <is>
          <t>Reading the files</t>
        </is>
      </c>
      <c r="D798" s="14" t="inlineStr">
        <is>
          <t>File names misread by part of a word</t>
        </is>
      </c>
      <c r="E798" s="14" t="inlineStr">
        <is>
          <t>Built in parity round 2</t>
        </is>
      </c>
      <c r="F798" s="12" t="inlineStr">
        <is>
          <t>2.0 bug fixed: whole words only</t>
        </is>
      </c>
      <c r="G798" s="12" t="inlineStr">
        <is>
          <t>7.10</t>
        </is>
      </c>
      <c r="H798" s="12" t="inlineStr"/>
      <c r="I798" s="17" t="n"/>
      <c r="J798" s="17" t="n"/>
    </row>
    <row r="799">
      <c r="A799" s="12" t="inlineStr">
        <is>
          <t>Quote X-Ray</t>
        </is>
      </c>
      <c r="B799" s="12" t="inlineStr">
        <is>
          <t>XR-04</t>
        </is>
      </c>
      <c r="C799" s="12" t="inlineStr">
        <is>
          <t>Reading the files</t>
        </is>
      </c>
      <c r="D799" s="14" t="inlineStr">
        <is>
          <t>File size and type limits</t>
        </is>
      </c>
      <c r="E799" s="14" t="inlineStr">
        <is>
          <t>Built in parity round 2</t>
        </is>
      </c>
      <c r="F799" s="12" t="inlineStr"/>
      <c r="G799" s="12" t="inlineStr"/>
      <c r="H799" s="28" t="inlineStr">
        <is>
          <t>Team check</t>
        </is>
      </c>
      <c r="I799" s="17" t="n"/>
      <c r="J799" s="17" t="n"/>
    </row>
    <row r="800">
      <c r="A800" s="12" t="inlineStr">
        <is>
          <t>Quote X-Ray</t>
        </is>
      </c>
      <c r="B800" s="12" t="inlineStr">
        <is>
          <t>XR-05</t>
        </is>
      </c>
      <c r="C800" s="12" t="inlineStr">
        <is>
          <t>Reading the files</t>
        </is>
      </c>
      <c r="D800" s="14" t="inlineStr">
        <is>
          <t>The other studio’s name</t>
        </is>
      </c>
      <c r="E800" s="14" t="inlineStr">
        <is>
          <t>Built</t>
        </is>
      </c>
      <c r="F800" s="12" t="inlineStr">
        <is>
          <t>A sheet takes a typed name</t>
        </is>
      </c>
      <c r="G800" s="12" t="inlineStr">
        <is>
          <t>7.02</t>
        </is>
      </c>
      <c r="H800" s="12" t="inlineStr"/>
      <c r="I800" s="17" t="n"/>
      <c r="J800" s="17" t="n"/>
    </row>
    <row r="801">
      <c r="A801" s="12" t="inlineStr">
        <is>
          <t>Quote X-Ray</t>
        </is>
      </c>
      <c r="B801" s="12" t="inlineStr">
        <is>
          <t>XR-06</t>
        </is>
      </c>
      <c r="C801" s="12" t="inlineStr">
        <is>
          <t>Reading the files</t>
        </is>
      </c>
      <c r="D801" s="14" t="inlineStr">
        <is>
          <t>Other currencies</t>
        </is>
      </c>
      <c r="E801" s="14" t="inlineStr">
        <is>
          <t>Platform</t>
        </is>
      </c>
      <c r="F801" s="12" t="inlineStr">
        <is>
          <t>S$ only (Q-23)</t>
        </is>
      </c>
      <c r="G801" s="12" t="inlineStr"/>
      <c r="H801" s="12" t="inlineStr"/>
      <c r="I801" s="17" t="n"/>
      <c r="J801" s="17" t="n"/>
    </row>
    <row r="802">
      <c r="A802" s="12" t="inlineStr">
        <is>
          <t>Quote X-Ray</t>
        </is>
      </c>
      <c r="B802" s="12" t="inlineStr">
        <is>
          <t>XM-01</t>
        </is>
      </c>
      <c r="C802" s="12" t="inlineStr">
        <is>
          <t>The engine</t>
        </is>
      </c>
      <c r="D802" s="14" t="inlineStr">
        <is>
          <t>Your quote’s lines taken from the lead</t>
        </is>
      </c>
      <c r="E802" s="14" t="inlineStr">
        <is>
          <t>Built in parity round 1</t>
        </is>
      </c>
      <c r="F802" s="12" t="inlineStr"/>
      <c r="G802" s="12" t="inlineStr">
        <is>
          <t>7.04</t>
        </is>
      </c>
      <c r="H802" s="12" t="inlineStr"/>
      <c r="I802" s="17" t="n"/>
      <c r="J802" s="17" t="n"/>
    </row>
    <row r="803">
      <c r="A803" s="12" t="inlineStr">
        <is>
          <t>Quote X-Ray</t>
        </is>
      </c>
      <c r="B803" s="12" t="inlineStr">
        <is>
          <t>XM-02</t>
        </is>
      </c>
      <c r="C803" s="12" t="inlineStr">
        <is>
          <t>The engine</t>
        </is>
      </c>
      <c r="D803" s="14" t="inlineStr">
        <is>
          <t>Both totals on one basis</t>
        </is>
      </c>
      <c r="E803" s="14" t="inlineStr">
        <is>
          <t>Built in parity round 1</t>
        </is>
      </c>
      <c r="F803" s="12" t="inlineStr"/>
      <c r="G803" s="12" t="inlineStr">
        <is>
          <t>7.04</t>
        </is>
      </c>
      <c r="H803" s="12" t="inlineStr"/>
      <c r="I803" s="17" t="n"/>
      <c r="J803" s="17" t="n"/>
    </row>
    <row r="804">
      <c r="A804" s="12" t="inlineStr">
        <is>
          <t>Quote X-Ray</t>
        </is>
      </c>
      <c r="B804" s="12" t="inlineStr">
        <is>
          <t>XM-03</t>
        </is>
      </c>
      <c r="C804" s="12" t="inlineStr">
        <is>
          <t>The engine</t>
        </is>
      </c>
      <c r="D804" s="14" t="inlineStr">
        <is>
          <t>Trades in matching</t>
        </is>
      </c>
      <c r="E804" s="14" t="inlineStr">
        <is>
          <t>Built</t>
        </is>
      </c>
      <c r="F804" s="12" t="inlineStr"/>
      <c r="G804" s="12" t="inlineStr"/>
      <c r="H804" s="28" t="inlineStr">
        <is>
          <t>Team check</t>
        </is>
      </c>
      <c r="I804" s="17" t="n"/>
      <c r="J804" s="17" t="n"/>
    </row>
    <row r="805">
      <c r="A805" s="12" t="inlineStr">
        <is>
          <t>Quote X-Ray</t>
        </is>
      </c>
      <c r="B805" s="12" t="inlineStr">
        <is>
          <t>XM-04</t>
        </is>
      </c>
      <c r="C805" s="12" t="inlineStr">
        <is>
          <t>The engine</t>
        </is>
      </c>
      <c r="D805" s="14" t="inlineStr">
        <is>
          <t>Word matching, plurals and trade words</t>
        </is>
      </c>
      <c r="E805" s="14" t="inlineStr">
        <is>
          <t>Built in parity round 1</t>
        </is>
      </c>
      <c r="F805" s="12" t="inlineStr"/>
      <c r="G805" s="12" t="inlineStr">
        <is>
          <t>7.05</t>
        </is>
      </c>
      <c r="H805" s="12" t="inlineStr"/>
      <c r="I805" s="17" t="n"/>
      <c r="J805" s="17" t="n"/>
    </row>
    <row r="806">
      <c r="A806" s="12" t="inlineStr">
        <is>
          <t>Quote X-Ray</t>
        </is>
      </c>
      <c r="B806" s="12" t="inlineStr">
        <is>
          <t>XM-05</t>
        </is>
      </c>
      <c r="C806" s="12" t="inlineStr">
        <is>
          <t>The engine</t>
        </is>
      </c>
      <c r="D806" s="14" t="inlineStr">
        <is>
          <t>AI merge of leftover lines</t>
        </is>
      </c>
      <c r="E806" s="14" t="inlineStr">
        <is>
          <t>Platform</t>
        </is>
      </c>
      <c r="F806" s="12" t="inlineStr">
        <is>
          <t>Synonyms and your corrections stand in</t>
        </is>
      </c>
      <c r="G806" s="12" t="inlineStr">
        <is>
          <t>7.06</t>
        </is>
      </c>
      <c r="H806" s="12" t="inlineStr"/>
      <c r="I806" s="17" t="n"/>
      <c r="J806" s="17" t="n"/>
    </row>
    <row r="807">
      <c r="A807" s="12" t="inlineStr">
        <is>
          <t>Quote X-Ray</t>
        </is>
      </c>
      <c r="B807" s="12" t="inlineStr">
        <is>
          <t>XM-06</t>
        </is>
      </c>
      <c r="C807" s="12" t="inlineStr">
        <is>
          <t>The engine</t>
        </is>
      </c>
      <c r="D807" s="14" t="inlineStr">
        <is>
          <t>One line against several</t>
        </is>
      </c>
      <c r="E807" s="14" t="inlineStr">
        <is>
          <t>Built in parity round 1</t>
        </is>
      </c>
      <c r="F807" s="12" t="inlineStr"/>
      <c r="G807" s="12" t="inlineStr"/>
      <c r="H807" s="28" t="inlineStr">
        <is>
          <t>Team check</t>
        </is>
      </c>
      <c r="I807" s="17" t="n"/>
      <c r="J807" s="17" t="n"/>
    </row>
    <row r="808">
      <c r="A808" s="12" t="inlineStr">
        <is>
          <t>Quote X-Ray</t>
        </is>
      </c>
      <c r="B808" s="12" t="inlineStr">
        <is>
          <t>XM-07</t>
        </is>
      </c>
      <c r="C808" s="12" t="inlineStr">
        <is>
          <t>The engine</t>
        </is>
      </c>
      <c r="D808" s="14" t="inlineStr">
        <is>
          <t>Undo a wrong match</t>
        </is>
      </c>
      <c r="E808" s="14" t="inlineStr">
        <is>
          <t>Built in parity round 3</t>
        </is>
      </c>
      <c r="F808" s="12" t="inlineStr"/>
      <c r="G808" s="12" t="inlineStr">
        <is>
          <t>7.06, 7.07</t>
        </is>
      </c>
      <c r="H808" s="12" t="inlineStr"/>
      <c r="I808" s="17" t="n"/>
      <c r="J808" s="17" t="n"/>
    </row>
    <row r="809">
      <c r="A809" s="12" t="inlineStr">
        <is>
          <t>Quote X-Ray</t>
        </is>
      </c>
      <c r="B809" s="12" t="inlineStr">
        <is>
          <t>XM-08</t>
        </is>
      </c>
      <c r="C809" s="12" t="inlineStr">
        <is>
          <t>The engine</t>
        </is>
      </c>
      <c r="D809" s="14" t="inlineStr">
        <is>
          <t>The real difference sum</t>
        </is>
      </c>
      <c r="E809" s="14" t="inlineStr">
        <is>
          <t>Built</t>
        </is>
      </c>
      <c r="F809" s="12" t="inlineStr"/>
      <c r="G809" s="12" t="inlineStr">
        <is>
          <t>7.04</t>
        </is>
      </c>
      <c r="H809" s="12" t="inlineStr"/>
      <c r="I809" s="17" t="n"/>
      <c r="J809" s="17" t="n"/>
    </row>
    <row r="810">
      <c r="A810" s="12" t="inlineStr">
        <is>
          <t>Quote X-Ray</t>
        </is>
      </c>
      <c r="B810" s="12" t="inlineStr">
        <is>
          <t>XM-09</t>
        </is>
      </c>
      <c r="C810" s="12" t="inlineStr">
        <is>
          <t>The engine</t>
        </is>
      </c>
      <c r="D810" s="14" t="inlineStr">
        <is>
          <t>Lines with no price</t>
        </is>
      </c>
      <c r="E810" s="14" t="inlineStr">
        <is>
          <t>Built</t>
        </is>
      </c>
      <c r="F810" s="12" t="inlineStr"/>
      <c r="G810" s="12" t="inlineStr">
        <is>
          <t>7.05</t>
        </is>
      </c>
      <c r="H810" s="12" t="inlineStr"/>
      <c r="I810" s="17" t="n"/>
      <c r="J810" s="17" t="n"/>
    </row>
    <row r="811">
      <c r="A811" s="12" t="inlineStr">
        <is>
          <t>Quote X-Ray</t>
        </is>
      </c>
      <c r="B811" s="12" t="inlineStr">
        <is>
          <t>XM-10</t>
        </is>
      </c>
      <c r="C811" s="12" t="inlineStr">
        <is>
          <t>The engine</t>
        </is>
      </c>
      <c r="D811" s="14" t="inlineStr">
        <is>
          <t>Compare rates, not only totals</t>
        </is>
      </c>
      <c r="E811" s="14" t="inlineStr">
        <is>
          <t>Built in parity round 1</t>
        </is>
      </c>
      <c r="F811" s="12" t="inlineStr"/>
      <c r="G811" s="12" t="inlineStr">
        <is>
          <t>7.05</t>
        </is>
      </c>
      <c r="H811" s="12" t="inlineStr"/>
      <c r="I811" s="17" t="n"/>
      <c r="J811" s="17" t="n"/>
    </row>
    <row r="812">
      <c r="A812" s="12" t="inlineStr">
        <is>
          <t>Quote X-Ray</t>
        </is>
      </c>
      <c r="B812" s="12" t="inlineStr">
        <is>
          <t>XM-11</t>
        </is>
      </c>
      <c r="C812" s="12" t="inlineStr">
        <is>
          <t>The engine</t>
        </is>
      </c>
      <c r="D812" s="14" t="inlineStr">
        <is>
          <t>Signs and zero amounts</t>
        </is>
      </c>
      <c r="E812" s="14" t="inlineStr">
        <is>
          <t>Built in parity round 1</t>
        </is>
      </c>
      <c r="F812" s="12" t="inlineStr"/>
      <c r="G812" s="12" t="inlineStr">
        <is>
          <t>7.05</t>
        </is>
      </c>
      <c r="H812" s="12" t="inlineStr"/>
      <c r="I812" s="17" t="n"/>
      <c r="J812" s="17" t="n"/>
    </row>
    <row r="813">
      <c r="A813" s="12" t="inlineStr">
        <is>
          <t>Quote X-Ray</t>
        </is>
      </c>
      <c r="B813" s="12" t="inlineStr">
        <is>
          <t>XP-01</t>
        </is>
      </c>
      <c r="C813" s="12" t="inlineStr">
        <is>
          <t>Say this</t>
        </is>
      </c>
      <c r="D813" s="14" t="inlineStr">
        <is>
          <t>The pool of points, up to three said</t>
        </is>
      </c>
      <c r="E813" s="14" t="inlineStr">
        <is>
          <t>Built in parity round 1</t>
        </is>
      </c>
      <c r="F813" s="12" t="inlineStr"/>
      <c r="G813" s="12" t="inlineStr">
        <is>
          <t>7.08</t>
        </is>
      </c>
      <c r="H813" s="12" t="inlineStr"/>
      <c r="I813" s="17" t="n"/>
      <c r="J813" s="17" t="n"/>
    </row>
    <row r="814">
      <c r="A814" s="12" t="inlineStr">
        <is>
          <t>Quote X-Ray</t>
        </is>
      </c>
      <c r="B814" s="12" t="inlineStr">
        <is>
          <t>XP-02</t>
        </is>
      </c>
      <c r="C814" s="12" t="inlineStr">
        <is>
          <t>Say this</t>
        </is>
      </c>
      <c r="D814" s="14" t="inlineStr">
        <is>
          <t>Work their quote leaves out</t>
        </is>
      </c>
      <c r="E814" s="14" t="inlineStr">
        <is>
          <t>Built</t>
        </is>
      </c>
      <c r="F814" s="12" t="inlineStr"/>
      <c r="G814" s="12" t="inlineStr">
        <is>
          <t>7.08</t>
        </is>
      </c>
      <c r="H814" s="12" t="inlineStr"/>
      <c r="I814" s="17" t="n"/>
      <c r="J814" s="17" t="n"/>
    </row>
    <row r="815">
      <c r="A815" s="12" t="inlineStr">
        <is>
          <t>Quote X-Ray</t>
        </is>
      </c>
      <c r="B815" s="12" t="inlineStr">
        <is>
          <t>XP-03</t>
        </is>
      </c>
      <c r="C815" s="12" t="inlineStr">
        <is>
          <t>Say this</t>
        </is>
      </c>
      <c r="D815" s="14" t="inlineStr">
        <is>
          <t>Their price well below</t>
        </is>
      </c>
      <c r="E815" s="14" t="inlineStr">
        <is>
          <t>Built in parity round 1</t>
        </is>
      </c>
      <c r="F815" s="12" t="inlineStr">
        <is>
          <t>Labelled “Priced well below ours” (Q-06)</t>
        </is>
      </c>
      <c r="G815" s="12" t="inlineStr">
        <is>
          <t>7.08</t>
        </is>
      </c>
      <c r="H815" s="12" t="inlineStr"/>
      <c r="I815" s="17" t="n"/>
      <c r="J815" s="17" t="n"/>
    </row>
    <row r="816">
      <c r="A816" s="12" t="inlineStr">
        <is>
          <t>Quote X-Ray</t>
        </is>
      </c>
      <c r="B816" s="12" t="inlineStr">
        <is>
          <t>XP-04</t>
        </is>
      </c>
      <c r="C816" s="12" t="inlineStr">
        <is>
          <t>Say this</t>
        </is>
      </c>
      <c r="D816" s="14" t="inlineStr">
        <is>
          <t>The same item cheaper in ours</t>
        </is>
      </c>
      <c r="E816" s="14" t="inlineStr">
        <is>
          <t>Built in parity round 1</t>
        </is>
      </c>
      <c r="F816" s="12" t="inlineStr"/>
      <c r="G816" s="12" t="inlineStr"/>
      <c r="H816" s="28" t="inlineStr">
        <is>
          <t>Team check</t>
        </is>
      </c>
      <c r="I816" s="17" t="n"/>
      <c r="J816" s="17" t="n"/>
    </row>
    <row r="817">
      <c r="A817" s="12" t="inlineStr">
        <is>
          <t>Quote X-Ray</t>
        </is>
      </c>
      <c r="B817" s="12" t="inlineStr">
        <is>
          <t>XP-05</t>
        </is>
      </c>
      <c r="C817" s="12" t="inlineStr">
        <is>
          <t>Say this</t>
        </is>
      </c>
      <c r="D817" s="14" t="inlineStr">
        <is>
          <t>Their arithmetic errors</t>
        </is>
      </c>
      <c r="E817" s="14" t="inlineStr">
        <is>
          <t>Platform</t>
        </is>
      </c>
      <c r="F817" s="12" t="inlineStr">
        <is>
          <t>Needs a document’s stated totals</t>
        </is>
      </c>
      <c r="G817" s="12" t="inlineStr"/>
      <c r="H817" s="12" t="inlineStr"/>
      <c r="I817" s="17" t="n"/>
      <c r="J817" s="17" t="n"/>
    </row>
    <row r="818">
      <c r="A818" s="12" t="inlineStr">
        <is>
          <t>Quote X-Ray</t>
        </is>
      </c>
      <c r="B818" s="12" t="inlineStr">
        <is>
          <t>XP-06</t>
        </is>
      </c>
      <c r="C818" s="12" t="inlineStr">
        <is>
          <t>Say this</t>
        </is>
      </c>
      <c r="D818" s="14" t="inlineStr">
        <is>
          <t>Material weaknesses worth a question</t>
        </is>
      </c>
      <c r="E818" s="14" t="inlineStr">
        <is>
          <t>Built in parity round 1</t>
        </is>
      </c>
      <c r="F818" s="12" t="inlineStr"/>
      <c r="G818" s="12" t="inlineStr">
        <is>
          <t>7.08</t>
        </is>
      </c>
      <c r="H818" s="12" t="inlineStr"/>
      <c r="I818" s="17" t="n"/>
      <c r="J818" s="17" t="n"/>
    </row>
    <row r="819">
      <c r="A819" s="12" t="inlineStr">
        <is>
          <t>Quote X-Ray</t>
        </is>
      </c>
      <c r="B819" s="12" t="inlineStr">
        <is>
          <t>XP-07</t>
        </is>
      </c>
      <c r="C819" s="12" t="inlineStr">
        <is>
          <t>Say this</t>
        </is>
      </c>
      <c r="D819" s="14" t="inlineStr">
        <is>
          <t>Brands as points</t>
        </is>
      </c>
      <c r="E819" s="14" t="inlineStr">
        <is>
          <t>Built in parity round 1</t>
        </is>
      </c>
      <c r="F819" s="12" t="inlineStr"/>
      <c r="G819" s="12" t="inlineStr">
        <is>
          <t>7.08</t>
        </is>
      </c>
      <c r="H819" s="12" t="inlineStr"/>
      <c r="I819" s="17" t="n"/>
      <c r="J819" s="17" t="n"/>
    </row>
    <row r="820">
      <c r="A820" s="12" t="inlineStr">
        <is>
          <t>Quote X-Ray</t>
        </is>
      </c>
      <c r="B820" s="12" t="inlineStr">
        <is>
          <t>XP-08</t>
        </is>
      </c>
      <c r="C820" s="12" t="inlineStr">
        <is>
          <t>Say this</t>
        </is>
      </c>
      <c r="D820" s="14" t="inlineStr">
        <is>
          <t>A lone question-only point is dropped</t>
        </is>
      </c>
      <c r="E820" s="14" t="inlineStr">
        <is>
          <t>Built in parity round 1</t>
        </is>
      </c>
      <c r="F820" s="12" t="inlineStr"/>
      <c r="G820" s="12" t="inlineStr"/>
      <c r="H820" s="28" t="inlineStr">
        <is>
          <t>Team check</t>
        </is>
      </c>
      <c r="I820" s="17" t="n"/>
      <c r="J820" s="17" t="n"/>
    </row>
    <row r="821">
      <c r="A821" s="12" t="inlineStr">
        <is>
          <t>Quote X-Ray</t>
        </is>
      </c>
      <c r="B821" s="12" t="inlineStr">
        <is>
          <t>XP-09</t>
        </is>
      </c>
      <c r="C821" s="12" t="inlineStr">
        <is>
          <t>Say this</t>
        </is>
      </c>
      <c r="D821" s="14" t="inlineStr">
        <is>
          <t>Say it as a question</t>
        </is>
      </c>
      <c r="E821" s="14" t="inlineStr">
        <is>
          <t>Built in parity round 1</t>
        </is>
      </c>
      <c r="F821" s="12" t="inlineStr"/>
      <c r="G821" s="12" t="inlineStr">
        <is>
          <t>7.08</t>
        </is>
      </c>
      <c r="H821" s="12" t="inlineStr"/>
      <c r="I821" s="17" t="n"/>
      <c r="J821" s="17" t="n"/>
    </row>
    <row r="822">
      <c r="A822" s="12" t="inlineStr">
        <is>
          <t>Quote X-Ray</t>
        </is>
      </c>
      <c r="B822" s="12" t="inlineStr">
        <is>
          <t>XP-10</t>
        </is>
      </c>
      <c r="C822" s="12" t="inlineStr">
        <is>
          <t>Say this</t>
        </is>
      </c>
      <c r="D822" s="14" t="inlineStr">
        <is>
          <t>When nothing stands out</t>
        </is>
      </c>
      <c r="E822" s="14" t="inlineStr">
        <is>
          <t>Built</t>
        </is>
      </c>
      <c r="F822" s="12" t="inlineStr"/>
      <c r="G822" s="12" t="inlineStr"/>
      <c r="H822" s="28" t="inlineStr">
        <is>
          <t>Team check</t>
        </is>
      </c>
      <c r="I822" s="17" t="n"/>
      <c r="J822" s="17" t="n"/>
    </row>
    <row r="823">
      <c r="A823" s="12" t="inlineStr">
        <is>
          <t>Quote X-Ray</t>
        </is>
      </c>
      <c r="B823" s="12" t="inlineStr">
        <is>
          <t>XP-11</t>
        </is>
      </c>
      <c r="C823" s="12" t="inlineStr">
        <is>
          <t>Say this</t>
        </is>
      </c>
      <c r="D823" s="14" t="inlineStr">
        <is>
          <t>Names inside the sentences</t>
        </is>
      </c>
      <c r="E823" s="14" t="inlineStr">
        <is>
          <t>Built in parity round 1</t>
        </is>
      </c>
      <c r="F823" s="12" t="inlineStr"/>
      <c r="G823" s="12" t="inlineStr">
        <is>
          <t>7.09</t>
        </is>
      </c>
      <c r="H823" s="12" t="inlineStr"/>
      <c r="I823" s="17" t="n"/>
      <c r="J823" s="17" t="n"/>
    </row>
    <row r="824">
      <c r="A824" s="12" t="inlineStr">
        <is>
          <t>Quote X-Ray</t>
        </is>
      </c>
      <c r="B824" s="12" t="inlineStr">
        <is>
          <t>XK-01</t>
        </is>
      </c>
      <c r="C824" s="12" t="inlineStr">
        <is>
          <t>Key points — brands</t>
        </is>
      </c>
      <c r="D824" s="14" t="inlineStr">
        <is>
          <t>Reading brands off the lines</t>
        </is>
      </c>
      <c r="E824" s="14" t="inlineStr">
        <is>
          <t>Platform</t>
        </is>
      </c>
      <c r="F824" s="12" t="inlineStr">
        <is>
          <t>Curated patterns stand in</t>
        </is>
      </c>
      <c r="G824" s="12" t="inlineStr"/>
      <c r="H824" s="12" t="inlineStr"/>
      <c r="I824" s="17" t="n"/>
      <c r="J824" s="17" t="n"/>
    </row>
    <row r="825">
      <c r="A825" s="12" t="inlineStr">
        <is>
          <t>Quote X-Ray</t>
        </is>
      </c>
      <c r="B825" s="12" t="inlineStr">
        <is>
          <t>XK-02</t>
        </is>
      </c>
      <c r="C825" s="12" t="inlineStr">
        <is>
          <t>Key points — brands</t>
        </is>
      </c>
      <c r="D825" s="14" t="inlineStr">
        <is>
          <t>Web research on brands</t>
        </is>
      </c>
      <c r="E825" s="14" t="inlineStr">
        <is>
          <t>Platform</t>
        </is>
      </c>
      <c r="F825" s="12" t="inlineStr">
        <is>
          <t>Curated notes kept (Q-23)</t>
        </is>
      </c>
      <c r="G825" s="12" t="inlineStr"/>
      <c r="H825" s="12" t="inlineStr"/>
      <c r="I825" s="17" t="n"/>
      <c r="J825" s="17" t="n"/>
    </row>
    <row r="826">
      <c r="A826" s="12" t="inlineStr">
        <is>
          <t>Quote X-Ray</t>
        </is>
      </c>
      <c r="B826" s="12" t="inlineStr">
        <is>
          <t>XK-03</t>
        </is>
      </c>
      <c r="C826" s="12" t="inlineStr">
        <is>
          <t>Key points — brands</t>
        </is>
      </c>
      <c r="D826" s="14" t="inlineStr">
        <is>
          <t>Your brand advantage</t>
        </is>
      </c>
      <c r="E826" s="14" t="inlineStr">
        <is>
          <t>Built in parity round 1</t>
        </is>
      </c>
      <c r="F826" s="12" t="inlineStr"/>
      <c r="G826" s="12" t="inlineStr">
        <is>
          <t>7.08</t>
        </is>
      </c>
      <c r="H826" s="12" t="inlineStr"/>
      <c r="I826" s="17" t="n"/>
      <c r="J826" s="17" t="n"/>
    </row>
    <row r="827">
      <c r="A827" s="12" t="inlineStr">
        <is>
          <t>Quote X-Ray</t>
        </is>
      </c>
      <c r="B827" s="12" t="inlineStr">
        <is>
          <t>XK-04</t>
        </is>
      </c>
      <c r="C827" s="12" t="inlineStr">
        <is>
          <t>Key points — brands</t>
        </is>
      </c>
      <c r="D827" s="14" t="inlineStr">
        <is>
          <t>Issues with brands in their quote</t>
        </is>
      </c>
      <c r="E827" s="14" t="inlineStr">
        <is>
          <t>Built</t>
        </is>
      </c>
      <c r="F827" s="12" t="inlineStr"/>
      <c r="G827" s="12" t="inlineStr">
        <is>
          <t>7.08</t>
        </is>
      </c>
      <c r="H827" s="12" t="inlineStr"/>
      <c r="I827" s="17" t="n"/>
      <c r="J827" s="17" t="n"/>
    </row>
    <row r="828">
      <c r="A828" s="12" t="inlineStr">
        <is>
          <t>Quote X-Ray</t>
        </is>
      </c>
      <c r="B828" s="12" t="inlineStr">
        <is>
          <t>XK-05</t>
        </is>
      </c>
      <c r="C828" s="12" t="inlineStr">
        <is>
          <t>Key points — brands</t>
        </is>
      </c>
      <c r="D828" s="14" t="inlineStr">
        <is>
          <t>Brands checked with nothing found</t>
        </is>
      </c>
      <c r="E828" s="14" t="inlineStr">
        <is>
          <t>Built in parity round 1</t>
        </is>
      </c>
      <c r="F828" s="12" t="inlineStr"/>
      <c r="G828" s="12" t="inlineStr">
        <is>
          <t>7.08</t>
        </is>
      </c>
      <c r="H828" s="12" t="inlineStr"/>
      <c r="I828" s="17" t="n"/>
      <c r="J828" s="17" t="n"/>
    </row>
    <row r="829">
      <c r="A829" s="12" t="inlineStr">
        <is>
          <t>Quote X-Ray</t>
        </is>
      </c>
      <c r="B829" s="12" t="inlineStr">
        <is>
          <t>XK-06</t>
        </is>
      </c>
      <c r="C829" s="12" t="inlineStr">
        <is>
          <t>Key points — brands</t>
        </is>
      </c>
      <c r="D829" s="14" t="inlineStr">
        <is>
          <t>Sources for a brand note</t>
        </is>
      </c>
      <c r="E829" s="14" t="inlineStr">
        <is>
          <t>Built in parity round 1</t>
        </is>
      </c>
      <c r="F829" s="12" t="inlineStr">
        <is>
          <t>Read as sources, not dead links</t>
        </is>
      </c>
      <c r="G829" s="12" t="inlineStr">
        <is>
          <t>7.08</t>
        </is>
      </c>
      <c r="H829" s="12" t="inlineStr"/>
      <c r="I829" s="17" t="n"/>
      <c r="J829" s="17" t="n"/>
    </row>
    <row r="830">
      <c r="A830" s="12" t="inlineStr">
        <is>
          <t>Quote X-Ray</t>
        </is>
      </c>
      <c r="B830" s="12" t="inlineStr">
        <is>
          <t>XK-07</t>
        </is>
      </c>
      <c r="C830" s="12" t="inlineStr">
        <is>
          <t>Key points — brands</t>
        </is>
      </c>
      <c r="D830" s="14" t="inlineStr">
        <is>
          <t>Brands in Upload two quotes</t>
        </is>
      </c>
      <c r="E830" s="14" t="inlineStr">
        <is>
          <t>Built in parity round 1</t>
        </is>
      </c>
      <c r="F830" s="12" t="inlineStr">
        <is>
          <t>2.0 gap fixed: your file’s brands kept</t>
        </is>
      </c>
      <c r="G830" s="12" t="inlineStr"/>
      <c r="H830" s="28" t="inlineStr">
        <is>
          <t>Team check</t>
        </is>
      </c>
      <c r="I830" s="17" t="n"/>
      <c r="J830" s="17" t="n"/>
    </row>
    <row r="831">
      <c r="A831" s="12" t="inlineStr">
        <is>
          <t>Quote X-Ray</t>
        </is>
      </c>
      <c r="B831" s="12" t="inlineStr">
        <is>
          <t>XC-01</t>
        </is>
      </c>
      <c r="C831" s="12" t="inlineStr">
        <is>
          <t>The record</t>
        </is>
      </c>
      <c r="D831" s="14" t="inlineStr">
        <is>
          <t>Which view a reading opens in</t>
        </is>
      </c>
      <c r="E831" s="14" t="inlineStr">
        <is>
          <t>Built</t>
        </is>
      </c>
      <c r="F831" s="12" t="inlineStr"/>
      <c r="G831" s="12" t="inlineStr">
        <is>
          <t>7.03</t>
        </is>
      </c>
      <c r="H831" s="12" t="inlineStr"/>
      <c r="I831" s="17" t="n"/>
      <c r="J831" s="17" t="n"/>
    </row>
    <row r="832">
      <c r="A832" s="12" t="inlineStr">
        <is>
          <t>Quote X-Ray</t>
        </is>
      </c>
      <c r="B832" s="12" t="inlineStr">
        <is>
          <t>XC-02</t>
        </is>
      </c>
      <c r="C832" s="12" t="inlineStr">
        <is>
          <t>The record</t>
        </is>
      </c>
      <c r="D832" s="14" t="inlineStr">
        <is>
          <t>Caption and one-line headline</t>
        </is>
      </c>
      <c r="E832" s="14" t="inlineStr">
        <is>
          <t>Built</t>
        </is>
      </c>
      <c r="F832" s="12" t="inlineStr"/>
      <c r="G832" s="12" t="inlineStr">
        <is>
          <t>7.03</t>
        </is>
      </c>
      <c r="H832" s="12" t="inlineStr"/>
      <c r="I832" s="17" t="n"/>
      <c r="J832" s="17" t="n"/>
    </row>
    <row r="833">
      <c r="A833" s="12" t="inlineStr">
        <is>
          <t>Quote X-Ray</t>
        </is>
      </c>
      <c r="B833" s="12" t="inlineStr">
        <is>
          <t>XC-03</t>
        </is>
      </c>
      <c r="C833" s="12" t="inlineStr">
        <is>
          <t>The record</t>
        </is>
      </c>
      <c r="D833" s="14" t="inlineStr">
        <is>
          <t>Three figure tiles</t>
        </is>
      </c>
      <c r="E833" s="14" t="inlineStr">
        <is>
          <t>Built in parity round 1</t>
        </is>
      </c>
      <c r="F833" s="12" t="inlineStr"/>
      <c r="G833" s="12" t="inlineStr">
        <is>
          <t>7.04</t>
        </is>
      </c>
      <c r="H833" s="12" t="inlineStr"/>
      <c r="I833" s="17" t="n"/>
      <c r="J833" s="17" t="n"/>
    </row>
    <row r="834">
      <c r="A834" s="12" t="inlineStr">
        <is>
          <t>Quote X-Ray</t>
        </is>
      </c>
      <c r="B834" s="12" t="inlineStr">
        <is>
          <t>XC-04</t>
        </is>
      </c>
      <c r="C834" s="12" t="inlineStr">
        <is>
          <t>The record</t>
        </is>
      </c>
      <c r="D834" s="14" t="inlineStr">
        <is>
          <t>The on-paper difference line</t>
        </is>
      </c>
      <c r="E834" s="14" t="inlineStr">
        <is>
          <t>Built</t>
        </is>
      </c>
      <c r="F834" s="12" t="inlineStr"/>
      <c r="G834" s="12" t="inlineStr">
        <is>
          <t>7.04</t>
        </is>
      </c>
      <c r="H834" s="12" t="inlineStr"/>
      <c r="I834" s="17" t="n"/>
      <c r="J834" s="17" t="n"/>
    </row>
    <row r="835">
      <c r="A835" s="12" t="inlineStr">
        <is>
          <t>Quote X-Ray</t>
        </is>
      </c>
      <c r="B835" s="12" t="inlineStr">
        <is>
          <t>XC-05</t>
        </is>
      </c>
      <c r="C835" s="12" t="inlineStr">
        <is>
          <t>The record</t>
        </is>
      </c>
      <c r="D835" s="14" t="inlineStr">
        <is>
          <t>The item-by-item list</t>
        </is>
      </c>
      <c r="E835" s="14" t="inlineStr">
        <is>
          <t>Built</t>
        </is>
      </c>
      <c r="F835" s="12" t="inlineStr"/>
      <c r="G835" s="12" t="inlineStr">
        <is>
          <t>7.05</t>
        </is>
      </c>
      <c r="H835" s="12" t="inlineStr"/>
      <c r="I835" s="17" t="n"/>
      <c r="J835" s="17" t="n"/>
    </row>
    <row r="836">
      <c r="A836" s="12" t="inlineStr">
        <is>
          <t>Quote X-Ray</t>
        </is>
      </c>
      <c r="B836" s="12" t="inlineStr">
        <is>
          <t>XC-06</t>
        </is>
      </c>
      <c r="C836" s="12" t="inlineStr">
        <is>
          <t>The record</t>
        </is>
      </c>
      <c r="D836" s="14" t="inlineStr">
        <is>
          <t>A way to the compared quote</t>
        </is>
      </c>
      <c r="E836" s="14" t="inlineStr">
        <is>
          <t>Built in parity round 3</t>
        </is>
      </c>
      <c r="F836" s="12" t="inlineStr">
        <is>
          <t>Links to the quote editor (Q-17)</t>
        </is>
      </c>
      <c r="G836" s="12" t="inlineStr">
        <is>
          <t>7.04</t>
        </is>
      </c>
      <c r="H836" s="12" t="inlineStr"/>
      <c r="I836" s="17" t="n"/>
      <c r="J836" s="17" t="n"/>
    </row>
    <row r="837">
      <c r="A837" s="12" t="inlineStr">
        <is>
          <t>Quote X-Ray</t>
        </is>
      </c>
      <c r="B837" s="12" t="inlineStr">
        <is>
          <t>XC-07</t>
        </is>
      </c>
      <c r="C837" s="12" t="inlineStr">
        <is>
          <t>The record</t>
        </is>
      </c>
      <c r="D837" s="14" t="inlineStr">
        <is>
          <t>Who ran the reading</t>
        </is>
      </c>
      <c r="E837" s="14" t="inlineStr">
        <is>
          <t>Built in parity round 3</t>
        </is>
      </c>
      <c r="F837" s="12" t="inlineStr"/>
      <c r="G837" s="12" t="inlineStr">
        <is>
          <t>7.07</t>
        </is>
      </c>
      <c r="H837" s="12" t="inlineStr"/>
      <c r="I837" s="17" t="n"/>
      <c r="J837" s="17" t="n"/>
    </row>
    <row r="838">
      <c r="A838" s="12" t="inlineStr">
        <is>
          <t>Quote X-Ray</t>
        </is>
      </c>
      <c r="B838" s="12" t="inlineStr">
        <is>
          <t>XC-08</t>
        </is>
      </c>
      <c r="C838" s="12" t="inlineStr">
        <is>
          <t>The record</t>
        </is>
      </c>
      <c r="D838" s="14" t="inlineStr">
        <is>
          <t>A reading gone stale</t>
        </is>
      </c>
      <c r="E838" s="14" t="inlineStr">
        <is>
          <t>Built in parity round 3</t>
        </is>
      </c>
      <c r="F838" s="12" t="inlineStr"/>
      <c r="G838" s="12" t="inlineStr">
        <is>
          <t>7.12</t>
        </is>
      </c>
      <c r="H838" s="12" t="inlineStr"/>
      <c r="I838" s="17" t="n"/>
      <c r="J838" s="17" t="n"/>
    </row>
    <row r="839">
      <c r="A839" s="12" t="inlineStr">
        <is>
          <t>Quote X-Ray</t>
        </is>
      </c>
      <c r="B839" s="12" t="inlineStr">
        <is>
          <t>XC-09</t>
        </is>
      </c>
      <c r="C839" s="12" t="inlineStr">
        <is>
          <t>The record</t>
        </is>
      </c>
      <c r="D839" s="14" t="inlineStr">
        <is>
          <t>Print or PDF of a reading</t>
        </is>
      </c>
      <c r="E839" s="14" t="inlineStr">
        <is>
          <t>Not built — by design</t>
        </is>
      </c>
      <c r="F839" s="12" t="inlineStr">
        <is>
          <t>The client gets the message, not a PDF (Q-24)</t>
        </is>
      </c>
      <c r="G839" s="12" t="inlineStr"/>
      <c r="H839" s="12" t="inlineStr"/>
      <c r="I839" s="17" t="n"/>
      <c r="J839" s="17" t="n"/>
    </row>
    <row r="840">
      <c r="A840" s="12" t="inlineStr">
        <is>
          <t>Quote X-Ray</t>
        </is>
      </c>
      <c r="B840" s="12" t="inlineStr">
        <is>
          <t>XW-01</t>
        </is>
      </c>
      <c r="C840" s="12" t="inlineStr">
        <is>
          <t>Sending to the client</t>
        </is>
      </c>
      <c r="D840" s="14" t="inlineStr">
        <is>
          <t>Send dialog: edit, reset, copy, WhatsApp</t>
        </is>
      </c>
      <c r="E840" s="14" t="inlineStr">
        <is>
          <t>Built</t>
        </is>
      </c>
      <c r="F840" s="12" t="inlineStr"/>
      <c r="G840" s="12" t="inlineStr">
        <is>
          <t>7.09</t>
        </is>
      </c>
      <c r="H840" s="12" t="inlineStr"/>
      <c r="I840" s="17" t="n"/>
      <c r="J840" s="17" t="n"/>
    </row>
    <row r="841">
      <c r="A841" s="12" t="inlineStr">
        <is>
          <t>Quote X-Ray</t>
        </is>
      </c>
      <c r="B841" s="12" t="inlineStr">
        <is>
          <t>XW-02</t>
        </is>
      </c>
      <c r="C841" s="12" t="inlineStr">
        <is>
          <t>Sending to the client</t>
        </is>
      </c>
      <c r="D841" s="14" t="inlineStr">
        <is>
          <t>What the draft message says</t>
        </is>
      </c>
      <c r="E841" s="14" t="inlineStr">
        <is>
          <t>Built in parity round 1</t>
        </is>
      </c>
      <c r="F841" s="12" t="inlineStr"/>
      <c r="G841" s="12" t="inlineStr">
        <is>
          <t>7.09</t>
        </is>
      </c>
      <c r="H841" s="12" t="inlineStr"/>
      <c r="I841" s="17" t="n"/>
      <c r="J841" s="17" t="n"/>
    </row>
    <row r="842">
      <c r="A842" s="12" t="inlineStr">
        <is>
          <t>Quote X-Ray</t>
        </is>
      </c>
      <c r="B842" s="12" t="inlineStr">
        <is>
          <t>XW-03</t>
        </is>
      </c>
      <c r="C842" s="12" t="inlineStr">
        <is>
          <t>Sending to the client</t>
        </is>
      </c>
      <c r="D842" s="14" t="inlineStr">
        <is>
          <t>Whose WhatsApp chat opens</t>
        </is>
      </c>
      <c r="E842" s="14" t="inlineStr">
        <is>
          <t>Built in parity round 3</t>
        </is>
      </c>
      <c r="F842" s="12" t="inlineStr"/>
      <c r="G842" s="12" t="inlineStr">
        <is>
          <t>7.09</t>
        </is>
      </c>
      <c r="H842" s="12" t="inlineStr"/>
      <c r="I842" s="17" t="n"/>
      <c r="J842" s="17" t="n"/>
    </row>
    <row r="843">
      <c r="A843" s="12" t="inlineStr">
        <is>
          <t>Quote X-Ray</t>
        </is>
      </c>
      <c r="B843" s="12" t="inlineStr">
        <is>
          <t>XW-04</t>
        </is>
      </c>
      <c r="C843" s="12" t="inlineStr">
        <is>
          <t>Sending to the client</t>
        </is>
      </c>
      <c r="D843" s="14" t="inlineStr">
        <is>
          <t>Edits to the message kept</t>
        </is>
      </c>
      <c r="E843" s="14" t="inlineStr">
        <is>
          <t>Built in parity round 3</t>
        </is>
      </c>
      <c r="F843" s="12" t="inlineStr"/>
      <c r="G843" s="12" t="inlineStr">
        <is>
          <t>7.09</t>
        </is>
      </c>
      <c r="H843" s="12" t="inlineStr"/>
      <c r="I843" s="17" t="n"/>
      <c r="J843" s="17" t="n"/>
    </row>
    <row r="844">
      <c r="A844" s="12" t="inlineStr">
        <is>
          <t>Quote X-Ray</t>
        </is>
      </c>
      <c r="B844" s="12" t="inlineStr">
        <is>
          <t>XW-05</t>
        </is>
      </c>
      <c r="C844" s="12" t="inlineStr">
        <is>
          <t>Sending to the client</t>
        </is>
      </c>
      <c r="D844" s="14" t="inlineStr">
        <is>
          <t>A record of the send</t>
        </is>
      </c>
      <c r="E844" s="14" t="inlineStr">
        <is>
          <t>Built in parity round 3</t>
        </is>
      </c>
      <c r="F844" s="12" t="inlineStr"/>
      <c r="G844" s="12" t="inlineStr">
        <is>
          <t>7.09</t>
        </is>
      </c>
      <c r="H844" s="12" t="inlineStr"/>
      <c r="I844" s="17" t="n"/>
      <c r="J844" s="17" t="n"/>
    </row>
    <row r="845">
      <c r="A845" s="12" t="inlineStr">
        <is>
          <t>Quote X-Ray</t>
        </is>
      </c>
      <c r="B845" s="12" t="inlineStr">
        <is>
          <t>XH-01</t>
        </is>
      </c>
      <c r="C845" s="12" t="inlineStr">
        <is>
          <t>History, delete and who may</t>
        </is>
      </c>
      <c r="D845" s="14" t="inlineStr">
        <is>
          <t>Recent comparisons</t>
        </is>
      </c>
      <c r="E845" s="14" t="inlineStr">
        <is>
          <t>Built in parity round 2</t>
        </is>
      </c>
      <c r="F845" s="12" t="inlineStr"/>
      <c r="G845" s="12" t="inlineStr">
        <is>
          <t>7.12, 11.13</t>
        </is>
      </c>
      <c r="H845" s="12" t="inlineStr"/>
      <c r="I845" s="17" t="n"/>
      <c r="J845" s="17" t="n"/>
    </row>
    <row r="846">
      <c r="A846" s="12" t="inlineStr">
        <is>
          <t>Quote X-Ray</t>
        </is>
      </c>
      <c r="B846" s="12" t="inlineStr">
        <is>
          <t>XH-02</t>
        </is>
      </c>
      <c r="C846" s="12" t="inlineStr">
        <is>
          <t>History, delete and who may</t>
        </is>
      </c>
      <c r="D846" s="14" t="inlineStr">
        <is>
          <t>A row in Recent</t>
        </is>
      </c>
      <c r="E846" s="14" t="inlineStr">
        <is>
          <t>Built</t>
        </is>
      </c>
      <c r="F846" s="12" t="inlineStr"/>
      <c r="G846" s="12" t="inlineStr">
        <is>
          <t>7.12</t>
        </is>
      </c>
      <c r="H846" s="12" t="inlineStr"/>
      <c r="I846" s="17" t="n"/>
      <c r="J846" s="17" t="n"/>
    </row>
    <row r="847">
      <c r="A847" s="12" t="inlineStr">
        <is>
          <t>Quote X-Ray</t>
        </is>
      </c>
      <c r="B847" s="12" t="inlineStr">
        <is>
          <t>XH-03</t>
        </is>
      </c>
      <c r="C847" s="12" t="inlineStr">
        <is>
          <t>History, delete and who may</t>
        </is>
      </c>
      <c r="D847" s="14" t="inlineStr">
        <is>
          <t>Deleting a comparison</t>
        </is>
      </c>
      <c r="E847" s="14" t="inlineStr">
        <is>
          <t>Built in parity round 4</t>
        </is>
      </c>
      <c r="F847" s="12" t="inlineStr">
        <is>
          <t>Permanent; maker, Owner or Admin; logged on the lead</t>
        </is>
      </c>
      <c r="G847" s="12" t="inlineStr">
        <is>
          <t>7.11</t>
        </is>
      </c>
      <c r="H847" s="12" t="inlineStr"/>
      <c r="I847" s="17" t="n"/>
      <c r="J847" s="17" t="n"/>
    </row>
    <row r="848">
      <c r="A848" s="12" t="inlineStr">
        <is>
          <t>Quote X-Ray</t>
        </is>
      </c>
      <c r="B848" s="12" t="inlineStr">
        <is>
          <t>XH-04</t>
        </is>
      </c>
      <c r="C848" s="12" t="inlineStr">
        <is>
          <t>History, delete and who may</t>
        </is>
      </c>
      <c r="D848" s="14" t="inlineStr">
        <is>
          <t>Whose comparisons you see</t>
        </is>
      </c>
      <c r="E848" s="14" t="inlineStr">
        <is>
          <t>Built in parity round 4</t>
        </is>
      </c>
      <c r="F848" s="12" t="inlineStr"/>
      <c r="G848" s="12" t="inlineStr"/>
      <c r="H848" s="28" t="inlineStr">
        <is>
          <t>Team check</t>
        </is>
      </c>
      <c r="I848" s="17" t="n"/>
      <c r="J848" s="17" t="n"/>
    </row>
    <row r="849">
      <c r="A849" s="12" t="inlineStr">
        <is>
          <t>Quote X-Ray</t>
        </is>
      </c>
      <c r="B849" s="12" t="inlineStr">
        <is>
          <t>XH-05</t>
        </is>
      </c>
      <c r="C849" s="12" t="inlineStr">
        <is>
          <t>History, delete and who may</t>
        </is>
      </c>
      <c r="D849" s="14" t="inlineStr">
        <is>
          <t>A lead’s comparisons and search</t>
        </is>
      </c>
      <c r="E849" s="14" t="inlineStr">
        <is>
          <t>Built in parity round 2</t>
        </is>
      </c>
      <c r="F849" s="12" t="inlineStr"/>
      <c r="G849" s="12" t="inlineStr">
        <is>
          <t>7.12</t>
        </is>
      </c>
      <c r="H849" s="12" t="inlineStr"/>
      <c r="I849" s="17" t="n"/>
      <c r="J849" s="17" t="n"/>
    </row>
    <row r="850">
      <c r="A850" s="12" t="inlineStr">
        <is>
          <t>Quote X-Ray</t>
        </is>
      </c>
      <c r="B850" s="12" t="inlineStr">
        <is>
          <t>XH-06</t>
        </is>
      </c>
      <c r="C850" s="12" t="inlineStr">
        <is>
          <t>History, delete and who may</t>
        </is>
      </c>
      <c r="D850" s="14" t="inlineStr">
        <is>
          <t>When the lead goes</t>
        </is>
      </c>
      <c r="E850" s="14" t="inlineStr">
        <is>
          <t>Built in parity round 4</t>
        </is>
      </c>
      <c r="F850" s="12" t="inlineStr"/>
      <c r="G850" s="12" t="inlineStr"/>
      <c r="H850" s="28" t="inlineStr">
        <is>
          <t>Team check</t>
        </is>
      </c>
      <c r="I850" s="17" t="n"/>
      <c r="J850" s="17" t="n"/>
    </row>
    <row r="851">
      <c r="A851" s="12" t="inlineStr">
        <is>
          <t>Quote X-Ray</t>
        </is>
      </c>
      <c r="B851" s="12" t="inlineStr">
        <is>
          <t>XH-07</t>
        </is>
      </c>
      <c r="C851" s="12" t="inlineStr">
        <is>
          <t>History, delete and who may</t>
        </is>
      </c>
      <c r="D851" s="14" t="inlineStr">
        <is>
          <t>When the quote goes</t>
        </is>
      </c>
      <c r="E851" s="14" t="inlineStr">
        <is>
          <t>Built in parity round 4</t>
        </is>
      </c>
      <c r="F851" s="12" t="inlineStr"/>
      <c r="G851" s="12" t="inlineStr"/>
      <c r="H851" s="28" t="inlineStr">
        <is>
          <t>Team check</t>
        </is>
      </c>
      <c r="I851" s="17" t="n"/>
      <c r="J851" s="17" t="n"/>
    </row>
    <row r="852">
      <c r="A852" s="12" t="inlineStr">
        <is>
          <t>Quote X-Ray</t>
        </is>
      </c>
      <c r="B852" s="12" t="inlineStr">
        <is>
          <t>XH-08</t>
        </is>
      </c>
      <c r="C852" s="12" t="inlineStr">
        <is>
          <t>History, delete and who may</t>
        </is>
      </c>
      <c r="D852" s="14" t="inlineStr">
        <is>
          <t>The lead’s Activity</t>
        </is>
      </c>
      <c r="E852" s="14" t="inlineStr">
        <is>
          <t>Built in parity round 4</t>
        </is>
      </c>
      <c r="F852" s="12" t="inlineStr">
        <is>
          <t>Runs, sends and deletes logged</t>
        </is>
      </c>
      <c r="G852" s="12" t="inlineStr">
        <is>
          <t>7.09</t>
        </is>
      </c>
      <c r="H852" s="12" t="inlineStr"/>
      <c r="I852" s="17" t="n"/>
      <c r="J852" s="17" t="n"/>
    </row>
    <row r="853">
      <c r="A853" s="12" t="inlineStr">
        <is>
          <t>Quote X-Ray</t>
        </is>
      </c>
      <c r="B853" s="12" t="inlineStr">
        <is>
          <t>XH-09</t>
        </is>
      </c>
      <c r="C853" s="12" t="inlineStr">
        <is>
          <t>History, delete and who may</t>
        </is>
      </c>
      <c r="D853" s="14" t="inlineStr">
        <is>
          <t>Notifications about comparisons</t>
        </is>
      </c>
      <c r="E853" s="14" t="inlineStr">
        <is>
          <t>Not built — by design</t>
        </is>
      </c>
      <c r="F853" s="12" t="inlineStr">
        <is>
          <t>Neither version notifies</t>
        </is>
      </c>
      <c r="G853" s="12" t="inlineStr"/>
      <c r="H853" s="12" t="inlineStr"/>
      <c r="I853" s="17" t="n"/>
      <c r="J853" s="17" t="n"/>
    </row>
    <row r="854">
      <c r="A854" s="12" t="inlineStr">
        <is>
          <t>Quote X-Ray</t>
        </is>
      </c>
      <c r="B854" s="12" t="inlineStr">
        <is>
          <t>XH-10</t>
        </is>
      </c>
      <c r="C854" s="12" t="inlineStr">
        <is>
          <t>History, delete and who may</t>
        </is>
      </c>
      <c r="D854" s="14" t="inlineStr">
        <is>
          <t>Checks on a run</t>
        </is>
      </c>
      <c r="E854" s="14" t="inlineStr">
        <is>
          <t>Built in parity round 4</t>
        </is>
      </c>
      <c r="F854" s="12" t="inlineStr"/>
      <c r="G854" s="12" t="inlineStr"/>
      <c r="H854" s="28" t="inlineStr">
        <is>
          <t>Team check</t>
        </is>
      </c>
      <c r="I854" s="17" t="n"/>
      <c r="J854" s="17" t="n"/>
    </row>
    <row r="855">
      <c r="A855" s="12" t="inlineStr">
        <is>
          <t>Quote X-Ray</t>
        </is>
      </c>
      <c r="B855" s="12" t="inlineStr">
        <is>
          <t>XL-01</t>
        </is>
      </c>
      <c r="C855" s="12" t="inlineStr">
        <is>
          <t>What 1.0 retired</t>
        </is>
      </c>
      <c r="D855" s="14" t="inlineStr">
        <is>
          <t>Four older objectives and the combined run</t>
        </is>
      </c>
      <c r="E855" s="14" t="inlineStr">
        <is>
          <t>Dead</t>
        </is>
      </c>
      <c r="F855" s="12" t="inlineStr">
        <is>
          <t>Retired in 1.0 (Q-01)</t>
        </is>
      </c>
      <c r="G855" s="12" t="inlineStr"/>
      <c r="H855" s="12" t="inlineStr"/>
      <c r="I855" s="17" t="n"/>
      <c r="J855" s="17" t="n"/>
    </row>
    <row r="856">
      <c r="A856" s="12" t="inlineStr">
        <is>
          <t>Quote X-Ray</t>
        </is>
      </c>
      <c r="B856" s="12" t="inlineStr">
        <is>
          <t>XL-02</t>
        </is>
      </c>
      <c r="C856" s="12" t="inlineStr">
        <is>
          <t>What 1.0 retired</t>
        </is>
      </c>
      <c r="D856" s="14" t="inlineStr">
        <is>
          <t>Public share page</t>
        </is>
      </c>
      <c r="E856" s="14" t="inlineStr">
        <is>
          <t>Dead</t>
        </is>
      </c>
      <c r="F856" s="12" t="inlineStr">
        <is>
          <t>Q-01 · Q-24</t>
        </is>
      </c>
      <c r="G856" s="12" t="inlineStr"/>
      <c r="H856" s="12" t="inlineStr"/>
      <c r="I856" s="17" t="n"/>
      <c r="J856" s="17" t="n"/>
    </row>
    <row r="857">
      <c r="A857" s="12" t="inlineStr">
        <is>
          <t>Quote X-Ray</t>
        </is>
      </c>
      <c r="B857" s="12" t="inlineStr">
        <is>
          <t>XL-03</t>
        </is>
      </c>
      <c r="C857" s="12" t="inlineStr">
        <is>
          <t>What 1.0 retired</t>
        </is>
      </c>
      <c r="D857" s="14" t="inlineStr">
        <is>
          <t>PDF download of a reading</t>
        </is>
      </c>
      <c r="E857" s="14" t="inlineStr">
        <is>
          <t>Dead</t>
        </is>
      </c>
      <c r="F857" s="12" t="inlineStr">
        <is>
          <t>Q-24</t>
        </is>
      </c>
      <c r="G857" s="12" t="inlineStr"/>
      <c r="H857" s="12" t="inlineStr"/>
      <c r="I857" s="17" t="n"/>
      <c r="J857" s="17" t="n"/>
    </row>
    <row r="858">
      <c r="A858" s="12" t="inlineStr">
        <is>
          <t>Quote X-Ray</t>
        </is>
      </c>
      <c r="B858" s="12" t="inlineStr">
        <is>
          <t>XL-04</t>
        </is>
      </c>
      <c r="C858" s="12" t="inlineStr">
        <is>
          <t>What 1.0 retired</t>
        </is>
      </c>
      <c r="D858" s="14" t="inlineStr">
        <is>
          <t>Win / loss per comparison</t>
        </is>
      </c>
      <c r="E858" s="14" t="inlineStr">
        <is>
          <t>Dead</t>
        </is>
      </c>
      <c r="F858" s="12" t="inlineStr">
        <is>
          <t>The lead’s Won / Lost carries it (Q-22)</t>
        </is>
      </c>
      <c r="G858" s="12" t="inlineStr"/>
      <c r="H858" s="12" t="inlineStr"/>
      <c r="I858" s="17" t="n"/>
      <c r="J858" s="17" t="n"/>
    </row>
    <row r="859">
      <c r="A859" s="12" t="inlineStr">
        <is>
          <t>Quote X-Ray</t>
        </is>
      </c>
      <c r="B859" s="12" t="inlineStr">
        <is>
          <t>XL-05</t>
        </is>
      </c>
      <c r="C859" s="12" t="inlineStr">
        <is>
          <t>What 1.0 retired</t>
        </is>
      </c>
      <c r="D859" s="14" t="inlineStr">
        <is>
          <t>Status and attach-a-lead routes</t>
        </is>
      </c>
      <c r="E859" s="14" t="inlineStr">
        <is>
          <t>Dead</t>
        </is>
      </c>
      <c r="F859" s="12" t="inlineStr"/>
      <c r="G859" s="12" t="inlineStr"/>
      <c r="H859" s="12" t="inlineStr"/>
      <c r="I859" s="17" t="n"/>
      <c r="J859" s="17" t="n"/>
    </row>
    <row r="860">
      <c r="A860" s="12" t="inlineStr">
        <is>
          <t>Quote X-Ray</t>
        </is>
      </c>
      <c r="B860" s="12" t="inlineStr">
        <is>
          <t>XF-01</t>
        </is>
      </c>
      <c r="C860" s="12" t="inlineStr">
        <is>
          <t>The platform’s</t>
        </is>
      </c>
      <c r="D860" s="14" t="inlineStr">
        <is>
          <t>Market rate bands</t>
        </is>
      </c>
      <c r="E860" s="14" t="inlineStr">
        <is>
          <t>Platform</t>
        </is>
      </c>
      <c r="F860" s="12" t="inlineStr">
        <is>
          <t>Q-23</t>
        </is>
      </c>
      <c r="G860" s="12" t="inlineStr"/>
      <c r="H860" s="12" t="inlineStr"/>
      <c r="I860" s="17" t="n"/>
      <c r="J860" s="17" t="n"/>
    </row>
    <row r="861">
      <c r="A861" s="12" t="inlineStr">
        <is>
          <t>Quote X-Ray</t>
        </is>
      </c>
      <c r="B861" s="12" t="inlineStr">
        <is>
          <t>XF-02</t>
        </is>
      </c>
      <c r="C861" s="12" t="inlineStr">
        <is>
          <t>The platform’s</t>
        </is>
      </c>
      <c r="D861" s="14" t="inlineStr">
        <is>
          <t>Brand dossiers, admin page, sweep, kill switch</t>
        </is>
      </c>
      <c r="E861" s="14" t="inlineStr">
        <is>
          <t>Platform</t>
        </is>
      </c>
      <c r="F861" s="12" t="inlineStr">
        <is>
          <t>Q-23</t>
        </is>
      </c>
      <c r="G861" s="12" t="inlineStr"/>
      <c r="H861" s="12" t="inlineStr"/>
      <c r="I861" s="17" t="n"/>
      <c r="J861" s="17" t="n"/>
    </row>
    <row r="862">
      <c r="A862" s="12" t="inlineStr">
        <is>
          <t>Quote X-Ray</t>
        </is>
      </c>
      <c r="B862" s="12" t="inlineStr">
        <is>
          <t>XF-03</t>
        </is>
      </c>
      <c r="C862" s="12" t="inlineStr">
        <is>
          <t>The platform’s</t>
        </is>
      </c>
      <c r="D862" s="14" t="inlineStr">
        <is>
          <t>Market observations table</t>
        </is>
      </c>
      <c r="E862" s="14" t="inlineStr">
        <is>
          <t>Platform</t>
        </is>
      </c>
      <c r="F862" s="12" t="inlineStr">
        <is>
          <t>Not ported</t>
        </is>
      </c>
      <c r="G862" s="12" t="inlineStr"/>
      <c r="H862" s="12" t="inlineStr"/>
      <c r="I862" s="17" t="n"/>
      <c r="J862" s="17" t="n"/>
    </row>
    <row r="863">
      <c r="A863" s="12" t="inlineStr">
        <is>
          <t>Quote X-Ray</t>
        </is>
      </c>
      <c r="B863" s="12" t="inlineStr">
        <is>
          <t>XF-04</t>
        </is>
      </c>
      <c r="C863" s="12" t="inlineStr">
        <is>
          <t>The platform’s</t>
        </is>
      </c>
      <c r="D863" s="14" t="inlineStr">
        <is>
          <t>Telemetry, AI cost and limits</t>
        </is>
      </c>
      <c r="E863" s="14" t="inlineStr">
        <is>
          <t>Platform</t>
        </is>
      </c>
      <c r="F863" s="12" t="inlineStr"/>
      <c r="G863" s="12" t="inlineStr"/>
      <c r="H863" s="12" t="inlineStr"/>
      <c r="I863" s="17" t="n"/>
      <c r="J863" s="17" t="n"/>
    </row>
    <row r="864">
      <c r="A864" s="12" t="inlineStr">
        <is>
          <t>Quote X-Ray</t>
        </is>
      </c>
      <c r="B864" s="12" t="inlineStr">
        <is>
          <t>XF-05</t>
        </is>
      </c>
      <c r="C864" s="12" t="inlineStr">
        <is>
          <t>The platform’s</t>
        </is>
      </c>
      <c r="D864" s="14" t="inlineStr">
        <is>
          <t>Running without an AI key</t>
        </is>
      </c>
      <c r="E864" s="14" t="inlineStr">
        <is>
          <t>Platform</t>
        </is>
      </c>
      <c r="F864" s="12" t="inlineStr">
        <is>
          <t>The curated readings are the product</t>
        </is>
      </c>
      <c r="G864" s="12" t="inlineStr"/>
      <c r="H864" s="12" t="inlineStr"/>
      <c r="I864" s="17" t="n"/>
      <c r="J864" s="17" t="n"/>
    </row>
    <row r="865">
      <c r="A865" s="12" t="inlineStr">
        <is>
          <t>Quote X-Ray</t>
        </is>
      </c>
      <c r="B865" s="12" t="inlineStr">
        <is>
          <t>XZ-01</t>
        </is>
      </c>
      <c r="C865" s="12" t="inlineStr">
        <is>
          <t>Touchpoints</t>
        </is>
      </c>
      <c r="D865" s="14" t="inlineStr">
        <is>
          <t>Lost reason’s competitor taken from X-Ray</t>
        </is>
      </c>
      <c r="E865" s="14" t="inlineStr">
        <is>
          <t>Built in parity round 3</t>
        </is>
      </c>
      <c r="F865" s="12" t="inlineStr"/>
      <c r="G865" s="12" t="inlineStr">
        <is>
          <t>7.13</t>
        </is>
      </c>
      <c r="H865" s="12" t="inlineStr"/>
      <c r="I865" s="17" t="n"/>
      <c r="J865" s="17" t="n"/>
    </row>
    <row r="866">
      <c r="A866" s="12" t="inlineStr">
        <is>
          <t>Quote X-Ray</t>
        </is>
      </c>
      <c r="B866" s="12" t="inlineStr">
        <is>
          <t>XZ-02</t>
        </is>
      </c>
      <c r="C866" s="12" t="inlineStr">
        <is>
          <t>Touchpoints</t>
        </is>
      </c>
      <c r="D866" s="14" t="inlineStr">
        <is>
          <t>Meeting Copilot’s competitor-quote analyser</t>
        </is>
      </c>
      <c r="E866" s="14" t="inlineStr">
        <is>
          <t>Later</t>
        </is>
      </c>
      <c r="F866" s="12" t="inlineStr">
        <is>
          <t>Meetings (held)</t>
        </is>
      </c>
      <c r="G866" s="12" t="inlineStr"/>
      <c r="H866" s="12" t="inlineStr"/>
      <c r="I866" s="17" t="n"/>
      <c r="J866" s="17" t="n"/>
    </row>
    <row r="867">
      <c r="A867" s="12" t="inlineStr">
        <is>
          <t>Quote X-Ray</t>
        </is>
      </c>
      <c r="B867" s="12" t="inlineStr">
        <is>
          <t>XZ-03</t>
        </is>
      </c>
      <c r="C867" s="12" t="inlineStr">
        <is>
          <t>Touchpoints</t>
        </is>
      </c>
      <c r="D867" s="14" t="inlineStr">
        <is>
          <t>Maison AI quote benchmarker</t>
        </is>
      </c>
      <c r="E867" s="14" t="inlineStr">
        <is>
          <t>Later</t>
        </is>
      </c>
      <c r="F867" s="12" t="inlineStr">
        <is>
          <t>Maison AI</t>
        </is>
      </c>
      <c r="G867" s="12" t="inlineStr"/>
      <c r="H867" s="12" t="inlineStr"/>
      <c r="I867" s="17" t="n"/>
      <c r="J867" s="17" t="n"/>
    </row>
    <row r="868">
      <c r="A868" s="12" t="inlineStr">
        <is>
          <t>Quote X-Ray</t>
        </is>
      </c>
      <c r="B868" s="12" t="inlineStr">
        <is>
          <t>XZ-04</t>
        </is>
      </c>
      <c r="C868" s="12" t="inlineStr">
        <is>
          <t>Touchpoints</t>
        </is>
      </c>
      <c r="D868" s="14" t="inlineStr">
        <is>
          <t>Purchase order quote compare</t>
        </is>
      </c>
      <c r="E868" s="14" t="inlineStr">
        <is>
          <t>Later</t>
        </is>
      </c>
      <c r="F868" s="12" t="inlineStr">
        <is>
          <t>Finance</t>
        </is>
      </c>
      <c r="G868" s="12" t="inlineStr"/>
      <c r="H868" s="12" t="inlineStr"/>
      <c r="I868" s="17" t="n"/>
      <c r="J868" s="17" t="n"/>
    </row>
    <row r="869">
      <c r="A869" s="12" t="inlineStr">
        <is>
          <t>Quote X-Ray</t>
        </is>
      </c>
      <c r="B869" s="12" t="inlineStr">
        <is>
          <t>XZ-05</t>
        </is>
      </c>
      <c r="C869" s="12" t="inlineStr">
        <is>
          <t>Touchpoints</t>
        </is>
      </c>
      <c r="D869" s="14" t="inlineStr">
        <is>
          <t>The homeowner portal</t>
        </is>
      </c>
      <c r="E869" s="14" t="inlineStr">
        <is>
          <t>Later</t>
        </is>
      </c>
      <c r="F869" s="12" t="inlineStr">
        <is>
          <t>The portal</t>
        </is>
      </c>
      <c r="G869" s="12" t="inlineStr"/>
      <c r="H869" s="12" t="inlineStr"/>
      <c r="I869" s="17" t="n"/>
      <c r="J869" s="17" t="n"/>
    </row>
    <row r="870">
      <c r="A870" s="12" t="inlineStr">
        <is>
          <t>Quote X-Ray</t>
        </is>
      </c>
      <c r="B870" s="12" t="inlineStr">
        <is>
          <t>XZ-06</t>
        </is>
      </c>
      <c r="C870" s="12" t="inlineStr">
        <is>
          <t>Touchpoints</t>
        </is>
      </c>
      <c r="D870" s="14" t="inlineStr">
        <is>
          <t>Upload a quote shares the reader</t>
        </is>
      </c>
      <c r="E870" s="14" t="inlineStr">
        <is>
          <t>Built in parity round 2</t>
        </is>
      </c>
      <c r="F870" s="12" t="inlineStr"/>
      <c r="G870" s="12" t="inlineStr"/>
      <c r="H870" s="28" t="inlineStr">
        <is>
          <t>Team check</t>
        </is>
      </c>
      <c r="I870" s="17" t="n"/>
      <c r="J870" s="17" t="n"/>
    </row>
    <row r="871">
      <c r="A871" s="12" t="inlineStr">
        <is>
          <t>Accounts Setup → Settings</t>
        </is>
      </c>
      <c r="B871" s="12" t="inlineStr">
        <is>
          <t>DEF-01</t>
        </is>
      </c>
      <c r="C871" s="12" t="inlineStr">
        <is>
          <t>Definitions</t>
        </is>
      </c>
      <c r="D871" s="14" t="inlineStr">
        <is>
          <t>Where a studio's settings live</t>
        </is>
      </c>
      <c r="E871" s="14" t="inlineStr">
        <is>
          <t>Built in parity round 1</t>
        </is>
      </c>
      <c r="F871" s="12" t="inlineStr">
        <is>
          <t>Settings takes four modules on Company's frame; records stay under Company</t>
        </is>
      </c>
      <c r="G871" s="12" t="inlineStr">
        <is>
          <t>1.07, 2.01, 2.14</t>
        </is>
      </c>
      <c r="H871" s="12" t="inlineStr"/>
      <c r="I871" s="17" t="n"/>
      <c r="J871" s="17" t="n"/>
    </row>
    <row r="872">
      <c r="A872" s="12" t="inlineStr">
        <is>
          <t>Accounts Setup → Settings</t>
        </is>
      </c>
      <c r="B872" s="12" t="inlineStr">
        <is>
          <t>DEF-02</t>
        </is>
      </c>
      <c r="C872" s="12" t="inlineStr">
        <is>
          <t>Definitions</t>
        </is>
      </c>
      <c r="D872" s="14" t="inlineStr">
        <is>
          <t>What a role is and what it allows</t>
        </is>
      </c>
      <c r="E872" s="14" t="inlineStr">
        <is>
          <t>Built in parity round 1</t>
        </is>
      </c>
      <c r="F872" s="12" t="inlineStr">
        <is>
          <t>A read-only Who may do what table; custom roles and editor held</t>
        </is>
      </c>
      <c r="G872" s="12" t="inlineStr">
        <is>
          <t>2.16, 10.01, 10.15</t>
        </is>
      </c>
      <c r="H872" s="12" t="inlineStr"/>
      <c r="I872" s="17" t="n"/>
      <c r="J872" s="17" t="n"/>
    </row>
    <row r="873">
      <c r="A873" s="12" t="inlineStr">
        <is>
          <t>Accounts Setup → Settings</t>
        </is>
      </c>
      <c r="B873" s="12" t="inlineStr">
        <is>
          <t>DEF-03</t>
        </is>
      </c>
      <c r="C873" s="12" t="inlineStr">
        <is>
          <t>Definitions</t>
        </is>
      </c>
      <c r="D873" s="14" t="inlineStr">
        <is>
          <t>A team member's record</t>
        </is>
      </c>
      <c r="E873" s="14" t="inlineStr">
        <is>
          <t>Built in parity round 2</t>
        </is>
      </c>
      <c r="F873" s="12" t="inlineStr">
        <is>
          <t>Members can be added, deactivated and reactivated</t>
        </is>
      </c>
      <c r="G873" s="12" t="inlineStr">
        <is>
          <t>2.06, 2.13</t>
        </is>
      </c>
      <c r="H873" s="12" t="inlineStr"/>
      <c r="I873" s="17" t="n"/>
      <c r="J873" s="17" t="n"/>
    </row>
    <row r="874">
      <c r="A874" s="12" t="inlineStr">
        <is>
          <t>Accounts Setup → Settings</t>
        </is>
      </c>
      <c r="B874" s="12" t="inlineStr">
        <is>
          <t>DEF-04</t>
        </is>
      </c>
      <c r="C874" s="12" t="inlineStr">
        <is>
          <t>Definitions</t>
        </is>
      </c>
      <c r="D874" s="14" t="inlineStr">
        <is>
          <t>A legal (issuing) entity</t>
        </is>
      </c>
      <c r="E874" s="14" t="inlineStr">
        <is>
          <t>Built in parity round 3</t>
        </is>
      </c>
      <c r="F874" s="12" t="inlineStr">
        <is>
          <t>Entities keep an id; one in use is retired, not removed</t>
        </is>
      </c>
      <c r="G874" s="12" t="inlineStr">
        <is>
          <t>2.04</t>
        </is>
      </c>
      <c r="H874" s="12" t="inlineStr"/>
      <c r="I874" s="17" t="n"/>
      <c r="J874" s="17" t="n"/>
    </row>
    <row r="875">
      <c r="A875" s="12" t="inlineStr">
        <is>
          <t>Accounts Setup → Settings</t>
        </is>
      </c>
      <c r="B875" s="12" t="inlineStr">
        <is>
          <t>DEF-05</t>
        </is>
      </c>
      <c r="C875" s="12" t="inlineStr">
        <is>
          <t>Definitions</t>
        </is>
      </c>
      <c r="D875" s="14" t="inlineStr">
        <is>
          <t>A trade (quote category)</t>
        </is>
      </c>
      <c r="E875" s="14" t="inlineStr">
        <is>
          <t>Built in parity round 3</t>
        </is>
      </c>
      <c r="F875" s="12" t="inlineStr">
        <is>
          <t>Trades rename and reorder; sub-categories not ported (Q-18)</t>
        </is>
      </c>
      <c r="G875" s="12" t="inlineStr">
        <is>
          <t>2.26</t>
        </is>
      </c>
      <c r="H875" s="12" t="inlineStr"/>
      <c r="I875" s="17" t="n"/>
      <c r="J875" s="17" t="n"/>
    </row>
    <row r="876">
      <c r="A876" s="12" t="inlineStr">
        <is>
          <t>Accounts Setup → Settings</t>
        </is>
      </c>
      <c r="B876" s="12" t="inlineStr">
        <is>
          <t>DEF-06</t>
        </is>
      </c>
      <c r="C876" s="12" t="inlineStr">
        <is>
          <t>Definitions</t>
        </is>
      </c>
      <c r="D876" s="14" t="inlineStr">
        <is>
          <t>The lead stages (the funnel)</t>
        </is>
      </c>
      <c r="E876" s="14" t="inlineStr">
        <is>
          <t>Later</t>
        </is>
      </c>
      <c r="F876" s="12" t="inlineStr">
        <is>
          <t>Held (leads Q-02): seven fixed stages; Manage Stages is coming soon</t>
        </is>
      </c>
      <c r="G876" s="12" t="inlineStr">
        <is>
          <t>1.05</t>
        </is>
      </c>
      <c r="H876" s="12" t="inlineStr"/>
      <c r="I876" s="17" t="n"/>
      <c r="J876" s="17" t="n"/>
    </row>
    <row r="877">
      <c r="A877" s="12" t="inlineStr">
        <is>
          <t>Accounts Setup → Settings</t>
        </is>
      </c>
      <c r="B877" s="12" t="inlineStr">
        <is>
          <t>DEF-07</t>
        </is>
      </c>
      <c r="C877" s="12" t="inlineStr">
        <is>
          <t>Definitions</t>
        </is>
      </c>
      <c r="D877" s="14" t="inlineStr">
        <is>
          <t>Quote approval and who approves</t>
        </is>
      </c>
      <c r="E877" s="14" t="inlineStr">
        <is>
          <t>Built</t>
        </is>
      </c>
      <c r="F877" s="12" t="inlineStr">
        <is>
          <t>Approval plus a backup approver; money thresholds declined (quote editor Q-24)</t>
        </is>
      </c>
      <c r="G877" s="12" t="inlineStr">
        <is>
          <t>2.30</t>
        </is>
      </c>
      <c r="H877" s="12" t="inlineStr"/>
      <c r="I877" s="17" t="n"/>
      <c r="J877" s="17" t="n"/>
    </row>
    <row r="878">
      <c r="A878" s="12" t="inlineStr">
        <is>
          <t>Accounts Setup → Settings</t>
        </is>
      </c>
      <c r="B878" s="12" t="inlineStr">
        <is>
          <t>DEF-08</t>
        </is>
      </c>
      <c r="C878" s="12" t="inlineStr">
        <is>
          <t>Definitions</t>
        </is>
      </c>
      <c r="D878" s="14" t="inlineStr">
        <is>
          <t>What a new quote starts with</t>
        </is>
      </c>
      <c r="E878" s="14" t="inlineStr">
        <is>
          <t>Built</t>
        </is>
      </c>
      <c r="F878" s="12" t="inlineStr"/>
      <c r="G878" s="12" t="inlineStr"/>
      <c r="H878" s="28" t="inlineStr">
        <is>
          <t>Team check</t>
        </is>
      </c>
      <c r="I878" s="17" t="n"/>
      <c r="J878" s="17" t="n"/>
    </row>
    <row r="879">
      <c r="A879" s="12" t="inlineStr">
        <is>
          <t>Accounts Setup → Settings</t>
        </is>
      </c>
      <c r="B879" s="12" t="inlineStr">
        <is>
          <t>DEF-09</t>
        </is>
      </c>
      <c r="C879" s="12" t="inlineStr">
        <is>
          <t>Definitions</t>
        </is>
      </c>
      <c r="D879" s="14" t="inlineStr">
        <is>
          <t>How a setting saves</t>
        </is>
      </c>
      <c r="E879" s="14" t="inlineStr">
        <is>
          <t>Built in parity round 3</t>
        </is>
      </c>
      <c r="F879" s="12" t="inlineStr">
        <is>
          <t>Every remove answers with Undo; unsaved edits warn before leaving</t>
        </is>
      </c>
      <c r="G879" s="12" t="inlineStr">
        <is>
          <t>2.12, 2.34</t>
        </is>
      </c>
      <c r="H879" s="12" t="inlineStr"/>
      <c r="I879" s="17" t="n"/>
      <c r="J879" s="17" t="n"/>
    </row>
    <row r="880">
      <c r="A880" s="12" t="inlineStr">
        <is>
          <t>Accounts Setup → Settings</t>
        </is>
      </c>
      <c r="B880" s="12" t="inlineStr">
        <is>
          <t>DEF-10</t>
        </is>
      </c>
      <c r="C880" s="12" t="inlineStr">
        <is>
          <t>Definitions</t>
        </is>
      </c>
      <c r="D880" s="14" t="inlineStr">
        <is>
          <t>Who may change a setting</t>
        </is>
      </c>
      <c r="E880" s="14" t="inlineStr">
        <is>
          <t>Built in parity round 2</t>
        </is>
      </c>
      <c r="F880" s="12" t="inlineStr">
        <is>
          <t>Owners and Admins change the studio; others get one read-only look</t>
        </is>
      </c>
      <c r="G880" s="12" t="inlineStr">
        <is>
          <t>10.08</t>
        </is>
      </c>
      <c r="H880" s="12" t="inlineStr"/>
      <c r="I880" s="17" t="n"/>
      <c r="J880" s="17" t="n"/>
    </row>
    <row r="881">
      <c r="A881" s="12" t="inlineStr">
        <is>
          <t>Accounts Setup → Settings</t>
        </is>
      </c>
      <c r="B881" s="12" t="inlineStr">
        <is>
          <t>MM-01</t>
        </is>
      </c>
      <c r="C881" s="12" t="inlineStr">
        <is>
          <t>Mismatches</t>
        </is>
      </c>
      <c r="D881" s="14" t="inlineStr">
        <is>
          <t>The settings page's shape</t>
        </is>
      </c>
      <c r="E881" s="14" t="inlineStr">
        <is>
          <t>Built in parity round 1</t>
        </is>
      </c>
      <c r="F881" s="12" t="inlineStr">
        <is>
          <t>Four Settings modules; records under Company</t>
        </is>
      </c>
      <c r="G881" s="12" t="inlineStr">
        <is>
          <t>1.07, 2.01, 2.14</t>
        </is>
      </c>
      <c r="H881" s="12" t="inlineStr"/>
      <c r="I881" s="17" t="n"/>
      <c r="J881" s="17" t="n"/>
    </row>
    <row r="882">
      <c r="A882" s="12" t="inlineStr">
        <is>
          <t>Accounts Setup → Settings</t>
        </is>
      </c>
      <c r="B882" s="12" t="inlineStr">
        <is>
          <t>MM-02</t>
        </is>
      </c>
      <c r="C882" s="12" t="inlineStr">
        <is>
          <t>Mismatches</t>
        </is>
      </c>
      <c r="D882" s="14" t="inlineStr">
        <is>
          <t>Roles and what they may do</t>
        </is>
      </c>
      <c r="E882" s="14" t="inlineStr">
        <is>
          <t>Built in parity round 1</t>
        </is>
      </c>
      <c r="F882" s="12" t="inlineStr">
        <is>
          <t>Read-only statement of the four fixed roles; no editor</t>
        </is>
      </c>
      <c r="G882" s="12" t="inlineStr">
        <is>
          <t>2.16, 10.01, 10.15</t>
        </is>
      </c>
      <c r="H882" s="12" t="inlineStr"/>
      <c r="I882" s="17" t="n"/>
      <c r="J882" s="17" t="n"/>
    </row>
    <row r="883">
      <c r="A883" s="12" t="inlineStr">
        <is>
          <t>Accounts Setup → Settings</t>
        </is>
      </c>
      <c r="B883" s="12" t="inlineStr">
        <is>
          <t>MM-03</t>
        </is>
      </c>
      <c r="C883" s="12" t="inlineStr">
        <is>
          <t>Mismatches</t>
        </is>
      </c>
      <c r="D883" s="14" t="inlineStr">
        <is>
          <t>Adding a member</t>
        </is>
      </c>
      <c r="E883" s="14" t="inlineStr">
        <is>
          <t>Built in parity round 2</t>
        </is>
      </c>
      <c r="F883" s="12" t="inlineStr">
        <is>
          <t>Add member directly instead of a request to OpenMaison staff</t>
        </is>
      </c>
      <c r="G883" s="12" t="inlineStr">
        <is>
          <t>2.07</t>
        </is>
      </c>
      <c r="H883" s="12" t="inlineStr"/>
      <c r="I883" s="17" t="n"/>
      <c r="J883" s="17" t="n"/>
    </row>
    <row r="884">
      <c r="A884" s="12" t="inlineStr">
        <is>
          <t>Accounts Setup → Settings</t>
        </is>
      </c>
      <c r="B884" s="12" t="inlineStr">
        <is>
          <t>MM-04</t>
        </is>
      </c>
      <c r="C884" s="12" t="inlineStr">
        <is>
          <t>Mismatches</t>
        </is>
      </c>
      <c r="D884" s="14" t="inlineStr">
        <is>
          <t>Removing a member</t>
        </is>
      </c>
      <c r="E884" s="14" t="inlineStr">
        <is>
          <t>Built in parity round 2</t>
        </is>
      </c>
      <c r="F884" s="12" t="inlineStr">
        <is>
          <t>Deactivate with Undo; Reactivate brings them back</t>
        </is>
      </c>
      <c r="G884" s="12" t="inlineStr">
        <is>
          <t>2.12, 2.13</t>
        </is>
      </c>
      <c r="H884" s="12" t="inlineStr"/>
      <c r="I884" s="17" t="n"/>
      <c r="J884" s="17" t="n"/>
    </row>
    <row r="885">
      <c r="A885" s="12" t="inlineStr">
        <is>
          <t>Accounts Setup → Settings</t>
        </is>
      </c>
      <c r="B885" s="12" t="inlineStr">
        <is>
          <t>MM-05</t>
        </is>
      </c>
      <c r="C885" s="12" t="inlineStr">
        <is>
          <t>Mismatches</t>
        </is>
      </c>
      <c r="D885" s="14" t="inlineStr">
        <is>
          <t>An entity's identity</t>
        </is>
      </c>
      <c r="E885" s="14" t="inlineStr">
        <is>
          <t>Built in parity round 3</t>
        </is>
      </c>
      <c r="F885" s="12" t="inlineStr">
        <is>
          <t>Known by id, so a rename follows everywhere</t>
        </is>
      </c>
      <c r="G885" s="12" t="inlineStr"/>
      <c r="H885" s="28" t="inlineStr">
        <is>
          <t>Team check</t>
        </is>
      </c>
      <c r="I885" s="17" t="n"/>
      <c r="J885" s="17" t="n"/>
    </row>
    <row r="886">
      <c r="A886" s="12" t="inlineStr">
        <is>
          <t>Accounts Setup → Settings</t>
        </is>
      </c>
      <c r="B886" s="12" t="inlineStr">
        <is>
          <t>MM-06</t>
        </is>
      </c>
      <c r="C886" s="12" t="inlineStr">
        <is>
          <t>Mismatches</t>
        </is>
      </c>
      <c r="D886" s="14" t="inlineStr">
        <is>
          <t>Renaming a list item</t>
        </is>
      </c>
      <c r="E886" s="14" t="inlineStr">
        <is>
          <t>Built in parity round 3</t>
        </is>
      </c>
      <c r="F886" s="12" t="inlineStr">
        <is>
          <t>A rename carries its leads, logs, quote lines and items</t>
        </is>
      </c>
      <c r="G886" s="12" t="inlineStr">
        <is>
          <t>2.20</t>
        </is>
      </c>
      <c r="H886" s="12" t="inlineStr"/>
      <c r="I886" s="17" t="n"/>
      <c r="J886" s="17" t="n"/>
    </row>
    <row r="887">
      <c r="A887" s="12" t="inlineStr">
        <is>
          <t>Accounts Setup → Settings</t>
        </is>
      </c>
      <c r="B887" s="12" t="inlineStr">
        <is>
          <t>MM-07</t>
        </is>
      </c>
      <c r="C887" s="12" t="inlineStr">
        <is>
          <t>Mismatches</t>
        </is>
      </c>
      <c r="D887" s="14" t="inlineStr">
        <is>
          <t>Who may change the studio's settings</t>
        </is>
      </c>
      <c r="E887" s="14" t="inlineStr">
        <is>
          <t>Built in parity round 2</t>
        </is>
      </c>
      <c r="F887" s="12" t="inlineStr">
        <is>
          <t>Owners and Admins, on the page and behind it</t>
        </is>
      </c>
      <c r="G887" s="12" t="inlineStr">
        <is>
          <t>10.08</t>
        </is>
      </c>
      <c r="H887" s="12" t="inlineStr"/>
      <c r="I887" s="17" t="n"/>
      <c r="J887" s="17" t="n"/>
    </row>
    <row r="888">
      <c r="A888" s="12" t="inlineStr">
        <is>
          <t>Accounts Setup → Settings</t>
        </is>
      </c>
      <c r="B888" s="12" t="inlineStr">
        <is>
          <t>MM-08</t>
        </is>
      </c>
      <c r="C888" s="12" t="inlineStr">
        <is>
          <t>Mismatches</t>
        </is>
      </c>
      <c r="D888" s="14" t="inlineStr">
        <is>
          <t>The studio's GST</t>
        </is>
      </c>
      <c r="E888" s="14" t="inlineStr">
        <is>
          <t>Built in parity round 1</t>
        </is>
      </c>
      <c r="F888" s="12" t="inlineStr">
        <is>
          <t>Quotes &amp; pricing › GST holds the registration and the rate</t>
        </is>
      </c>
      <c r="G888" s="12" t="inlineStr">
        <is>
          <t>2.27</t>
        </is>
      </c>
      <c r="H888" s="12" t="inlineStr"/>
      <c r="I888" s="17" t="n"/>
      <c r="J888" s="17" t="n"/>
    </row>
    <row r="889">
      <c r="A889" s="12" t="inlineStr">
        <is>
          <t>Accounts Setup → Settings</t>
        </is>
      </c>
      <c r="B889" s="12" t="inlineStr">
        <is>
          <t>MM-09</t>
        </is>
      </c>
      <c r="C889" s="12" t="inlineStr">
        <is>
          <t>Mismatches</t>
        </is>
      </c>
      <c r="D889" s="14" t="inlineStr">
        <is>
          <t>Lead capture's ways in</t>
        </is>
      </c>
      <c r="E889" s="14" t="inlineStr">
        <is>
          <t>Built in parity round 3</t>
        </is>
      </c>
      <c r="F889" s="12" t="inlineStr">
        <is>
          <t>Website form, Meta, webhooks and email listed together</t>
        </is>
      </c>
      <c r="G889" s="12" t="inlineStr">
        <is>
          <t>2.24, 4.13</t>
        </is>
      </c>
      <c r="H889" s="12" t="inlineStr"/>
      <c r="I889" s="17" t="n"/>
      <c r="J889" s="17" t="n"/>
    </row>
    <row r="890">
      <c r="A890" s="12" t="inlineStr">
        <is>
          <t>Accounts Setup → Settings</t>
        </is>
      </c>
      <c r="B890" s="12" t="inlineStr">
        <is>
          <t>SP-01</t>
        </is>
      </c>
      <c r="C890" s="12" t="inlineStr">
        <is>
          <t>The page and its ways in</t>
        </is>
      </c>
      <c r="D890" s="14" t="inlineStr">
        <is>
          <t>Reaching the settings</t>
        </is>
      </c>
      <c r="E890" s="14" t="inlineStr">
        <is>
          <t>Built</t>
        </is>
      </c>
      <c r="F890" s="12" t="inlineStr"/>
      <c r="G890" s="12" t="inlineStr">
        <is>
          <t>1.02</t>
        </is>
      </c>
      <c r="H890" s="12" t="inlineStr"/>
      <c r="I890" s="17" t="n"/>
      <c r="J890" s="17" t="n"/>
    </row>
    <row r="891">
      <c r="A891" s="12" t="inlineStr">
        <is>
          <t>Accounts Setup → Settings</t>
        </is>
      </c>
      <c r="B891" s="12" t="inlineStr">
        <is>
          <t>SP-02</t>
        </is>
      </c>
      <c r="C891" s="12" t="inlineStr">
        <is>
          <t>The page and its ways in</t>
        </is>
      </c>
      <c r="D891" s="14" t="inlineStr">
        <is>
          <t>The settings page's layout and deep links</t>
        </is>
      </c>
      <c r="E891" s="14" t="inlineStr">
        <is>
          <t>Built in parity round 1</t>
        </is>
      </c>
      <c r="F891" s="12" t="inlineStr">
        <is>
          <t>Module tabs, the open module in the link, Back honoured</t>
        </is>
      </c>
      <c r="G891" s="12" t="inlineStr">
        <is>
          <t>2.14</t>
        </is>
      </c>
      <c r="H891" s="12" t="inlineStr"/>
      <c r="I891" s="17" t="n"/>
      <c r="J891" s="17" t="n"/>
    </row>
    <row r="892">
      <c r="A892" s="12" t="inlineStr">
        <is>
          <t>Accounts Setup → Settings</t>
        </is>
      </c>
      <c r="B892" s="12" t="inlineStr">
        <is>
          <t>SP-03</t>
        </is>
      </c>
      <c r="C892" s="12" t="inlineStr">
        <is>
          <t>The page and its ways in</t>
        </is>
      </c>
      <c r="D892" s="14" t="inlineStr">
        <is>
          <t>What each visit loads</t>
        </is>
      </c>
      <c r="E892" s="14" t="inlineStr">
        <is>
          <t>Built</t>
        </is>
      </c>
      <c r="F892" s="12" t="inlineStr"/>
      <c r="G892" s="12" t="inlineStr"/>
      <c r="H892" s="28" t="inlineStr">
        <is>
          <t>Team check</t>
        </is>
      </c>
      <c r="I892" s="17" t="n"/>
      <c r="J892" s="17" t="n"/>
    </row>
    <row r="893">
      <c r="A893" s="12" t="inlineStr">
        <is>
          <t>Accounts Setup → Settings</t>
        </is>
      </c>
      <c r="B893" s="12" t="inlineStr">
        <is>
          <t>SP-04</t>
        </is>
      </c>
      <c r="C893" s="12" t="inlineStr">
        <is>
          <t>The page and its ways in</t>
        </is>
      </c>
      <c r="D893" s="14" t="inlineStr">
        <is>
          <t>Saving changes</t>
        </is>
      </c>
      <c r="E893" s="14" t="inlineStr">
        <is>
          <t>Built in parity round 3</t>
        </is>
      </c>
      <c r="F893" s="12" t="inlineStr">
        <is>
          <t>Unsaved number pattern warns; every remove has Undo</t>
        </is>
      </c>
      <c r="G893" s="12" t="inlineStr"/>
      <c r="H893" s="28" t="inlineStr">
        <is>
          <t>Team check</t>
        </is>
      </c>
      <c r="I893" s="17" t="n"/>
      <c r="J893" s="17" t="n"/>
    </row>
    <row r="894">
      <c r="A894" s="12" t="inlineStr">
        <is>
          <t>Accounts Setup → Settings</t>
        </is>
      </c>
      <c r="B894" s="12" t="inlineStr">
        <is>
          <t>SP-05</t>
        </is>
      </c>
      <c r="C894" s="12" t="inlineStr">
        <is>
          <t>The page and its ways in</t>
        </is>
      </c>
      <c r="D894" s="14" t="inlineStr">
        <is>
          <t>Settings and Company on a phone</t>
        </is>
      </c>
      <c r="E894" s="14" t="inlineStr">
        <is>
          <t>Built in parity round 2</t>
        </is>
      </c>
      <c r="F894" s="12" t="inlineStr">
        <is>
          <t>More › Company opens the Company panel; module tabs scroll</t>
        </is>
      </c>
      <c r="G894" s="12" t="inlineStr">
        <is>
          <t>12.04</t>
        </is>
      </c>
      <c r="H894" s="12" t="inlineStr"/>
      <c r="I894" s="17" t="n"/>
      <c r="J894" s="17" t="n"/>
    </row>
    <row r="895">
      <c r="A895" s="12" t="inlineStr">
        <is>
          <t>Accounts Setup → Settings</t>
        </is>
      </c>
      <c r="B895" s="12" t="inlineStr">
        <is>
          <t>ST-01</t>
        </is>
      </c>
      <c r="C895" s="12" t="inlineStr">
        <is>
          <t>Studio</t>
        </is>
      </c>
      <c r="D895" s="14" t="inlineStr">
        <is>
          <t>Team members list</t>
        </is>
      </c>
      <c r="E895" s="14" t="inlineStr">
        <is>
          <t>Built</t>
        </is>
      </c>
      <c r="F895" s="12" t="inlineStr"/>
      <c r="G895" s="12" t="inlineStr">
        <is>
          <t>2.06, 2.15</t>
        </is>
      </c>
      <c r="H895" s="12" t="inlineStr"/>
      <c r="I895" s="17" t="n"/>
      <c r="J895" s="17" t="n"/>
    </row>
    <row r="896">
      <c r="A896" s="12" t="inlineStr">
        <is>
          <t>Accounts Setup → Settings</t>
        </is>
      </c>
      <c r="B896" s="12" t="inlineStr">
        <is>
          <t>ST-02</t>
        </is>
      </c>
      <c r="C896" s="12" t="inlineStr">
        <is>
          <t>Studio</t>
        </is>
      </c>
      <c r="D896" s="14" t="inlineStr">
        <is>
          <t>Invite a member</t>
        </is>
      </c>
      <c r="E896" s="14" t="inlineStr">
        <is>
          <t>Built in parity round 2</t>
        </is>
      </c>
      <c r="F896" s="12" t="inlineStr">
        <is>
          <t>Add member with name, phone, email and role</t>
        </is>
      </c>
      <c r="G896" s="12" t="inlineStr">
        <is>
          <t>2.07</t>
        </is>
      </c>
      <c r="H896" s="12" t="inlineStr"/>
      <c r="I896" s="17" t="n"/>
      <c r="J896" s="17" t="n"/>
    </row>
    <row r="897">
      <c r="A897" s="12" t="inlineStr">
        <is>
          <t>Accounts Setup → Settings</t>
        </is>
      </c>
      <c r="B897" s="12" t="inlineStr">
        <is>
          <t>ST-03</t>
        </is>
      </c>
      <c r="C897" s="12" t="inlineStr">
        <is>
          <t>Studio</t>
        </is>
      </c>
      <c r="D897" s="14" t="inlineStr">
        <is>
          <t>A member's free title and several tags</t>
        </is>
      </c>
      <c r="E897" s="14" t="inlineStr">
        <is>
          <t>Built</t>
        </is>
      </c>
      <c r="F897" s="12" t="inlineStr">
        <is>
          <t>One role per member; the role is the title</t>
        </is>
      </c>
      <c r="G897" s="12" t="inlineStr">
        <is>
          <t>2.06</t>
        </is>
      </c>
      <c r="H897" s="12" t="inlineStr"/>
      <c r="I897" s="17" t="n"/>
      <c r="J897" s="17" t="n"/>
    </row>
    <row r="898">
      <c r="A898" s="12" t="inlineStr">
        <is>
          <t>Accounts Setup → Settings</t>
        </is>
      </c>
      <c r="B898" s="12" t="inlineStr">
        <is>
          <t>ST-04</t>
        </is>
      </c>
      <c r="C898" s="12" t="inlineStr">
        <is>
          <t>Studio</t>
        </is>
      </c>
      <c r="D898" s="14" t="inlineStr">
        <is>
          <t>Page access and data visibility notes</t>
        </is>
      </c>
      <c r="E898" s="14" t="inlineStr">
        <is>
          <t>Built</t>
        </is>
      </c>
      <c r="F898" s="12" t="inlineStr">
        <is>
          <t>Who sees leads, stated in Who may do what</t>
        </is>
      </c>
      <c r="G898" s="12" t="inlineStr">
        <is>
          <t>2.23, 10.01</t>
        </is>
      </c>
      <c r="H898" s="12" t="inlineStr"/>
      <c r="I898" s="17" t="n"/>
      <c r="J898" s="17" t="n"/>
    </row>
    <row r="899">
      <c r="A899" s="12" t="inlineStr">
        <is>
          <t>Accounts Setup → Settings</t>
        </is>
      </c>
      <c r="B899" s="12" t="inlineStr">
        <is>
          <t>ST-05</t>
        </is>
      </c>
      <c r="C899" s="12" t="inlineStr">
        <is>
          <t>Studio</t>
        </is>
      </c>
      <c r="D899" s="14" t="inlineStr">
        <is>
          <t>Open to new leads and lead preferences</t>
        </is>
      </c>
      <c r="E899" s="14" t="inlineStr">
        <is>
          <t>Built</t>
        </is>
      </c>
      <c r="F899" s="12" t="inlineStr"/>
      <c r="G899" s="12" t="inlineStr">
        <is>
          <t>2.09, 2.10</t>
        </is>
      </c>
      <c r="H899" s="12" t="inlineStr"/>
      <c r="I899" s="17" t="n"/>
      <c r="J899" s="17" t="n"/>
    </row>
    <row r="900">
      <c r="A900" s="12" t="inlineStr">
        <is>
          <t>Accounts Setup → Settings</t>
        </is>
      </c>
      <c r="B900" s="12" t="inlineStr">
        <is>
          <t>ST-06</t>
        </is>
      </c>
      <c r="C900" s="12" t="inlineStr">
        <is>
          <t>Studio</t>
        </is>
      </c>
      <c r="D900" s="14" t="inlineStr">
        <is>
          <t>Per-member permission and workflow overrides</t>
        </is>
      </c>
      <c r="E900" s="14" t="inlineStr">
        <is>
          <t>Dead</t>
        </is>
      </c>
      <c r="F900" s="12" t="inlineStr">
        <is>
          <t>Saved in 1.0 but almost never read</t>
        </is>
      </c>
      <c r="G900" s="12" t="inlineStr"/>
      <c r="H900" s="12" t="inlineStr"/>
      <c r="I900" s="17" t="n"/>
      <c r="J900" s="17" t="n"/>
    </row>
    <row r="901">
      <c r="A901" s="12" t="inlineStr">
        <is>
          <t>Accounts Setup → Settings</t>
        </is>
      </c>
      <c r="B901" s="12" t="inlineStr">
        <is>
          <t>ST-07</t>
        </is>
      </c>
      <c r="C901" s="12" t="inlineStr">
        <is>
          <t>Studio</t>
        </is>
      </c>
      <c r="D901" s="14" t="inlineStr">
        <is>
          <t>Remove a member</t>
        </is>
      </c>
      <c r="E901" s="14" t="inlineStr">
        <is>
          <t>Built in parity round 2</t>
        </is>
      </c>
      <c r="F901" s="12" t="inlineStr">
        <is>
          <t>Deactivate names open work, offers Undo; Reactivate later</t>
        </is>
      </c>
      <c r="G901" s="12" t="inlineStr">
        <is>
          <t>2.12, 2.13, 2.37</t>
        </is>
      </c>
      <c r="H901" s="12" t="inlineStr"/>
      <c r="I901" s="17" t="n"/>
      <c r="J901" s="17" t="n"/>
    </row>
    <row r="902">
      <c r="A902" s="12" t="inlineStr">
        <is>
          <t>Accounts Setup → Settings</t>
        </is>
      </c>
      <c r="B902" s="12" t="inlineStr">
        <is>
          <t>ST-08</t>
        </is>
      </c>
      <c r="C902" s="12" t="inlineStr">
        <is>
          <t>Studio</t>
        </is>
      </c>
      <c r="D902" s="14" t="inlineStr">
        <is>
          <t>Each member's own signature</t>
        </is>
      </c>
      <c r="E902" s="14" t="inlineStr">
        <is>
          <t>Built</t>
        </is>
      </c>
      <c r="F902" s="12" t="inlineStr"/>
      <c r="G902" s="12" t="inlineStr"/>
      <c r="H902" s="28" t="inlineStr">
        <is>
          <t>Team check</t>
        </is>
      </c>
      <c r="I902" s="17" t="n"/>
      <c r="J902" s="17" t="n"/>
    </row>
    <row r="903">
      <c r="A903" s="12" t="inlineStr">
        <is>
          <t>Accounts Setup → Settings</t>
        </is>
      </c>
      <c r="B903" s="12" t="inlineStr">
        <is>
          <t>ST-09</t>
        </is>
      </c>
      <c r="C903" s="12" t="inlineStr">
        <is>
          <t>Studio</t>
        </is>
      </c>
      <c r="D903" s="14" t="inlineStr">
        <is>
          <t>Managers</t>
        </is>
      </c>
      <c r="E903" s="14" t="inlineStr">
        <is>
          <t>Built</t>
        </is>
      </c>
      <c r="F903" s="12" t="inlineStr"/>
      <c r="G903" s="12" t="inlineStr">
        <is>
          <t>2.06, 2.08, 10.09</t>
        </is>
      </c>
      <c r="H903" s="12" t="inlineStr"/>
      <c r="I903" s="17" t="n"/>
      <c r="J903" s="17" t="n"/>
    </row>
    <row r="904">
      <c r="A904" s="12" t="inlineStr">
        <is>
          <t>Accounts Setup → Settings</t>
        </is>
      </c>
      <c r="B904" s="12" t="inlineStr">
        <is>
          <t>ST-10</t>
        </is>
      </c>
      <c r="C904" s="12" t="inlineStr">
        <is>
          <t>Studio</t>
        </is>
      </c>
      <c r="D904" s="14" t="inlineStr">
        <is>
          <t>Seats</t>
        </is>
      </c>
      <c r="E904" s="14" t="inlineStr">
        <is>
          <t>Built</t>
        </is>
      </c>
      <c r="F904" s="12" t="inlineStr"/>
      <c r="G904" s="12" t="inlineStr"/>
      <c r="H904" s="28" t="inlineStr">
        <is>
          <t>Team check</t>
        </is>
      </c>
      <c r="I904" s="17" t="n"/>
      <c r="J904" s="17" t="n"/>
    </row>
    <row r="905">
      <c r="A905" s="12" t="inlineStr">
        <is>
          <t>Accounts Setup → Settings</t>
        </is>
      </c>
      <c r="B905" s="12" t="inlineStr">
        <is>
          <t>ST-11</t>
        </is>
      </c>
      <c r="C905" s="12" t="inlineStr">
        <is>
          <t>Studio</t>
        </is>
      </c>
      <c r="D905" s="14" t="inlineStr">
        <is>
          <t>Legal entities: list and edit</t>
        </is>
      </c>
      <c r="E905" s="14" t="inlineStr">
        <is>
          <t>Built in parity round 3</t>
        </is>
      </c>
      <c r="F905" s="12" t="inlineStr">
        <is>
          <t>Entities keep an id; bank, SWIFT, PayNow, letterhead, GST switch</t>
        </is>
      </c>
      <c r="G905" s="12" t="inlineStr">
        <is>
          <t>2.03, 2.04, 2.15</t>
        </is>
      </c>
      <c r="H905" s="12" t="inlineStr"/>
      <c r="I905" s="17" t="n"/>
      <c r="J905" s="17" t="n"/>
    </row>
    <row r="906">
      <c r="A906" s="12" t="inlineStr">
        <is>
          <t>Accounts Setup → Settings</t>
        </is>
      </c>
      <c r="B906" s="12" t="inlineStr">
        <is>
          <t>ST-12</t>
        </is>
      </c>
      <c r="C906" s="12" t="inlineStr">
        <is>
          <t>Studio</t>
        </is>
      </c>
      <c r="D906" s="14" t="inlineStr">
        <is>
          <t>Default entity; deactivating one</t>
        </is>
      </c>
      <c r="E906" s="14" t="inlineStr">
        <is>
          <t>Built in parity round 3</t>
        </is>
      </c>
      <c r="F906" s="12" t="inlineStr">
        <is>
          <t>The studio is always first; an entity in use is retired</t>
        </is>
      </c>
      <c r="G906" s="12" t="inlineStr">
        <is>
          <t>2.04, 2.37</t>
        </is>
      </c>
      <c r="H906" s="12" t="inlineStr"/>
      <c r="I906" s="17" t="n"/>
      <c r="J906" s="17" t="n"/>
    </row>
    <row r="907">
      <c r="A907" s="12" t="inlineStr">
        <is>
          <t>Accounts Setup → Settings</t>
        </is>
      </c>
      <c r="B907" s="12" t="inlineStr">
        <is>
          <t>ST-13</t>
        </is>
      </c>
      <c r="C907" s="12" t="inlineStr">
        <is>
          <t>Studio</t>
        </is>
      </c>
      <c r="D907" s="14" t="inlineStr">
        <is>
          <t>Where entities are used</t>
        </is>
      </c>
      <c r="E907" s="14" t="inlineStr">
        <is>
          <t>Built</t>
        </is>
      </c>
      <c r="F907" s="12" t="inlineStr"/>
      <c r="G907" s="12" t="inlineStr">
        <is>
          <t>2.15</t>
        </is>
      </c>
      <c r="H907" s="12" t="inlineStr"/>
      <c r="I907" s="17" t="n"/>
      <c r="J907" s="17" t="n"/>
    </row>
    <row r="908">
      <c r="A908" s="12" t="inlineStr">
        <is>
          <t>Accounts Setup → Settings</t>
        </is>
      </c>
      <c r="B908" s="12" t="inlineStr">
        <is>
          <t>ST-14</t>
        </is>
      </c>
      <c r="C908" s="12" t="inlineStr">
        <is>
          <t>Studio</t>
        </is>
      </c>
      <c r="D908" s="14" t="inlineStr">
        <is>
          <t>Roles &amp; Permissions editor</t>
        </is>
      </c>
      <c r="E908" s="14" t="inlineStr">
        <is>
          <t>Built in parity round 1</t>
        </is>
      </c>
      <c r="F908" s="12" t="inlineStr">
        <is>
          <t>Read-only table built; editor and custom roles held (leads Q-40)</t>
        </is>
      </c>
      <c r="G908" s="12" t="inlineStr">
        <is>
          <t>2.16, 2.29, 10.01</t>
        </is>
      </c>
      <c r="H908" s="12" t="inlineStr"/>
      <c r="I908" s="17" t="n"/>
      <c r="J908" s="17" t="n"/>
    </row>
    <row r="909">
      <c r="A909" s="12" t="inlineStr">
        <is>
          <t>Accounts Setup → Settings</t>
        </is>
      </c>
      <c r="B909" s="12" t="inlineStr">
        <is>
          <t>ST-15</t>
        </is>
      </c>
      <c r="C909" s="12" t="inlineStr">
        <is>
          <t>Studio</t>
        </is>
      </c>
      <c r="D909" s="14" t="inlineStr">
        <is>
          <t>Studio Health usage tiles</t>
        </is>
      </c>
      <c r="E909" s="14" t="inlineStr">
        <is>
          <t>Platform</t>
        </is>
      </c>
      <c r="F909" s="12" t="inlineStr">
        <is>
          <t>Platform telemetry; Leads › Insights holds response times (Q-16)</t>
        </is>
      </c>
      <c r="G909" s="12" t="inlineStr">
        <is>
          <t>11.08</t>
        </is>
      </c>
      <c r="H909" s="12" t="inlineStr"/>
      <c r="I909" s="17" t="n"/>
      <c r="J909" s="17" t="n"/>
    </row>
    <row r="910">
      <c r="A910" s="12" t="inlineStr">
        <is>
          <t>Accounts Setup → Settings</t>
        </is>
      </c>
      <c r="B910" s="12" t="inlineStr">
        <is>
          <t>ST-16</t>
        </is>
      </c>
      <c r="C910" s="12" t="inlineStr">
        <is>
          <t>Studio</t>
        </is>
      </c>
      <c r="D910" s="14" t="inlineStr">
        <is>
          <t>Studio items on the personal Settings page</t>
        </is>
      </c>
      <c r="E910" s="14" t="inlineStr">
        <is>
          <t>Platform</t>
        </is>
      </c>
      <c r="F910" s="12" t="inlineStr">
        <is>
          <t>Region is the platform's; the Ads and ID Buddy switches did nothing</t>
        </is>
      </c>
      <c r="G910" s="12" t="inlineStr"/>
      <c r="H910" s="12" t="inlineStr"/>
      <c r="I910" s="17" t="n"/>
      <c r="J910" s="17" t="n"/>
    </row>
    <row r="911">
      <c r="A911" s="12" t="inlineStr">
        <is>
          <t>Accounts Setup → Settings</t>
        </is>
      </c>
      <c r="B911" s="12" t="inlineStr">
        <is>
          <t>LM-01</t>
        </is>
      </c>
      <c r="C911" s="12" t="inlineStr">
        <is>
          <t>Lead management</t>
        </is>
      </c>
      <c r="D911" s="14" t="inlineStr">
        <is>
          <t>Lead Experience: Classic or Journey</t>
        </is>
      </c>
      <c r="E911" s="14" t="inlineStr">
        <is>
          <t>Excluded</t>
        </is>
      </c>
      <c r="F911" s="12" t="inlineStr">
        <is>
          <t>Owner's rule: no Journey mode; Linear or Flexible instead</t>
        </is>
      </c>
      <c r="G911" s="12" t="inlineStr">
        <is>
          <t>2.17</t>
        </is>
      </c>
      <c r="H911" s="12" t="inlineStr"/>
      <c r="I911" s="17" t="n"/>
      <c r="J911" s="17" t="n"/>
    </row>
    <row r="912">
      <c r="A912" s="12" t="inlineStr">
        <is>
          <t>Accounts Setup → Settings</t>
        </is>
      </c>
      <c r="B912" s="12" t="inlineStr">
        <is>
          <t>LM-02</t>
        </is>
      </c>
      <c r="C912" s="12" t="inlineStr">
        <is>
          <t>Lead management</t>
        </is>
      </c>
      <c r="D912" s="14" t="inlineStr">
        <is>
          <t>Detect duplicate leads switch</t>
        </is>
      </c>
      <c r="E912" s="14" t="inlineStr">
        <is>
          <t>Built</t>
        </is>
      </c>
      <c r="F912" s="12" t="inlineStr">
        <is>
          <t>Always checked, with a dialog; no switch (leads Q-18)</t>
        </is>
      </c>
      <c r="G912" s="12" t="inlineStr">
        <is>
          <t>4.03</t>
        </is>
      </c>
      <c r="H912" s="12" t="inlineStr"/>
      <c r="I912" s="17" t="n"/>
      <c r="J912" s="17" t="n"/>
    </row>
    <row r="913">
      <c r="A913" s="12" t="inlineStr">
        <is>
          <t>Accounts Setup → Settings</t>
        </is>
      </c>
      <c r="B913" s="12" t="inlineStr">
        <is>
          <t>LM-03</t>
        </is>
      </c>
      <c r="C913" s="12" t="inlineStr">
        <is>
          <t>Lead management</t>
        </is>
      </c>
      <c r="D913" s="14" t="inlineStr">
        <is>
          <t>Journey steps editor</t>
        </is>
      </c>
      <c r="E913" s="14" t="inlineStr">
        <is>
          <t>Excluded</t>
        </is>
      </c>
      <c r="F913" s="12" t="inlineStr">
        <is>
          <t>Owner's rule: no Journey mode</t>
        </is>
      </c>
      <c r="G913" s="12" t="inlineStr"/>
      <c r="H913" s="12" t="inlineStr"/>
      <c r="I913" s="17" t="n"/>
      <c r="J913" s="17" t="n"/>
    </row>
    <row r="914">
      <c r="A914" s="12" t="inlineStr">
        <is>
          <t>Accounts Setup → Settings</t>
        </is>
      </c>
      <c r="B914" s="12" t="inlineStr">
        <is>
          <t>LM-04</t>
        </is>
      </c>
      <c r="C914" s="12" t="inlineStr">
        <is>
          <t>Lead management</t>
        </is>
      </c>
      <c r="D914" s="14" t="inlineStr">
        <is>
          <t>Lost and On Hold reasons</t>
        </is>
      </c>
      <c r="E914" s="14" t="inlineStr">
        <is>
          <t>Built in parity round 3</t>
        </is>
      </c>
      <c r="F914" s="12" t="inlineStr">
        <is>
          <t>Rename, reorder, contact gate editable, Undo on remove</t>
        </is>
      </c>
      <c r="G914" s="12" t="inlineStr">
        <is>
          <t>2.21, 2.35, 9.05, 9.07</t>
        </is>
      </c>
      <c r="H914" s="12" t="inlineStr"/>
      <c r="I914" s="17" t="n"/>
      <c r="J914" s="17" t="n"/>
    </row>
    <row r="915">
      <c r="A915" s="12" t="inlineStr">
        <is>
          <t>Accounts Setup → Settings</t>
        </is>
      </c>
      <c r="B915" s="12" t="inlineStr">
        <is>
          <t>LM-05</t>
        </is>
      </c>
      <c r="C915" s="12" t="inlineStr">
        <is>
          <t>Lead management</t>
        </is>
      </c>
      <c r="D915" s="14" t="inlineStr">
        <is>
          <t>Lead Funnel editor</t>
        </is>
      </c>
      <c r="E915" s="14" t="inlineStr">
        <is>
          <t>Later</t>
        </is>
      </c>
      <c r="F915" s="12" t="inlineStr">
        <is>
          <t>Held (leads Q-02); the stages stay fixed</t>
        </is>
      </c>
      <c r="G915" s="12" t="inlineStr">
        <is>
          <t>1.05</t>
        </is>
      </c>
      <c r="H915" s="12" t="inlineStr"/>
      <c r="I915" s="17" t="n"/>
      <c r="J915" s="17" t="n"/>
    </row>
    <row r="916">
      <c r="A916" s="12" t="inlineStr">
        <is>
          <t>Accounts Setup → Settings</t>
        </is>
      </c>
      <c r="B916" s="12" t="inlineStr">
        <is>
          <t>LM-06</t>
        </is>
      </c>
      <c r="C916" s="12" t="inlineStr">
        <is>
          <t>Lead management</t>
        </is>
      </c>
      <c r="D916" s="14" t="inlineStr">
        <is>
          <t>Lead Categories</t>
        </is>
      </c>
      <c r="E916" s="14" t="inlineStr">
        <is>
          <t>Dead</t>
        </is>
      </c>
      <c r="F916" s="12" t="inlineStr">
        <is>
          <t>Saved in 1.0, read nowhere (Q-17)</t>
        </is>
      </c>
      <c r="G916" s="12" t="inlineStr"/>
      <c r="H916" s="12" t="inlineStr"/>
      <c r="I916" s="17" t="n"/>
      <c r="J916" s="17" t="n"/>
    </row>
    <row r="917">
      <c r="A917" s="12" t="inlineStr">
        <is>
          <t>Accounts Setup → Settings</t>
        </is>
      </c>
      <c r="B917" s="12" t="inlineStr">
        <is>
          <t>LM-07</t>
        </is>
      </c>
      <c r="C917" s="12" t="inlineStr">
        <is>
          <t>Lead management</t>
        </is>
      </c>
      <c r="D917" s="14" t="inlineStr">
        <is>
          <t>Lead Sources list</t>
        </is>
      </c>
      <c r="E917" s="14" t="inlineStr">
        <is>
          <t>Built in parity round 3</t>
        </is>
      </c>
      <c r="F917" s="12" t="inlineStr">
        <is>
          <t>Rename (leads follow), reorder, retire, Undo on remove</t>
        </is>
      </c>
      <c r="G917" s="12" t="inlineStr">
        <is>
          <t>2.18, 2.19, 2.20</t>
        </is>
      </c>
      <c r="H917" s="12" t="inlineStr"/>
      <c r="I917" s="17" t="n"/>
      <c r="J917" s="17" t="n"/>
    </row>
    <row r="918">
      <c r="A918" s="12" t="inlineStr">
        <is>
          <t>Accounts Setup → Settings</t>
        </is>
      </c>
      <c r="B918" s="12" t="inlineStr">
        <is>
          <t>LM-08</t>
        </is>
      </c>
      <c r="C918" s="12" t="inlineStr">
        <is>
          <t>Lead management</t>
        </is>
      </c>
      <c r="D918" s="14" t="inlineStr">
        <is>
          <t>Custom lead fields</t>
        </is>
      </c>
      <c r="E918" s="14" t="inlineStr">
        <is>
          <t>Built in parity round 3</t>
        </is>
      </c>
      <c r="F918" s="12" t="inlineStr">
        <is>
          <t>Inactive fields keep their values; Required stated on the card</t>
        </is>
      </c>
      <c r="G918" s="12" t="inlineStr">
        <is>
          <t>2.22, 2.35</t>
        </is>
      </c>
      <c r="H918" s="12" t="inlineStr"/>
      <c r="I918" s="17" t="n"/>
      <c r="J918" s="17" t="n"/>
    </row>
    <row r="919">
      <c r="A919" s="12" t="inlineStr">
        <is>
          <t>Accounts Setup → Settings</t>
        </is>
      </c>
      <c r="B919" s="12" t="inlineStr">
        <is>
          <t>LM-09</t>
        </is>
      </c>
      <c r="C919" s="12" t="inlineStr">
        <is>
          <t>Lead management</t>
        </is>
      </c>
      <c r="D919" s="14" t="inlineStr">
        <is>
          <t>Lead webhooks</t>
        </is>
      </c>
      <c r="E919" s="14" t="inlineStr">
        <is>
          <t>Built</t>
        </is>
      </c>
      <c r="F919" s="12" t="inlineStr">
        <is>
          <t>A stand-in under Company › Integrations; receiving is the platform's</t>
        </is>
      </c>
      <c r="G919" s="12" t="inlineStr">
        <is>
          <t>2.24, 4.13</t>
        </is>
      </c>
      <c r="H919" s="12" t="inlineStr"/>
      <c r="I919" s="17" t="n"/>
      <c r="J919" s="17" t="n"/>
    </row>
    <row r="920">
      <c r="A920" s="12" t="inlineStr">
        <is>
          <t>Accounts Setup → Settings</t>
        </is>
      </c>
      <c r="B920" s="12" t="inlineStr">
        <is>
          <t>LM-10</t>
        </is>
      </c>
      <c r="C920" s="12" t="inlineStr">
        <is>
          <t>Lead management</t>
        </is>
      </c>
      <c r="D920" s="14" t="inlineStr">
        <is>
          <t>Workflow switches for leads</t>
        </is>
      </c>
      <c r="E920" s="14" t="inlineStr">
        <is>
          <t>Not built — by design</t>
        </is>
      </c>
      <c r="F920" s="12" t="inlineStr">
        <is>
          <t>Declined (leads Q-26); the Won step keeps its own rules</t>
        </is>
      </c>
      <c r="G920" s="12" t="inlineStr"/>
      <c r="H920" s="12" t="inlineStr"/>
      <c r="I920" s="17" t="n"/>
      <c r="J920" s="17" t="n"/>
    </row>
    <row r="921">
      <c r="A921" s="12" t="inlineStr">
        <is>
          <t>Accounts Setup → Settings</t>
        </is>
      </c>
      <c r="B921" s="12" t="inlineStr">
        <is>
          <t>LM-11</t>
        </is>
      </c>
      <c r="C921" s="12" t="inlineStr">
        <is>
          <t>Lead management</t>
        </is>
      </c>
      <c r="D921" s="14" t="inlineStr">
        <is>
          <t>AI assignment logic prompt</t>
        </is>
      </c>
      <c r="E921" s="14" t="inlineStr">
        <is>
          <t>Dead</t>
        </is>
      </c>
      <c r="F921" s="12" t="inlineStr">
        <is>
          <t>Saved in 1.0, read nowhere (Q-17)</t>
        </is>
      </c>
      <c r="G921" s="12" t="inlineStr"/>
      <c r="H921" s="12" t="inlineStr"/>
      <c r="I921" s="17" t="n"/>
      <c r="J921" s="17" t="n"/>
    </row>
    <row r="922">
      <c r="A922" s="12" t="inlineStr">
        <is>
          <t>Accounts Setup → Settings</t>
        </is>
      </c>
      <c r="B922" s="12" t="inlineStr">
        <is>
          <t>LM-12</t>
        </is>
      </c>
      <c r="C922" s="12" t="inlineStr">
        <is>
          <t>Lead management</t>
        </is>
      </c>
      <c r="D922" s="14" t="inlineStr">
        <is>
          <t>Legacy pipeline stages</t>
        </is>
      </c>
      <c r="E922" s="14" t="inlineStr">
        <is>
          <t>Dead</t>
        </is>
      </c>
      <c r="F922" s="12" t="inlineStr">
        <is>
          <t>Read nowhere in 1.0 (Q-17)</t>
        </is>
      </c>
      <c r="G922" s="12" t="inlineStr"/>
      <c r="H922" s="12" t="inlineStr"/>
      <c r="I922" s="17" t="n"/>
      <c r="J922" s="17" t="n"/>
    </row>
    <row r="923">
      <c r="A923" s="12" t="inlineStr">
        <is>
          <t>Accounts Setup → Settings</t>
        </is>
      </c>
      <c r="B923" s="12" t="inlineStr">
        <is>
          <t>LM-13</t>
        </is>
      </c>
      <c r="C923" s="12" t="inlineStr">
        <is>
          <t>Lead management</t>
        </is>
      </c>
      <c r="D923" s="14" t="inlineStr">
        <is>
          <t>Project types</t>
        </is>
      </c>
      <c r="E923" s="14" t="inlineStr">
        <is>
          <t>Later</t>
        </is>
      </c>
      <c r="F923" s="12" t="inlineStr">
        <is>
          <t>Comes with the Projects module</t>
        </is>
      </c>
      <c r="G923" s="12" t="inlineStr"/>
      <c r="H923" s="12" t="inlineStr"/>
      <c r="I923" s="17" t="n"/>
      <c r="J923" s="17" t="n"/>
    </row>
    <row r="924">
      <c r="A924" s="12" t="inlineStr">
        <is>
          <t>Accounts Setup → Settings</t>
        </is>
      </c>
      <c r="B924" s="12" t="inlineStr">
        <is>
          <t>LM-14</t>
        </is>
      </c>
      <c r="C924" s="12" t="inlineStr">
        <is>
          <t>Lead management</t>
        </is>
      </c>
      <c r="D924" s="14" t="inlineStr">
        <is>
          <t>Lead assignment suggestion</t>
        </is>
      </c>
      <c r="E924" s="14" t="inlineStr">
        <is>
          <t>Built</t>
        </is>
      </c>
      <c r="F924" s="12" t="inlineStr"/>
      <c r="G924" s="12" t="inlineStr">
        <is>
          <t>2.09, 5.04</t>
        </is>
      </c>
      <c r="H924" s="12" t="inlineStr"/>
      <c r="I924" s="17" t="n"/>
      <c r="J924" s="17" t="n"/>
    </row>
    <row r="925">
      <c r="A925" s="12" t="inlineStr">
        <is>
          <t>Accounts Setup → Settings</t>
        </is>
      </c>
      <c r="B925" s="12" t="inlineStr">
        <is>
          <t>LM-15</t>
        </is>
      </c>
      <c r="C925" s="12" t="inlineStr">
        <is>
          <t>Lead management</t>
        </is>
      </c>
      <c r="D925" s="14" t="inlineStr">
        <is>
          <t>Email lead sources (Gmail)</t>
        </is>
      </c>
      <c r="E925" s="14" t="inlineStr">
        <is>
          <t>Built</t>
        </is>
      </c>
      <c r="F925" s="12" t="inlineStr">
        <is>
          <t>A stand-in under Company › Integrations</t>
        </is>
      </c>
      <c r="G925" s="12" t="inlineStr">
        <is>
          <t>2.24, 4.14</t>
        </is>
      </c>
      <c r="H925" s="12" t="inlineStr"/>
      <c r="I925" s="17" t="n"/>
      <c r="J925" s="17" t="n"/>
    </row>
    <row r="926">
      <c r="A926" s="12" t="inlineStr">
        <is>
          <t>Accounts Setup → Settings</t>
        </is>
      </c>
      <c r="B926" s="12" t="inlineStr">
        <is>
          <t>LM-16</t>
        </is>
      </c>
      <c r="C926" s="12" t="inlineStr">
        <is>
          <t>Lead management</t>
        </is>
      </c>
      <c r="D926" s="14" t="inlineStr">
        <is>
          <t>Lead notifications</t>
        </is>
      </c>
      <c r="E926" s="14" t="inlineStr">
        <is>
          <t>Built in parity round 3</t>
        </is>
      </c>
      <c r="F926" s="12" t="inlineStr">
        <is>
          <t>Per event; Email and WhatsApp go out with In app</t>
        </is>
      </c>
      <c r="G926" s="12" t="inlineStr">
        <is>
          <t>2.32, 11.07</t>
        </is>
      </c>
      <c r="H926" s="12" t="inlineStr"/>
      <c r="I926" s="17" t="n"/>
      <c r="J926" s="17" t="n"/>
    </row>
    <row r="927">
      <c r="A927" s="12" t="inlineStr">
        <is>
          <t>Accounts Setup → Settings</t>
        </is>
      </c>
      <c r="B927" s="12" t="inlineStr">
        <is>
          <t>LM-17</t>
        </is>
      </c>
      <c r="C927" s="12" t="inlineStr">
        <is>
          <t>Lead management</t>
        </is>
      </c>
      <c r="D927" s="14" t="inlineStr">
        <is>
          <t>Manager hierarchy flag</t>
        </is>
      </c>
      <c r="E927" s="14" t="inlineStr">
        <is>
          <t>Built</t>
        </is>
      </c>
      <c r="F927" s="12" t="inlineStr"/>
      <c r="G927" s="12" t="inlineStr">
        <is>
          <t>2.08, 10.09</t>
        </is>
      </c>
      <c r="H927" s="12" t="inlineStr"/>
      <c r="I927" s="17" t="n"/>
      <c r="J927" s="17" t="n"/>
    </row>
    <row r="928">
      <c r="A928" s="12" t="inlineStr">
        <is>
          <t>Accounts Setup → Settings</t>
        </is>
      </c>
      <c r="B928" s="12" t="inlineStr">
        <is>
          <t>LM-18</t>
        </is>
      </c>
      <c r="C928" s="12" t="inlineStr">
        <is>
          <t>Lead management</t>
        </is>
      </c>
      <c r="D928" s="14" t="inlineStr">
        <is>
          <t>Fixed lead rules (response-time grades)</t>
        </is>
      </c>
      <c r="E928" s="14" t="inlineStr">
        <is>
          <t>Built</t>
        </is>
      </c>
      <c r="F928" s="12" t="inlineStr"/>
      <c r="G928" s="12" t="inlineStr">
        <is>
          <t>11.08</t>
        </is>
      </c>
      <c r="H928" s="12" t="inlineStr"/>
      <c r="I928" s="17" t="n"/>
      <c r="J928" s="17" t="n"/>
    </row>
    <row r="929">
      <c r="A929" s="12" t="inlineStr">
        <is>
          <t>Accounts Setup → Settings</t>
        </is>
      </c>
      <c r="B929" s="12" t="inlineStr">
        <is>
          <t>LM-19</t>
        </is>
      </c>
      <c r="C929" s="12" t="inlineStr">
        <is>
          <t>Lead management</t>
        </is>
      </c>
      <c r="D929" s="14" t="inlineStr">
        <is>
          <t>Lead capture card</t>
        </is>
      </c>
      <c r="E929" s="14" t="inlineStr">
        <is>
          <t>2.0 only</t>
        </is>
      </c>
      <c r="F929" s="12" t="inlineStr">
        <is>
          <t>Round 3 lists every way in and keeps the intake address</t>
        </is>
      </c>
      <c r="G929" s="12" t="inlineStr">
        <is>
          <t>2.24</t>
        </is>
      </c>
      <c r="H929" s="12" t="inlineStr"/>
      <c r="I929" s="17" t="n"/>
      <c r="J929" s="17" t="n"/>
    </row>
    <row r="930">
      <c r="A930" s="12" t="inlineStr">
        <is>
          <t>Accounts Setup → Settings</t>
        </is>
      </c>
      <c r="B930" s="12" t="inlineStr">
        <is>
          <t>LM-20</t>
        </is>
      </c>
      <c r="C930" s="12" t="inlineStr">
        <is>
          <t>Lead management</t>
        </is>
      </c>
      <c r="D930" s="14" t="inlineStr">
        <is>
          <t>The studio's question bank</t>
        </is>
      </c>
      <c r="E930" s="14" t="inlineStr">
        <is>
          <t>2.0 only</t>
        </is>
      </c>
      <c r="F930" s="12" t="inlineStr">
        <is>
          <t>Round 3: Required reaches each lead's questions</t>
        </is>
      </c>
      <c r="G930" s="12" t="inlineStr">
        <is>
          <t>3.37</t>
        </is>
      </c>
      <c r="H930" s="12" t="inlineStr"/>
      <c r="I930" s="17" t="n"/>
      <c r="J930" s="17" t="n"/>
    </row>
    <row r="931">
      <c r="A931" s="12" t="inlineStr">
        <is>
          <t>Accounts Setup → Settings</t>
        </is>
      </c>
      <c r="B931" s="12" t="inlineStr">
        <is>
          <t>QP-01</t>
        </is>
      </c>
      <c r="C931" s="12" t="inlineStr">
        <is>
          <t>Quotes &amp; pricing</t>
        </is>
      </c>
      <c r="D931" s="14" t="inlineStr">
        <is>
          <t>Quote categories (trades)</t>
        </is>
      </c>
      <c r="E931" s="14" t="inlineStr">
        <is>
          <t>Built in parity round 3</t>
        </is>
      </c>
      <c r="F931" s="12" t="inlineStr">
        <is>
          <t>Rename, reorder and a note per trade; no sub-categories (Q-18)</t>
        </is>
      </c>
      <c r="G931" s="12" t="inlineStr">
        <is>
          <t>2.26, 2.36</t>
        </is>
      </c>
      <c r="H931" s="12" t="inlineStr"/>
      <c r="I931" s="17" t="n"/>
      <c r="J931" s="17" t="n"/>
    </row>
    <row r="932">
      <c r="A932" s="12" t="inlineStr">
        <is>
          <t>Accounts Setup → Settings</t>
        </is>
      </c>
      <c r="B932" s="12" t="inlineStr">
        <is>
          <t>QP-02</t>
        </is>
      </c>
      <c r="C932" s="12" t="inlineStr">
        <is>
          <t>Quotes &amp; pricing</t>
        </is>
      </c>
      <c r="D932" s="14" t="inlineStr">
        <is>
          <t>Import price book from CSV</t>
        </is>
      </c>
      <c r="E932" s="14" t="inlineStr">
        <is>
          <t>Built</t>
        </is>
      </c>
      <c r="F932" s="12" t="inlineStr"/>
      <c r="G932" s="12" t="inlineStr"/>
      <c r="H932" s="28" t="inlineStr">
        <is>
          <t>Team check</t>
        </is>
      </c>
      <c r="I932" s="17" t="n"/>
      <c r="J932" s="17" t="n"/>
    </row>
    <row r="933">
      <c r="A933" s="12" t="inlineStr">
        <is>
          <t>Accounts Setup → Settings</t>
        </is>
      </c>
      <c r="B933" s="12" t="inlineStr">
        <is>
          <t>QP-03</t>
        </is>
      </c>
      <c r="C933" s="12" t="inlineStr">
        <is>
          <t>Quotes &amp; pricing</t>
        </is>
      </c>
      <c r="D933" s="14" t="inlineStr">
        <is>
          <t>Document templates</t>
        </is>
      </c>
      <c r="E933" s="14" t="inlineStr">
        <is>
          <t>Later</t>
        </is>
      </c>
      <c r="F933" s="12" t="inlineStr">
        <is>
          <t>Quote, contract, task, T&amp;C and payment libraries built; invoice, PO, VO with Finance</t>
        </is>
      </c>
      <c r="G933" s="12" t="inlineStr"/>
      <c r="H933" s="12" t="inlineStr"/>
      <c r="I933" s="17" t="n"/>
      <c r="J933" s="17" t="n"/>
    </row>
    <row r="934">
      <c r="A934" s="12" t="inlineStr">
        <is>
          <t>Accounts Setup → Settings</t>
        </is>
      </c>
      <c r="B934" s="12" t="inlineStr">
        <is>
          <t>QP-04</t>
        </is>
      </c>
      <c r="C934" s="12" t="inlineStr">
        <is>
          <t>Quotes &amp; pricing</t>
        </is>
      </c>
      <c r="D934" s="14" t="inlineStr">
        <is>
          <t>Default T&amp;C and default contract</t>
        </is>
      </c>
      <c r="E934" s="14" t="inlineStr">
        <is>
          <t>Built</t>
        </is>
      </c>
      <c r="F934" s="12" t="inlineStr"/>
      <c r="G934" s="12" t="inlineStr"/>
      <c r="H934" s="28" t="inlineStr">
        <is>
          <t>Team check</t>
        </is>
      </c>
      <c r="I934" s="17" t="n"/>
      <c r="J934" s="17" t="n"/>
    </row>
    <row r="935">
      <c r="A935" s="12" t="inlineStr">
        <is>
          <t>Accounts Setup → Settings</t>
        </is>
      </c>
      <c r="B935" s="12" t="inlineStr">
        <is>
          <t>QP-05</t>
        </is>
      </c>
      <c r="C935" s="12" t="inlineStr">
        <is>
          <t>Quotes &amp; pricing</t>
        </is>
      </c>
      <c r="D935" s="14" t="inlineStr">
        <is>
          <t>Signing documents library</t>
        </is>
      </c>
      <c r="E935" s="14" t="inlineStr">
        <is>
          <t>Built</t>
        </is>
      </c>
      <c r="F935" s="12" t="inlineStr">
        <is>
          <t>Contract templates carry the gates; a PDF library is held (contracts Q-26)</t>
        </is>
      </c>
      <c r="G935" s="12" t="inlineStr"/>
      <c r="H935" s="28" t="inlineStr">
        <is>
          <t>Team check</t>
        </is>
      </c>
      <c r="I935" s="17" t="n"/>
      <c r="J935" s="17" t="n"/>
    </row>
    <row r="936">
      <c r="A936" s="12" t="inlineStr">
        <is>
          <t>Accounts Setup → Settings</t>
        </is>
      </c>
      <c r="B936" s="12" t="inlineStr">
        <is>
          <t>QP-06</t>
        </is>
      </c>
      <c r="C936" s="12" t="inlineStr">
        <is>
          <t>Quotes &amp; pricing</t>
        </is>
      </c>
      <c r="D936" s="14" t="inlineStr">
        <is>
          <t>Packages (saved bundles of lines)</t>
        </is>
      </c>
      <c r="E936" s="14" t="inlineStr">
        <is>
          <t>Built</t>
        </is>
      </c>
      <c r="F936" s="12" t="inlineStr">
        <is>
          <t>As My Sections</t>
        </is>
      </c>
      <c r="G936" s="12" t="inlineStr"/>
      <c r="H936" s="28" t="inlineStr">
        <is>
          <t>Team check</t>
        </is>
      </c>
      <c r="I936" s="17" t="n"/>
      <c r="J936" s="17" t="n"/>
    </row>
    <row r="937">
      <c r="A937" s="12" t="inlineStr">
        <is>
          <t>Accounts Setup → Settings</t>
        </is>
      </c>
      <c r="B937" s="12" t="inlineStr">
        <is>
          <t>QP-07</t>
        </is>
      </c>
      <c r="C937" s="12" t="inlineStr">
        <is>
          <t>Quotes &amp; pricing</t>
        </is>
      </c>
      <c r="D937" s="14" t="inlineStr">
        <is>
          <t>Quote rules (Starter Quote)</t>
        </is>
      </c>
      <c r="E937" s="14" t="inlineStr">
        <is>
          <t>Later</t>
        </is>
      </c>
      <c r="F937" s="12" t="inlineStr">
        <is>
          <t>Held (templates Q-07)</t>
        </is>
      </c>
      <c r="G937" s="12" t="inlineStr"/>
      <c r="H937" s="12" t="inlineStr"/>
      <c r="I937" s="17" t="n"/>
      <c r="J937" s="17" t="n"/>
    </row>
    <row r="938">
      <c r="A938" s="12" t="inlineStr">
        <is>
          <t>Accounts Setup → Settings</t>
        </is>
      </c>
      <c r="B938" s="12" t="inlineStr">
        <is>
          <t>QP-08</t>
        </is>
      </c>
      <c r="C938" s="12" t="inlineStr">
        <is>
          <t>Quotes &amp; pricing</t>
        </is>
      </c>
      <c r="D938" s="14" t="inlineStr">
        <is>
          <t>Price book tab</t>
        </is>
      </c>
      <c r="E938" s="14" t="inlineStr">
        <is>
          <t>Built</t>
        </is>
      </c>
      <c r="F938" s="12" t="inlineStr">
        <is>
          <t>Finished by the price book parity audit (REG-649…655)</t>
        </is>
      </c>
      <c r="G938" s="12" t="inlineStr"/>
      <c r="H938" s="28" t="inlineStr">
        <is>
          <t>Team check</t>
        </is>
      </c>
      <c r="I938" s="17" t="n"/>
      <c r="J938" s="17" t="n"/>
    </row>
    <row r="939">
      <c r="A939" s="12" t="inlineStr">
        <is>
          <t>Accounts Setup → Settings</t>
        </is>
      </c>
      <c r="B939" s="12" t="inlineStr">
        <is>
          <t>QP-09</t>
        </is>
      </c>
      <c r="C939" s="12" t="inlineStr">
        <is>
          <t>Quotes &amp; pricing</t>
        </is>
      </c>
      <c r="D939" s="14" t="inlineStr">
        <is>
          <t>Quote approval rules</t>
        </is>
      </c>
      <c r="E939" s="14" t="inlineStr">
        <is>
          <t>Built in parity round 2</t>
        </is>
      </c>
      <c r="F939" s="12" t="inlineStr">
        <is>
          <t>Backup approver checked behind the page; thresholds declined (quote editor Q-24)</t>
        </is>
      </c>
      <c r="G939" s="12" t="inlineStr">
        <is>
          <t>2.30</t>
        </is>
      </c>
      <c r="H939" s="12" t="inlineStr"/>
      <c r="I939" s="17" t="n"/>
      <c r="J939" s="17" t="n"/>
    </row>
    <row r="940">
      <c r="A940" s="12" t="inlineStr">
        <is>
          <t>Accounts Setup → Settings</t>
        </is>
      </c>
      <c r="B940" s="12" t="inlineStr">
        <is>
          <t>QP-10</t>
        </is>
      </c>
      <c r="C940" s="12" t="inlineStr">
        <is>
          <t>Quotes &amp; pricing</t>
        </is>
      </c>
      <c r="D940" s="14" t="inlineStr">
        <is>
          <t>Quote sharing settings</t>
        </is>
      </c>
      <c r="E940" s="14" t="inlineStr">
        <is>
          <t>Not built — by design</t>
        </is>
      </c>
      <c r="F940" s="12" t="inlineStr">
        <is>
          <t>Saved and never read in 1.0 (templates Q-09)</t>
        </is>
      </c>
      <c r="G940" s="12" t="inlineStr"/>
      <c r="H940" s="12" t="inlineStr"/>
      <c r="I940" s="17" t="n"/>
      <c r="J940" s="17" t="n"/>
    </row>
    <row r="941">
      <c r="A941" s="12" t="inlineStr">
        <is>
          <t>Accounts Setup → Settings</t>
        </is>
      </c>
      <c r="B941" s="12" t="inlineStr">
        <is>
          <t>QP-11</t>
        </is>
      </c>
      <c r="C941" s="12" t="inlineStr">
        <is>
          <t>Quotes &amp; pricing</t>
        </is>
      </c>
      <c r="D941" s="14" t="inlineStr">
        <is>
          <t>Quote numbering</t>
        </is>
      </c>
      <c r="E941" s="14" t="inlineStr">
        <is>
          <t>Built in parity round 1</t>
        </is>
      </c>
      <c r="F941" s="12" t="inlineStr">
        <is>
          <t>Own pattern built earlier; the example now shows the real next number</t>
        </is>
      </c>
      <c r="G941" s="12" t="inlineStr">
        <is>
          <t>2.25</t>
        </is>
      </c>
      <c r="H941" s="12" t="inlineStr"/>
      <c r="I941" s="17" t="n"/>
      <c r="J941" s="17" t="n"/>
    </row>
    <row r="942">
      <c r="A942" s="12" t="inlineStr">
        <is>
          <t>Accounts Setup → Settings</t>
        </is>
      </c>
      <c r="B942" s="12" t="inlineStr">
        <is>
          <t>QP-12</t>
        </is>
      </c>
      <c r="C942" s="12" t="inlineStr">
        <is>
          <t>Quotes &amp; pricing</t>
        </is>
      </c>
      <c r="D942" s="14" t="inlineStr">
        <is>
          <t>Quote validity</t>
        </is>
      </c>
      <c r="E942" s="14" t="inlineStr">
        <is>
          <t>Built</t>
        </is>
      </c>
      <c r="F942" s="12" t="inlineStr"/>
      <c r="G942" s="12" t="inlineStr"/>
      <c r="H942" s="28" t="inlineStr">
        <is>
          <t>Team check</t>
        </is>
      </c>
      <c r="I942" s="17" t="n"/>
      <c r="J942" s="17" t="n"/>
    </row>
    <row r="943">
      <c r="A943" s="12" t="inlineStr">
        <is>
          <t>Accounts Setup → Settings</t>
        </is>
      </c>
      <c r="B943" s="12" t="inlineStr">
        <is>
          <t>QP-13</t>
        </is>
      </c>
      <c r="C943" s="12" t="inlineStr">
        <is>
          <t>Quotes &amp; pricing</t>
        </is>
      </c>
      <c r="D943" s="14" t="inlineStr">
        <is>
          <t>GST registration and rate</t>
        </is>
      </c>
      <c r="E943" s="14" t="inlineStr">
        <is>
          <t>Built in parity round 1</t>
        </is>
      </c>
      <c r="F943" s="12" t="inlineStr">
        <is>
          <t>The studio's registration and rate under Quotes &amp; pricing</t>
        </is>
      </c>
      <c r="G943" s="12" t="inlineStr">
        <is>
          <t>2.27</t>
        </is>
      </c>
      <c r="H943" s="12" t="inlineStr"/>
      <c r="I943" s="17" t="n"/>
      <c r="J943" s="17" t="n"/>
    </row>
    <row r="944">
      <c r="A944" s="12" t="inlineStr">
        <is>
          <t>Accounts Setup → Settings</t>
        </is>
      </c>
      <c r="B944" s="12" t="inlineStr">
        <is>
          <t>QP-14</t>
        </is>
      </c>
      <c r="C944" s="12" t="inlineStr">
        <is>
          <t>Quotes &amp; pricing</t>
        </is>
      </c>
      <c r="D944" s="14" t="inlineStr">
        <is>
          <t>Rounding selling prices</t>
        </is>
      </c>
      <c r="E944" s="14" t="inlineStr">
        <is>
          <t>Built</t>
        </is>
      </c>
      <c r="F944" s="12" t="inlineStr"/>
      <c r="G944" s="12" t="inlineStr">
        <is>
          <t>2.28</t>
        </is>
      </c>
      <c r="H944" s="12" t="inlineStr"/>
      <c r="I944" s="17" t="n"/>
      <c r="J944" s="17" t="n"/>
    </row>
    <row r="945">
      <c r="A945" s="12" t="inlineStr">
        <is>
          <t>Accounts Setup → Settings</t>
        </is>
      </c>
      <c r="B945" s="12" t="inlineStr">
        <is>
          <t>QP-15</t>
        </is>
      </c>
      <c r="C945" s="12" t="inlineStr">
        <is>
          <t>Quotes &amp; pricing</t>
        </is>
      </c>
      <c r="D945" s="14" t="inlineStr">
        <is>
          <t>Payment schedule defaults</t>
        </is>
      </c>
      <c r="E945" s="14" t="inlineStr">
        <is>
          <t>Built</t>
        </is>
      </c>
      <c r="F945" s="12" t="inlineStr"/>
      <c r="G945" s="12" t="inlineStr"/>
      <c r="H945" s="28" t="inlineStr">
        <is>
          <t>Team check</t>
        </is>
      </c>
      <c r="I945" s="17" t="n"/>
      <c r="J945" s="17" t="n"/>
    </row>
    <row r="946">
      <c r="A946" s="12" t="inlineStr">
        <is>
          <t>Accounts Setup → Settings</t>
        </is>
      </c>
      <c r="B946" s="12" t="inlineStr">
        <is>
          <t>QP-16</t>
        </is>
      </c>
      <c r="C946" s="12" t="inlineStr">
        <is>
          <t>Quotes &amp; pricing</t>
        </is>
      </c>
      <c r="D946" s="14" t="inlineStr">
        <is>
          <t>Terms and notes defaults</t>
        </is>
      </c>
      <c r="E946" s="14" t="inlineStr">
        <is>
          <t>Built</t>
        </is>
      </c>
      <c r="F946" s="12" t="inlineStr"/>
      <c r="G946" s="12" t="inlineStr"/>
      <c r="H946" s="28" t="inlineStr">
        <is>
          <t>Team check</t>
        </is>
      </c>
      <c r="I946" s="17" t="n"/>
      <c r="J946" s="17" t="n"/>
    </row>
    <row r="947">
      <c r="A947" s="12" t="inlineStr">
        <is>
          <t>Accounts Setup → Settings</t>
        </is>
      </c>
      <c r="B947" s="12" t="inlineStr">
        <is>
          <t>QP-17</t>
        </is>
      </c>
      <c r="C947" s="12" t="inlineStr">
        <is>
          <t>Quotes &amp; pricing</t>
        </is>
      </c>
      <c r="D947" s="14" t="inlineStr">
        <is>
          <t>Markup, discount limits, margin floor</t>
        </is>
      </c>
      <c r="E947" s="14" t="inlineStr">
        <is>
          <t>Not built — by design</t>
        </is>
      </c>
      <c r="F947" s="12" t="inlineStr">
        <is>
          <t>Declined (quote editor Q-24)</t>
        </is>
      </c>
      <c r="G947" s="12" t="inlineStr"/>
      <c r="H947" s="12" t="inlineStr"/>
      <c r="I947" s="17" t="n"/>
      <c r="J947" s="17" t="n"/>
    </row>
    <row r="948">
      <c r="A948" s="12" t="inlineStr">
        <is>
          <t>Accounts Setup → Settings</t>
        </is>
      </c>
      <c r="B948" s="12" t="inlineStr">
        <is>
          <t>QP-18</t>
        </is>
      </c>
      <c r="C948" s="12" t="inlineStr">
        <is>
          <t>Quotes &amp; pricing</t>
        </is>
      </c>
      <c r="D948" s="14" t="inlineStr">
        <is>
          <t>Quote switches kept elsewhere</t>
        </is>
      </c>
      <c r="E948" s="14" t="inlineStr">
        <is>
          <t>Built</t>
        </is>
      </c>
      <c r="F948" s="12" t="inlineStr"/>
      <c r="G948" s="12" t="inlineStr">
        <is>
          <t>2.29</t>
        </is>
      </c>
      <c r="H948" s="12" t="inlineStr"/>
      <c r="I948" s="17" t="n"/>
      <c r="J948" s="17" t="n"/>
    </row>
    <row r="949">
      <c r="A949" s="12" t="inlineStr">
        <is>
          <t>Accounts Setup → Settings</t>
        </is>
      </c>
      <c r="B949" s="12" t="inlineStr">
        <is>
          <t>RW-01</t>
        </is>
      </c>
      <c r="C949" s="12" t="inlineStr">
        <is>
          <t>Who may change the studio</t>
        </is>
      </c>
      <c r="D949" s="14" t="inlineStr">
        <is>
          <t>Who the settings let in</t>
        </is>
      </c>
      <c r="E949" s="14" t="inlineStr">
        <is>
          <t>Built in parity round 2</t>
        </is>
      </c>
      <c r="F949" s="12" t="inlineStr">
        <is>
          <t>Owners and Admins change Notifications, Integrations, Profile, brand kit, template defaults</t>
        </is>
      </c>
      <c r="G949" s="12" t="inlineStr">
        <is>
          <t>10.08, 10.15</t>
        </is>
      </c>
      <c r="H949" s="12" t="inlineStr"/>
      <c r="I949" s="17" t="n"/>
      <c r="J949" s="17" t="n"/>
    </row>
    <row r="950">
      <c r="A950" s="12" t="inlineStr">
        <is>
          <t>Accounts Setup → Settings</t>
        </is>
      </c>
      <c r="B950" s="12" t="inlineStr">
        <is>
          <t>RW-02</t>
        </is>
      </c>
      <c r="C950" s="12" t="inlineStr">
        <is>
          <t>Who may change the studio</t>
        </is>
      </c>
      <c r="D950" s="14" t="inlineStr">
        <is>
          <t>Who may change members' roles</t>
        </is>
      </c>
      <c r="E950" s="14" t="inlineStr">
        <is>
          <t>Built in parity round 2</t>
        </is>
      </c>
      <c r="F950" s="12" t="inlineStr">
        <is>
          <t>Only an Owner makes an Owner; nobody changes their own role</t>
        </is>
      </c>
      <c r="G950" s="12" t="inlineStr">
        <is>
          <t>2.11</t>
        </is>
      </c>
      <c r="H950" s="12" t="inlineStr"/>
      <c r="I950" s="17" t="n"/>
      <c r="J950" s="17" t="n"/>
    </row>
    <row r="951">
      <c r="A951" s="12" t="inlineStr">
        <is>
          <t>Accounts Setup → Settings</t>
        </is>
      </c>
      <c r="B951" s="12" t="inlineStr">
        <is>
          <t>RW-03</t>
        </is>
      </c>
      <c r="C951" s="12" t="inlineStr">
        <is>
          <t>Who may change the studio</t>
        </is>
      </c>
      <c r="D951" s="14" t="inlineStr">
        <is>
          <t>The read-only look for other members</t>
        </is>
      </c>
      <c r="E951" s="14" t="inlineStr">
        <is>
          <t>Built in parity round 1</t>
        </is>
      </c>
      <c r="F951" s="12" t="inlineStr">
        <is>
          <t>Controls disabled, one line saying who may change them</t>
        </is>
      </c>
      <c r="G951" s="12" t="inlineStr">
        <is>
          <t>10.08</t>
        </is>
      </c>
      <c r="H951" s="12" t="inlineStr"/>
      <c r="I951" s="17" t="n"/>
      <c r="J951" s="17" t="n"/>
    </row>
    <row r="952">
      <c r="A952" s="12" t="inlineStr">
        <is>
          <t>Accounts Setup → Settings</t>
        </is>
      </c>
      <c r="B952" s="12" t="inlineStr">
        <is>
          <t>RW-04</t>
        </is>
      </c>
      <c r="C952" s="12" t="inlineStr">
        <is>
          <t>Who may change the studio</t>
        </is>
      </c>
      <c r="D952" s="14" t="inlineStr">
        <is>
          <t>The backup approver's check</t>
        </is>
      </c>
      <c r="E952" s="14" t="inlineStr">
        <is>
          <t>Built in parity round 2</t>
        </is>
      </c>
      <c r="F952" s="12" t="inlineStr">
        <is>
          <t>Must be an active member who is neither Owner nor Admin</t>
        </is>
      </c>
      <c r="G952" s="12" t="inlineStr">
        <is>
          <t>2.30</t>
        </is>
      </c>
      <c r="H952" s="12" t="inlineStr"/>
      <c r="I952" s="17" t="n"/>
      <c r="J952" s="17" t="n"/>
    </row>
    <row r="953">
      <c r="A953" s="12" t="inlineStr">
        <is>
          <t>Accounts Setup → Settings</t>
        </is>
      </c>
      <c r="B953" s="12" t="inlineStr">
        <is>
          <t>RL-01</t>
        </is>
      </c>
      <c r="C953" s="12" t="inlineStr">
        <is>
          <t>Lists and records</t>
        </is>
      </c>
      <c r="D953" s="14" t="inlineStr">
        <is>
          <t>Renaming a list entry</t>
        </is>
      </c>
      <c r="E953" s="14" t="inlineStr">
        <is>
          <t>Built in parity round 3</t>
        </is>
      </c>
      <c r="F953" s="12" t="inlineStr">
        <is>
          <t>Sources, reasons and trades rename; their records follow</t>
        </is>
      </c>
      <c r="G953" s="12" t="inlineStr">
        <is>
          <t>2.20, 2.34</t>
        </is>
      </c>
      <c r="H953" s="12" t="inlineStr"/>
      <c r="I953" s="17" t="n"/>
      <c r="J953" s="17" t="n"/>
    </row>
    <row r="954">
      <c r="A954" s="12" t="inlineStr">
        <is>
          <t>Accounts Setup → Settings</t>
        </is>
      </c>
      <c r="B954" s="12" t="inlineStr">
        <is>
          <t>RL-02</t>
        </is>
      </c>
      <c r="C954" s="12" t="inlineStr">
        <is>
          <t>Lists and records</t>
        </is>
      </c>
      <c r="D954" s="14" t="inlineStr">
        <is>
          <t>Reordering a list</t>
        </is>
      </c>
      <c r="E954" s="14" t="inlineStr">
        <is>
          <t>Built in parity round 3</t>
        </is>
      </c>
      <c r="F954" s="12" t="inlineStr">
        <is>
          <t>By "Place in the list" in the entry's box, not by drag</t>
        </is>
      </c>
      <c r="G954" s="12" t="inlineStr">
        <is>
          <t>2.19</t>
        </is>
      </c>
      <c r="H954" s="12" t="inlineStr"/>
      <c r="I954" s="17" t="n"/>
      <c r="J954" s="17" t="n"/>
    </row>
    <row r="955">
      <c r="A955" s="12" t="inlineStr">
        <is>
          <t>Accounts Setup → Settings</t>
        </is>
      </c>
      <c r="B955" s="12" t="inlineStr">
        <is>
          <t>RL-03</t>
        </is>
      </c>
      <c r="C955" s="12" t="inlineStr">
        <is>
          <t>Lists and records</t>
        </is>
      </c>
      <c r="D955" s="14" t="inlineStr">
        <is>
          <t>Removing a list entry</t>
        </is>
      </c>
      <c r="E955" s="14" t="inlineStr">
        <is>
          <t>Built in parity round 3</t>
        </is>
      </c>
      <c r="F955" s="12" t="inlineStr">
        <is>
          <t>Every remove answers with Undo</t>
        </is>
      </c>
      <c r="G955" s="12" t="inlineStr">
        <is>
          <t>2.34, 2.35</t>
        </is>
      </c>
      <c r="H955" s="12" t="inlineStr"/>
      <c r="I955" s="17" t="n"/>
      <c r="J955" s="17" t="n"/>
    </row>
    <row r="956">
      <c r="A956" s="12" t="inlineStr">
        <is>
          <t>Accounts Setup → Settings</t>
        </is>
      </c>
      <c r="B956" s="12" t="inlineStr">
        <is>
          <t>RL-04</t>
        </is>
      </c>
      <c r="C956" s="12" t="inlineStr">
        <is>
          <t>Lists and records</t>
        </is>
      </c>
      <c r="D956" s="14" t="inlineStr">
        <is>
          <t>An entity's identity</t>
        </is>
      </c>
      <c r="E956" s="14" t="inlineStr">
        <is>
          <t>Built in parity round 3</t>
        </is>
      </c>
      <c r="F956" s="12" t="inlineStr">
        <is>
          <t>Known by id; in use means retired, not removed</t>
        </is>
      </c>
      <c r="G956" s="12" t="inlineStr"/>
      <c r="H956" s="28" t="inlineStr">
        <is>
          <t>Team check</t>
        </is>
      </c>
      <c r="I956" s="17" t="n"/>
      <c r="J956" s="17" t="n"/>
    </row>
    <row r="957">
      <c r="A957" s="12" t="inlineStr">
        <is>
          <t>Accounts Setup → Settings</t>
        </is>
      </c>
      <c r="B957" s="12" t="inlineStr">
        <is>
          <t>RL-05</t>
        </is>
      </c>
      <c r="C957" s="12" t="inlineStr">
        <is>
          <t>Lists and records</t>
        </is>
      </c>
      <c r="D957" s="14" t="inlineStr">
        <is>
          <t>The intake address</t>
        </is>
      </c>
      <c r="E957" s="14" t="inlineStr">
        <is>
          <t>2.0 only</t>
        </is>
      </c>
      <c r="F957" s="12" t="inlineStr">
        <is>
          <t>Round 3 keeps the address once set</t>
        </is>
      </c>
      <c r="G957" s="12" t="inlineStr">
        <is>
          <t>2.24</t>
        </is>
      </c>
      <c r="H957" s="12" t="inlineStr"/>
      <c r="I957" s="17" t="n"/>
      <c r="J957" s="17" t="n"/>
    </row>
    <row r="958">
      <c r="A958" s="12" t="inlineStr">
        <is>
          <t>Accounts Setup → Settings</t>
        </is>
      </c>
      <c r="B958" s="12" t="inlineStr">
        <is>
          <t>AZ-01</t>
        </is>
      </c>
      <c r="C958" s="12" t="inlineStr">
        <is>
          <t>Touchpoints</t>
        </is>
      </c>
      <c r="D958" s="14" t="inlineStr">
        <is>
          <t>Price book gate, categories, tiers, approval, history</t>
        </is>
      </c>
      <c r="E958" s="14" t="inlineStr">
        <is>
          <t>Built</t>
        </is>
      </c>
      <c r="F958" s="12" t="inlineStr">
        <is>
          <t>Price book parity (REG-649…655); volume tiers declined</t>
        </is>
      </c>
      <c r="G958" s="12" t="inlineStr"/>
      <c r="H958" s="28" t="inlineStr">
        <is>
          <t>Team check</t>
        </is>
      </c>
      <c r="I958" s="17" t="n"/>
      <c r="J958" s="17" t="n"/>
    </row>
    <row r="959">
      <c r="A959" s="12" t="inlineStr">
        <is>
          <t>Accounts Setup → Settings</t>
        </is>
      </c>
      <c r="B959" s="12" t="inlineStr">
        <is>
          <t>AZ-02</t>
        </is>
      </c>
      <c r="C959" s="12" t="inlineStr">
        <is>
          <t>Touchpoints</t>
        </is>
      </c>
      <c r="D959" s="14" t="inlineStr">
        <is>
          <t>Invoice, PO and VO templates; numbering; Accounting role</t>
        </is>
      </c>
      <c r="E959" s="14" t="inlineStr">
        <is>
          <t>Later</t>
        </is>
      </c>
      <c r="F959" s="12" t="inlineStr">
        <is>
          <t>Come with the Finance module</t>
        </is>
      </c>
      <c r="G959" s="12" t="inlineStr"/>
      <c r="H959" s="12" t="inlineStr"/>
      <c r="I959" s="17" t="n"/>
      <c r="J959" s="17" t="n"/>
    </row>
    <row r="960">
      <c r="A960" s="12" t="inlineStr">
        <is>
          <t>Accounts Setup → Settings</t>
        </is>
      </c>
      <c r="B960" s="12" t="inlineStr">
        <is>
          <t>AZ-03</t>
        </is>
      </c>
      <c r="C960" s="12" t="inlineStr">
        <is>
          <t>Touchpoints</t>
        </is>
      </c>
      <c r="D960" s="14" t="inlineStr">
        <is>
          <t>Project types and timeline templates</t>
        </is>
      </c>
      <c r="E960" s="14" t="inlineStr">
        <is>
          <t>Later</t>
        </is>
      </c>
      <c r="F960" s="12" t="inlineStr">
        <is>
          <t>Come with the Projects module</t>
        </is>
      </c>
      <c r="G960" s="12" t="inlineStr"/>
      <c r="H960" s="12" t="inlineStr"/>
      <c r="I960" s="17" t="n"/>
      <c r="J960" s="17" t="n"/>
    </row>
    <row r="961">
      <c r="A961" s="12" t="inlineStr">
        <is>
          <t>Accounts Setup → Settings</t>
        </is>
      </c>
      <c r="B961" s="12" t="inlineStr">
        <is>
          <t>AZ-04</t>
        </is>
      </c>
      <c r="C961" s="12" t="inlineStr">
        <is>
          <t>Touchpoints</t>
        </is>
      </c>
      <c r="D961" s="14" t="inlineStr">
        <is>
          <t>Branding &amp; Comms, homeowner portal, AI &amp; Copilot groups</t>
        </is>
      </c>
      <c r="E961" s="14" t="inlineStr">
        <is>
          <t>Later</t>
        </is>
      </c>
      <c r="F961" s="12" t="inlineStr">
        <is>
          <t>Their own modules, audited later</t>
        </is>
      </c>
      <c r="G961" s="12" t="inlineStr"/>
      <c r="H961" s="12" t="inlineStr"/>
      <c r="I961" s="17" t="n"/>
      <c r="J961" s="17" t="n"/>
    </row>
    <row r="962">
      <c r="A962" s="12" t="inlineStr">
        <is>
          <t>Accounts Setup → Settings</t>
        </is>
      </c>
      <c r="B962" s="12" t="inlineStr">
        <is>
          <t>AZ-05</t>
        </is>
      </c>
      <c r="C962" s="12" t="inlineStr">
        <is>
          <t>Touchpoints</t>
        </is>
      </c>
      <c r="D962" s="14" t="inlineStr">
        <is>
          <t>The UI sweep's backlog</t>
        </is>
      </c>
      <c r="E962" s="14" t="inlineStr">
        <is>
          <t>Built</t>
        </is>
      </c>
      <c r="F962" s="12" t="inlineStr">
        <is>
          <t>Handled by the UI consistency sweep (REG-656…660)</t>
        </is>
      </c>
      <c r="G962" s="12" t="inlineStr"/>
      <c r="H962" s="28" t="inlineStr">
        <is>
          <t>Team check</t>
        </is>
      </c>
      <c r="I962" s="17" t="n"/>
      <c r="J962" s="17" t="n"/>
    </row>
    <row r="963">
      <c r="A963" s="12" t="inlineStr">
        <is>
          <t>Price book</t>
        </is>
      </c>
      <c r="B963" s="12" t="inlineStr">
        <is>
          <t>DEF-01</t>
        </is>
      </c>
      <c r="C963" s="12" t="inlineStr">
        <is>
          <t>Definitions</t>
        </is>
      </c>
      <c r="D963" s="14" t="inlineStr">
        <is>
          <t>Price book under Accounts with four tabs</t>
        </is>
      </c>
      <c r="E963" s="14" t="inlineStr">
        <is>
          <t>Built</t>
        </is>
      </c>
      <c r="F963" s="12" t="inlineStr">
        <is>
          <t>Company › Price book: My Items and My Sections</t>
        </is>
      </c>
      <c r="G963" s="12" t="inlineStr">
        <is>
          <t>3.01</t>
        </is>
      </c>
      <c r="H963" s="12" t="inlineStr"/>
      <c r="I963" s="17" t="n"/>
      <c r="J963" s="17" t="n"/>
    </row>
    <row r="964">
      <c r="A964" s="12" t="inlineStr">
        <is>
          <t>Price book</t>
        </is>
      </c>
      <c r="B964" s="12" t="inlineStr">
        <is>
          <t>DEF-02</t>
        </is>
      </c>
      <c r="C964" s="12" t="inlineStr">
        <is>
          <t>Definitions</t>
        </is>
      </c>
      <c r="D964" s="14" t="inlineStr">
        <is>
          <t>What an item carries (SKU, tiers, tags, image…)</t>
        </is>
      </c>
      <c r="E964" s="14" t="inlineStr">
        <is>
          <t>Built in parity round 3</t>
        </is>
      </c>
      <c r="F964" s="12" t="inlineStr">
        <is>
          <t>Link, photo and formatted description; no SKU, tags, notes or tiers</t>
        </is>
      </c>
      <c r="G964" s="12" t="inlineStr">
        <is>
          <t>3.03, 3.05</t>
        </is>
      </c>
      <c r="H964" s="12" t="inlineStr"/>
      <c r="I964" s="17" t="n"/>
      <c r="J964" s="17" t="n"/>
    </row>
    <row r="965">
      <c r="A965" s="12" t="inlineStr">
        <is>
          <t>Price book</t>
        </is>
      </c>
      <c r="B965" s="12" t="inlineStr">
        <is>
          <t>DEF-03</t>
        </is>
      </c>
      <c r="C965" s="12" t="inlineStr">
        <is>
          <t>Definitions</t>
        </is>
      </c>
      <c r="D965" s="14" t="inlineStr">
        <is>
          <t>Prices as sell, cost and markup %</t>
        </is>
      </c>
      <c r="E965" s="14" t="inlineStr">
        <is>
          <t>Built in parity round 1</t>
        </is>
      </c>
      <c r="F965" s="12" t="inlineStr">
        <is>
          <t>Cost + markup in S$, cents kept</t>
        </is>
      </c>
      <c r="G965" s="12" t="inlineStr">
        <is>
          <t>3.03</t>
        </is>
      </c>
      <c r="H965" s="12" t="inlineStr"/>
      <c r="I965" s="17" t="n"/>
      <c r="J965" s="17" t="n"/>
    </row>
    <row r="966">
      <c r="A966" s="12" t="inlineStr">
        <is>
          <t>Price book</t>
        </is>
      </c>
      <c r="B966" s="12" t="inlineStr">
        <is>
          <t>DEF-04</t>
        </is>
      </c>
      <c r="C966" s="12" t="inlineStr">
        <is>
          <t>Definitions</t>
        </is>
      </c>
      <c r="D966" s="14" t="inlineStr">
        <is>
          <t>Category from the studio's quote categories</t>
        </is>
      </c>
      <c r="E966" s="14" t="inlineStr">
        <is>
          <t>Built in parity round 1</t>
        </is>
      </c>
      <c r="F966" s="12" t="inlineStr"/>
      <c r="G966" s="12" t="inlineStr">
        <is>
          <t>3.04, 3.13</t>
        </is>
      </c>
      <c r="H966" s="12" t="inlineStr"/>
      <c r="I966" s="17" t="n"/>
      <c r="J966" s="17" t="n"/>
    </row>
    <row r="967">
      <c r="A967" s="12" t="inlineStr">
        <is>
          <t>Price book</t>
        </is>
      </c>
      <c r="B967" s="12" t="inlineStr">
        <is>
          <t>DEF-05</t>
        </is>
      </c>
      <c r="C967" s="12" t="inlineStr">
        <is>
          <t>Definitions</t>
        </is>
      </c>
      <c r="D967" s="14" t="inlineStr">
        <is>
          <t>Several vendors per item</t>
        </is>
      </c>
      <c r="E967" s="14" t="inlineStr">
        <is>
          <t>Built</t>
        </is>
      </c>
      <c r="F967" s="12" t="inlineStr">
        <is>
          <t>One vendor per item; two vendors make two items</t>
        </is>
      </c>
      <c r="G967" s="12" t="inlineStr">
        <is>
          <t>3.02</t>
        </is>
      </c>
      <c r="H967" s="12" t="inlineStr"/>
      <c r="I967" s="17" t="n"/>
      <c r="J967" s="17" t="n"/>
    </row>
    <row r="968">
      <c r="A968" s="12" t="inlineStr">
        <is>
          <t>Price book</t>
        </is>
      </c>
      <c r="B968" s="12" t="inlineStr">
        <is>
          <t>DEF-06</t>
        </is>
      </c>
      <c r="C968" s="12" t="inlineStr">
        <is>
          <t>Definitions</t>
        </is>
      </c>
      <c r="D968" s="14" t="inlineStr">
        <is>
          <t>Non-owners' items wait for approval</t>
        </is>
      </c>
      <c r="E968" s="14" t="inlineStr">
        <is>
          <t>Built in parity round 2</t>
        </is>
      </c>
      <c r="F968" s="12" t="inlineStr"/>
      <c r="G968" s="12" t="inlineStr">
        <is>
          <t>3.09, 10.05</t>
        </is>
      </c>
      <c r="H968" s="12" t="inlineStr"/>
      <c r="I968" s="17" t="n"/>
      <c r="J968" s="17" t="n"/>
    </row>
    <row r="969">
      <c r="A969" s="12" t="inlineStr">
        <is>
          <t>Price book</t>
        </is>
      </c>
      <c r="B969" s="12" t="inlineStr">
        <is>
          <t>DEF-07</t>
        </is>
      </c>
      <c r="C969" s="12" t="inlineStr">
        <is>
          <t>Definitions</t>
        </is>
      </c>
      <c r="D969" s="14" t="inlineStr">
        <is>
          <t>Price history</t>
        </is>
      </c>
      <c r="E969" s="14" t="inlineStr">
        <is>
          <t>Built in parity round 2</t>
        </is>
      </c>
      <c r="F969" s="12" t="inlineStr"/>
      <c r="G969" s="12" t="inlineStr">
        <is>
          <t>3.06</t>
        </is>
      </c>
      <c r="H969" s="12" t="inlineStr"/>
      <c r="I969" s="17" t="n"/>
      <c r="J969" s="17" t="n"/>
    </row>
    <row r="970">
      <c r="A970" s="12" t="inlineStr">
        <is>
          <t>Price book</t>
        </is>
      </c>
      <c r="B970" s="12" t="inlineStr">
        <is>
          <t>DEF-08</t>
        </is>
      </c>
      <c r="C970" s="12" t="inlineStr">
        <is>
          <t>Definitions</t>
        </is>
      </c>
      <c r="D970" s="14" t="inlineStr">
        <is>
          <t>Saved groups of lines (packages)</t>
        </is>
      </c>
      <c r="E970" s="14" t="inlineStr">
        <is>
          <t>Built</t>
        </is>
      </c>
      <c r="F970" s="12" t="inlineStr">
        <is>
          <t>My Sections</t>
        </is>
      </c>
      <c r="G970" s="12" t="inlineStr">
        <is>
          <t>3.16</t>
        </is>
      </c>
      <c r="H970" s="12" t="inlineStr"/>
      <c r="I970" s="17" t="n"/>
      <c r="J970" s="17" t="n"/>
    </row>
    <row r="971">
      <c r="A971" s="12" t="inlineStr">
        <is>
          <t>Price book</t>
        </is>
      </c>
      <c r="B971" s="12" t="inlineStr">
        <is>
          <t>DEF-09</t>
        </is>
      </c>
      <c r="C971" s="12" t="inlineStr">
        <is>
          <t>Definitions</t>
        </is>
      </c>
      <c r="D971" s="14" t="inlineStr">
        <is>
          <t>A quote line copied from the book</t>
        </is>
      </c>
      <c r="E971" s="14" t="inlineStr">
        <is>
          <t>Built</t>
        </is>
      </c>
      <c r="F971" s="12" t="inlineStr"/>
      <c r="G971" s="12" t="inlineStr"/>
      <c r="H971" s="28" t="inlineStr">
        <is>
          <t>Team check</t>
        </is>
      </c>
      <c r="I971" s="17" t="n"/>
      <c r="J971" s="17" t="n"/>
    </row>
    <row r="972">
      <c r="A972" s="12" t="inlineStr">
        <is>
          <t>Price book</t>
        </is>
      </c>
      <c r="B972" s="12" t="inlineStr">
        <is>
          <t>DEF-10</t>
        </is>
      </c>
      <c r="C972" s="12" t="inlineStr">
        <is>
          <t>Definitions</t>
        </is>
      </c>
      <c r="D972" s="14" t="inlineStr">
        <is>
          <t>Drift against market rates</t>
        </is>
      </c>
      <c r="E972" s="14" t="inlineStr">
        <is>
          <t>Platform</t>
        </is>
      </c>
      <c r="F972" s="12" t="inlineStr">
        <is>
          <t>Market rates are the platform's (Q-16)</t>
        </is>
      </c>
      <c r="G972" s="12" t="inlineStr"/>
      <c r="H972" s="12" t="inlineStr"/>
      <c r="I972" s="17" t="n"/>
      <c r="J972" s="17" t="n"/>
    </row>
    <row r="973">
      <c r="A973" s="12" t="inlineStr">
        <is>
          <t>Price book</t>
        </is>
      </c>
      <c r="B973" s="12" t="inlineStr">
        <is>
          <t>MM-01</t>
        </is>
      </c>
      <c r="C973" s="12" t="inlineStr">
        <is>
          <t>Mismatches</t>
        </is>
      </c>
      <c r="D973" s="14" t="inlineStr">
        <is>
          <t>Who may change the book</t>
        </is>
      </c>
      <c r="E973" s="14" t="inlineStr">
        <is>
          <t>Built in parity round 2</t>
        </is>
      </c>
      <c r="F973" s="12" t="inlineStr"/>
      <c r="G973" s="12" t="inlineStr">
        <is>
          <t>10.05</t>
        </is>
      </c>
      <c r="H973" s="12" t="inlineStr"/>
      <c r="I973" s="17" t="n"/>
      <c r="J973" s="17" t="n"/>
    </row>
    <row r="974">
      <c r="A974" s="12" t="inlineStr">
        <is>
          <t>Price book</t>
        </is>
      </c>
      <c r="B974" s="12" t="inlineStr">
        <is>
          <t>MM-02</t>
        </is>
      </c>
      <c r="C974" s="12" t="inlineStr">
        <is>
          <t>Mismatches</t>
        </is>
      </c>
      <c r="D974" s="14" t="inlineStr">
        <is>
          <t>An item's category</t>
        </is>
      </c>
      <c r="E974" s="14" t="inlineStr">
        <is>
          <t>Built in parity round 1</t>
        </is>
      </c>
      <c r="F974" s="12" t="inlineStr"/>
      <c r="G974" s="12" t="inlineStr">
        <is>
          <t>3.04</t>
        </is>
      </c>
      <c r="H974" s="12" t="inlineStr"/>
      <c r="I974" s="17" t="n"/>
      <c r="J974" s="17" t="n"/>
    </row>
    <row r="975">
      <c r="A975" s="12" t="inlineStr">
        <is>
          <t>Price book</t>
        </is>
      </c>
      <c r="B975" s="12" t="inlineStr">
        <is>
          <t>MM-03</t>
        </is>
      </c>
      <c r="C975" s="12" t="inlineStr">
        <is>
          <t>Mismatches</t>
        </is>
      </c>
      <c r="D975" s="14" t="inlineStr">
        <is>
          <t>Money boxes that take decimals</t>
        </is>
      </c>
      <c r="E975" s="14" t="inlineStr">
        <is>
          <t>Built in parity round 1</t>
        </is>
      </c>
      <c r="F975" s="12" t="inlineStr"/>
      <c r="G975" s="12" t="inlineStr">
        <is>
          <t>3.03</t>
        </is>
      </c>
      <c r="H975" s="12" t="inlineStr"/>
      <c r="I975" s="17" t="n"/>
      <c r="J975" s="17" t="n"/>
    </row>
    <row r="976">
      <c r="A976" s="12" t="inlineStr">
        <is>
          <t>Price book</t>
        </is>
      </c>
      <c r="B976" s="12" t="inlineStr">
        <is>
          <t>MM-04</t>
        </is>
      </c>
      <c r="C976" s="12" t="inlineStr">
        <is>
          <t>Mismatches</t>
        </is>
      </c>
      <c r="D976" s="14" t="inlineStr">
        <is>
          <t>Rounding a price</t>
        </is>
      </c>
      <c r="E976" s="14" t="inlineStr">
        <is>
          <t>Built in parity round 1</t>
        </is>
      </c>
      <c r="F976" s="12" t="inlineStr">
        <is>
          <t>Rates per area or length stay as typed</t>
        </is>
      </c>
      <c r="G976" s="12" t="inlineStr"/>
      <c r="H976" s="28" t="inlineStr">
        <is>
          <t>Team check</t>
        </is>
      </c>
      <c r="I976" s="17" t="n"/>
      <c r="J976" s="17" t="n"/>
    </row>
    <row r="977">
      <c r="A977" s="12" t="inlineStr">
        <is>
          <t>Price book</t>
        </is>
      </c>
      <c r="B977" s="12" t="inlineStr">
        <is>
          <t>MM-05</t>
        </is>
      </c>
      <c r="C977" s="12" t="inlineStr">
        <is>
          <t>Mismatches</t>
        </is>
      </c>
      <c r="D977" s="14" t="inlineStr">
        <is>
          <t>Imports: CSV, and PDFs or images read by AI</t>
        </is>
      </c>
      <c r="E977" s="14" t="inlineStr">
        <is>
          <t>Built in parity round 4</t>
        </is>
      </c>
      <c r="F977" s="12" t="inlineStr">
        <is>
          <t>CSV, XLSX or pasted rows; XLS, PDF and image reading not built</t>
        </is>
      </c>
      <c r="G977" s="12" t="inlineStr">
        <is>
          <t>3.12</t>
        </is>
      </c>
      <c r="H977" s="12" t="inlineStr"/>
      <c r="I977" s="17" t="n"/>
      <c r="J977" s="17" t="n"/>
    </row>
    <row r="978">
      <c r="A978" s="12" t="inlineStr">
        <is>
          <t>Price book</t>
        </is>
      </c>
      <c r="B978" s="12" t="inlineStr">
        <is>
          <t>MM-06</t>
        </is>
      </c>
      <c r="C978" s="12" t="inlineStr">
        <is>
          <t>Mismatches</t>
        </is>
      </c>
      <c r="D978" s="14" t="inlineStr">
        <is>
          <t>Saving a quote line to the book</t>
        </is>
      </c>
      <c r="E978" s="14" t="inlineStr">
        <is>
          <t>Built in parity round 3</t>
        </is>
      </c>
      <c r="F978" s="12" t="inlineStr"/>
      <c r="G978" s="12" t="inlineStr"/>
      <c r="H978" s="28" t="inlineStr">
        <is>
          <t>Team check</t>
        </is>
      </c>
      <c r="I978" s="17" t="n"/>
      <c r="J978" s="17" t="n"/>
    </row>
    <row r="979">
      <c r="A979" s="12" t="inlineStr">
        <is>
          <t>Price book</t>
        </is>
      </c>
      <c r="B979" s="12" t="inlineStr">
        <is>
          <t>PL-01</t>
        </is>
      </c>
      <c r="C979" s="12" t="inlineStr">
        <is>
          <t>The page and the list</t>
        </is>
      </c>
      <c r="D979" s="14" t="inlineStr">
        <is>
          <t>Price Book tabs: Items, Pending, Drift, Imports</t>
        </is>
      </c>
      <c r="E979" s="14" t="inlineStr">
        <is>
          <t>Built</t>
        </is>
      </c>
      <c r="F979" s="12" t="inlineStr"/>
      <c r="G979" s="12" t="inlineStr">
        <is>
          <t>3.01</t>
        </is>
      </c>
      <c r="H979" s="12" t="inlineStr"/>
      <c r="I979" s="17" t="n"/>
      <c r="J979" s="17" t="n"/>
    </row>
    <row r="980">
      <c r="A980" s="12" t="inlineStr">
        <is>
          <t>Price book</t>
        </is>
      </c>
      <c r="B980" s="12" t="inlineStr">
        <is>
          <t>PL-02</t>
        </is>
      </c>
      <c r="C980" s="12" t="inlineStr">
        <is>
          <t>The page and the list</t>
        </is>
      </c>
      <c r="D980" s="14" t="inlineStr">
        <is>
          <t>Loading every item</t>
        </is>
      </c>
      <c r="E980" s="14" t="inlineStr">
        <is>
          <t>Built</t>
        </is>
      </c>
      <c r="F980" s="12" t="inlineStr"/>
      <c r="G980" s="12" t="inlineStr">
        <is>
          <t>3.01</t>
        </is>
      </c>
      <c r="H980" s="12" t="inlineStr"/>
      <c r="I980" s="17" t="n"/>
      <c r="J980" s="17" t="n"/>
    </row>
    <row r="981">
      <c r="A981" s="12" t="inlineStr">
        <is>
          <t>Price book</t>
        </is>
      </c>
      <c r="B981" s="12" t="inlineStr">
        <is>
          <t>PL-03</t>
        </is>
      </c>
      <c r="C981" s="12" t="inlineStr">
        <is>
          <t>The page and the list</t>
        </is>
      </c>
      <c r="D981" s="14" t="inlineStr">
        <is>
          <t>Stats line with counts</t>
        </is>
      </c>
      <c r="E981" s="14" t="inlineStr">
        <is>
          <t>Built</t>
        </is>
      </c>
      <c r="F981" s="12" t="inlineStr"/>
      <c r="G981" s="12" t="inlineStr">
        <is>
          <t>3.01</t>
        </is>
      </c>
      <c r="H981" s="12" t="inlineStr"/>
      <c r="I981" s="17" t="n"/>
      <c r="J981" s="17" t="n"/>
    </row>
    <row r="982">
      <c r="A982" s="12" t="inlineStr">
        <is>
          <t>Price book</t>
        </is>
      </c>
      <c r="B982" s="12" t="inlineStr">
        <is>
          <t>PL-04</t>
        </is>
      </c>
      <c r="C982" s="12" t="inlineStr">
        <is>
          <t>The page and the list</t>
        </is>
      </c>
      <c r="D982" s="14" t="inlineStr">
        <is>
          <t>Search and filters</t>
        </is>
      </c>
      <c r="E982" s="14" t="inlineStr">
        <is>
          <t>Built in parity round 4</t>
        </is>
      </c>
      <c r="F982" s="12" t="inlineStr"/>
      <c r="G982" s="12" t="inlineStr">
        <is>
          <t>3.08</t>
        </is>
      </c>
      <c r="H982" s="12" t="inlineStr"/>
      <c r="I982" s="17" t="n"/>
      <c r="J982" s="17" t="n"/>
    </row>
    <row r="983">
      <c r="A983" s="12" t="inlineStr">
        <is>
          <t>Price book</t>
        </is>
      </c>
      <c r="B983" s="12" t="inlineStr">
        <is>
          <t>PL-05</t>
        </is>
      </c>
      <c r="C983" s="12" t="inlineStr">
        <is>
          <t>The page and the list</t>
        </is>
      </c>
      <c r="D983" s="14" t="inlineStr">
        <is>
          <t>Items grouped by category</t>
        </is>
      </c>
      <c r="E983" s="14" t="inlineStr">
        <is>
          <t>Built in parity round 4</t>
        </is>
      </c>
      <c r="F983" s="12" t="inlineStr">
        <is>
          <t>A Category filter and folders instead of collapsible groups</t>
        </is>
      </c>
      <c r="G983" s="12" t="inlineStr">
        <is>
          <t>3.08</t>
        </is>
      </c>
      <c r="H983" s="12" t="inlineStr"/>
      <c r="I983" s="17" t="n"/>
      <c r="J983" s="17" t="n"/>
    </row>
    <row r="984">
      <c r="A984" s="12" t="inlineStr">
        <is>
          <t>Price book</t>
        </is>
      </c>
      <c r="B984" s="12" t="inlineStr">
        <is>
          <t>PL-06</t>
        </is>
      </c>
      <c r="C984" s="12" t="inlineStr">
        <is>
          <t>The page and the list</t>
        </is>
      </c>
      <c r="D984" s="14" t="inlineStr">
        <is>
          <t>Sort by column</t>
        </is>
      </c>
      <c r="E984" s="14" t="inlineStr">
        <is>
          <t>Built in parity round 4</t>
        </is>
      </c>
      <c r="F984" s="12" t="inlineStr"/>
      <c r="G984" s="12" t="inlineStr">
        <is>
          <t>3.07</t>
        </is>
      </c>
      <c r="H984" s="12" t="inlineStr"/>
      <c r="I984" s="17" t="n"/>
      <c r="J984" s="17" t="n"/>
    </row>
    <row r="985">
      <c r="A985" s="12" t="inlineStr">
        <is>
          <t>Price book</t>
        </is>
      </c>
      <c r="B985" s="12" t="inlineStr">
        <is>
          <t>PL-07</t>
        </is>
      </c>
      <c r="C985" s="12" t="inlineStr">
        <is>
          <t>The page and the list</t>
        </is>
      </c>
      <c r="D985" s="14" t="inlineStr">
        <is>
          <t>Select many: archive, restore, change category</t>
        </is>
      </c>
      <c r="E985" s="14" t="inlineStr">
        <is>
          <t>Built in parity round 4</t>
        </is>
      </c>
      <c r="F985" s="12" t="inlineStr"/>
      <c r="G985" s="12" t="inlineStr">
        <is>
          <t>3.10</t>
        </is>
      </c>
      <c r="H985" s="12" t="inlineStr"/>
      <c r="I985" s="17" t="n"/>
      <c r="J985" s="17" t="n"/>
    </row>
    <row r="986">
      <c r="A986" s="12" t="inlineStr">
        <is>
          <t>Price book</t>
        </is>
      </c>
      <c r="B986" s="12" t="inlineStr">
        <is>
          <t>PL-08</t>
        </is>
      </c>
      <c r="C986" s="12" t="inlineStr">
        <is>
          <t>The page and the list</t>
        </is>
      </c>
      <c r="D986" s="14" t="inlineStr">
        <is>
          <t>Drag to reorder and re-file</t>
        </is>
      </c>
      <c r="E986" s="14" t="inlineStr">
        <is>
          <t>Not built — by design</t>
        </is>
      </c>
      <c r="F986" s="12" t="inlineStr">
        <is>
          <t>The book sorts; a category is set, not dropped (Q-15)</t>
        </is>
      </c>
      <c r="G986" s="12" t="inlineStr"/>
      <c r="H986" s="12" t="inlineStr"/>
      <c r="I986" s="17" t="n"/>
      <c r="J986" s="17" t="n"/>
    </row>
    <row r="987">
      <c r="A987" s="12" t="inlineStr">
        <is>
          <t>Price book</t>
        </is>
      </c>
      <c r="B987" s="12" t="inlineStr">
        <is>
          <t>PL-09</t>
        </is>
      </c>
      <c r="C987" s="12" t="inlineStr">
        <is>
          <t>The page and the list</t>
        </is>
      </c>
      <c r="D987" s="14" t="inlineStr">
        <is>
          <t>Archive, restore, delete permanently</t>
        </is>
      </c>
      <c r="E987" s="14" t="inlineStr">
        <is>
          <t>Built in parity round 3</t>
        </is>
      </c>
      <c r="F987" s="12" t="inlineStr"/>
      <c r="G987" s="12" t="inlineStr">
        <is>
          <t>3.14, 3.15</t>
        </is>
      </c>
      <c r="H987" s="12" t="inlineStr"/>
      <c r="I987" s="17" t="n"/>
      <c r="J987" s="17" t="n"/>
    </row>
    <row r="988">
      <c r="A988" s="12" t="inlineStr">
        <is>
          <t>Price book</t>
        </is>
      </c>
      <c r="B988" s="12" t="inlineStr">
        <is>
          <t>PL-10</t>
        </is>
      </c>
      <c r="C988" s="12" t="inlineStr">
        <is>
          <t>The page and the list</t>
        </is>
      </c>
      <c r="D988" s="14" t="inlineStr">
        <is>
          <t>The price book on a phone</t>
        </is>
      </c>
      <c r="E988" s="14" t="inlineStr">
        <is>
          <t>Built</t>
        </is>
      </c>
      <c r="F988" s="12" t="inlineStr"/>
      <c r="G988" s="12" t="inlineStr"/>
      <c r="H988" s="28" t="inlineStr">
        <is>
          <t>Team check</t>
        </is>
      </c>
      <c r="I988" s="17" t="n"/>
      <c r="J988" s="17" t="n"/>
    </row>
    <row r="989">
      <c r="A989" s="12" t="inlineStr">
        <is>
          <t>Price book</t>
        </is>
      </c>
      <c r="B989" s="12" t="inlineStr">
        <is>
          <t>IT-01</t>
        </is>
      </c>
      <c r="C989" s="12" t="inlineStr">
        <is>
          <t>An item</t>
        </is>
      </c>
      <c r="D989" s="14" t="inlineStr">
        <is>
          <t>Name, SKU and description</t>
        </is>
      </c>
      <c r="E989" s="14" t="inlineStr">
        <is>
          <t>Built in parity round 3</t>
        </is>
      </c>
      <c r="F989" s="12" t="inlineStr">
        <is>
          <t>Formatted description; no SKU (Q-08)</t>
        </is>
      </c>
      <c r="G989" s="12" t="inlineStr">
        <is>
          <t>3.03</t>
        </is>
      </c>
      <c r="H989" s="12" t="inlineStr"/>
      <c r="I989" s="17" t="n"/>
      <c r="J989" s="17" t="n"/>
    </row>
    <row r="990">
      <c r="A990" s="12" t="inlineStr">
        <is>
          <t>Price book</t>
        </is>
      </c>
      <c r="B990" s="12" t="inlineStr">
        <is>
          <t>IT-02</t>
        </is>
      </c>
      <c r="C990" s="12" t="inlineStr">
        <is>
          <t>An item</t>
        </is>
      </c>
      <c r="D990" s="14" t="inlineStr">
        <is>
          <t>Category and sub-category</t>
        </is>
      </c>
      <c r="E990" s="14" t="inlineStr">
        <is>
          <t>Built in parity round 1</t>
        </is>
      </c>
      <c r="F990" s="12" t="inlineStr">
        <is>
          <t>Category is a studio trade; no sub-categories</t>
        </is>
      </c>
      <c r="G990" s="12" t="inlineStr">
        <is>
          <t>3.04</t>
        </is>
      </c>
      <c r="H990" s="12" t="inlineStr"/>
      <c r="I990" s="17" t="n"/>
      <c r="J990" s="17" t="n"/>
    </row>
    <row r="991">
      <c r="A991" s="12" t="inlineStr">
        <is>
          <t>Price book</t>
        </is>
      </c>
      <c r="B991" s="12" t="inlineStr">
        <is>
          <t>IT-03</t>
        </is>
      </c>
      <c r="C991" s="12" t="inlineStr">
        <is>
          <t>An item</t>
        </is>
      </c>
      <c r="D991" s="14" t="inlineStr">
        <is>
          <t>Sell, cost and markup</t>
        </is>
      </c>
      <c r="E991" s="14" t="inlineStr">
        <is>
          <t>Built in parity round 1</t>
        </is>
      </c>
      <c r="F991" s="12" t="inlineStr"/>
      <c r="G991" s="12" t="inlineStr">
        <is>
          <t>3.03</t>
        </is>
      </c>
      <c r="H991" s="12" t="inlineStr"/>
      <c r="I991" s="17" t="n"/>
      <c r="J991" s="17" t="n"/>
    </row>
    <row r="992">
      <c r="A992" s="12" t="inlineStr">
        <is>
          <t>Price book</t>
        </is>
      </c>
      <c r="B992" s="12" t="inlineStr">
        <is>
          <t>IT-04</t>
        </is>
      </c>
      <c r="C992" s="12" t="inlineStr">
        <is>
          <t>An item</t>
        </is>
      </c>
      <c r="D992" s="14" t="inlineStr">
        <is>
          <t>Unit, cost type, waste %</t>
        </is>
      </c>
      <c r="E992" s="14" t="inlineStr">
        <is>
          <t>Built</t>
        </is>
      </c>
      <c r="F992" s="12" t="inlineStr">
        <is>
          <t>Unit and kind; no waste % (Finance)</t>
        </is>
      </c>
      <c r="G992" s="12" t="inlineStr">
        <is>
          <t>3.03</t>
        </is>
      </c>
      <c r="H992" s="12" t="inlineStr"/>
      <c r="I992" s="17" t="n"/>
      <c r="J992" s="17" t="n"/>
    </row>
    <row r="993">
      <c r="A993" s="12" t="inlineStr">
        <is>
          <t>Price book</t>
        </is>
      </c>
      <c r="B993" s="12" t="inlineStr">
        <is>
          <t>IT-05</t>
        </is>
      </c>
      <c r="C993" s="12" t="inlineStr">
        <is>
          <t>An item</t>
        </is>
      </c>
      <c r="D993" s="14" t="inlineStr">
        <is>
          <t>Several vendors</t>
        </is>
      </c>
      <c r="E993" s="14" t="inlineStr">
        <is>
          <t>Built</t>
        </is>
      </c>
      <c r="F993" s="12" t="inlineStr">
        <is>
          <t>One vendor per item</t>
        </is>
      </c>
      <c r="G993" s="12" t="inlineStr">
        <is>
          <t>3.02</t>
        </is>
      </c>
      <c r="H993" s="12" t="inlineStr"/>
      <c r="I993" s="17" t="n"/>
      <c r="J993" s="17" t="n"/>
    </row>
    <row r="994">
      <c r="A994" s="12" t="inlineStr">
        <is>
          <t>Price book</t>
        </is>
      </c>
      <c r="B994" s="12" t="inlineStr">
        <is>
          <t>IT-06</t>
        </is>
      </c>
      <c r="C994" s="12" t="inlineStr">
        <is>
          <t>An item</t>
        </is>
      </c>
      <c r="D994" s="14" t="inlineStr">
        <is>
          <t>Volume price tiers</t>
        </is>
      </c>
      <c r="E994" s="14" t="inlineStr">
        <is>
          <t>Not built — by design</t>
        </is>
      </c>
      <c r="F994" s="12" t="inlineStr">
        <is>
          <t>Price a quantity break on the line or as its own item (Q-06)</t>
        </is>
      </c>
      <c r="G994" s="12" t="inlineStr"/>
      <c r="H994" s="12" t="inlineStr"/>
      <c r="I994" s="17" t="n"/>
      <c r="J994" s="17" t="n"/>
    </row>
    <row r="995">
      <c r="A995" s="12" t="inlineStr">
        <is>
          <t>Price book</t>
        </is>
      </c>
      <c r="B995" s="12" t="inlineStr">
        <is>
          <t>IT-07</t>
        </is>
      </c>
      <c r="C995" s="12" t="inlineStr">
        <is>
          <t>An item</t>
        </is>
      </c>
      <c r="D995" s="14" t="inlineStr">
        <is>
          <t>Spec link, tags, notes, image</t>
        </is>
      </c>
      <c r="E995" s="14" t="inlineStr">
        <is>
          <t>Built in parity round 3</t>
        </is>
      </c>
      <c r="F995" s="12" t="inlineStr">
        <is>
          <t>Link and photo; tags and notes not ported</t>
        </is>
      </c>
      <c r="G995" s="12" t="inlineStr">
        <is>
          <t>3.04, 3.05</t>
        </is>
      </c>
      <c r="H995" s="12" t="inlineStr"/>
      <c r="I995" s="17" t="n"/>
      <c r="J995" s="17" t="n"/>
    </row>
    <row r="996">
      <c r="A996" s="12" t="inlineStr">
        <is>
          <t>Price book</t>
        </is>
      </c>
      <c r="B996" s="12" t="inlineStr">
        <is>
          <t>IT-08</t>
        </is>
      </c>
      <c r="C996" s="12" t="inlineStr">
        <is>
          <t>An item</t>
        </is>
      </c>
      <c r="D996" s="14" t="inlineStr">
        <is>
          <t>Who may save an item</t>
        </is>
      </c>
      <c r="E996" s="14" t="inlineStr">
        <is>
          <t>Built in parity round 2</t>
        </is>
      </c>
      <c r="F996" s="12" t="inlineStr"/>
      <c r="G996" s="12" t="inlineStr"/>
      <c r="H996" s="28" t="inlineStr">
        <is>
          <t>Team check</t>
        </is>
      </c>
      <c r="I996" s="17" t="n"/>
      <c r="J996" s="17" t="n"/>
    </row>
    <row r="997">
      <c r="A997" s="12" t="inlineStr">
        <is>
          <t>Price book</t>
        </is>
      </c>
      <c r="B997" s="12" t="inlineStr">
        <is>
          <t>AH-01</t>
        </is>
      </c>
      <c r="C997" s="12" t="inlineStr">
        <is>
          <t>Approval and history</t>
        </is>
      </c>
      <c r="D997" s="14" t="inlineStr">
        <is>
          <t>Owners and admins trusted; others' items wait</t>
        </is>
      </c>
      <c r="E997" s="14" t="inlineStr">
        <is>
          <t>Built in parity round 2</t>
        </is>
      </c>
      <c r="F997" s="12" t="inlineStr"/>
      <c r="G997" s="12" t="inlineStr">
        <is>
          <t>3.09, 10.05</t>
        </is>
      </c>
      <c r="H997" s="12" t="inlineStr"/>
      <c r="I997" s="17" t="n"/>
      <c r="J997" s="17" t="n"/>
    </row>
    <row r="998">
      <c r="A998" s="12" t="inlineStr">
        <is>
          <t>Price book</t>
        </is>
      </c>
      <c r="B998" s="12" t="inlineStr">
        <is>
          <t>AH-02</t>
        </is>
      </c>
      <c r="C998" s="12" t="inlineStr">
        <is>
          <t>Approval and history</t>
        </is>
      </c>
      <c r="D998" s="14" t="inlineStr">
        <is>
          <t>How a pending item may be used</t>
        </is>
      </c>
      <c r="E998" s="14" t="inlineStr">
        <is>
          <t>Built in parity round 2</t>
        </is>
      </c>
      <c r="F998" s="12" t="inlineStr">
        <is>
          <t>Only its proposer uses it until approved</t>
        </is>
      </c>
      <c r="G998" s="12" t="inlineStr">
        <is>
          <t>3.09, 10.05</t>
        </is>
      </c>
      <c r="H998" s="12" t="inlineStr"/>
      <c r="I998" s="17" t="n"/>
      <c r="J998" s="17" t="n"/>
    </row>
    <row r="999">
      <c r="A999" s="12" t="inlineStr">
        <is>
          <t>Price book</t>
        </is>
      </c>
      <c r="B999" s="12" t="inlineStr">
        <is>
          <t>AH-03</t>
        </is>
      </c>
      <c r="C999" s="12" t="inlineStr">
        <is>
          <t>Approval and history</t>
        </is>
      </c>
      <c r="D999" s="14" t="inlineStr">
        <is>
          <t>Pending tab: approve or reject</t>
        </is>
      </c>
      <c r="E999" s="14" t="inlineStr">
        <is>
          <t>Built in parity round 2</t>
        </is>
      </c>
      <c r="F999" s="12" t="inlineStr"/>
      <c r="G999" s="12" t="inlineStr">
        <is>
          <t>10.13</t>
        </is>
      </c>
      <c r="H999" s="12" t="inlineStr"/>
      <c r="I999" s="17" t="n"/>
      <c r="J999" s="17" t="n"/>
    </row>
    <row r="1000">
      <c r="A1000" s="12" t="inlineStr">
        <is>
          <t>Price book</t>
        </is>
      </c>
      <c r="B1000" s="12" t="inlineStr">
        <is>
          <t>AH-04</t>
        </is>
      </c>
      <c r="C1000" s="12" t="inlineStr">
        <is>
          <t>Approval and history</t>
        </is>
      </c>
      <c r="D1000" s="14" t="inlineStr">
        <is>
          <t>Approving by editing</t>
        </is>
      </c>
      <c r="E1000" s="14" t="inlineStr">
        <is>
          <t>Built in parity round 2</t>
        </is>
      </c>
      <c r="F1000" s="12" t="inlineStr">
        <is>
          <t>Approval is a deliberate press, never an edit</t>
        </is>
      </c>
      <c r="G1000" s="12" t="inlineStr"/>
      <c r="H1000" s="28" t="inlineStr">
        <is>
          <t>Team check</t>
        </is>
      </c>
      <c r="I1000" s="17" t="n"/>
      <c r="J1000" s="17" t="n"/>
    </row>
    <row r="1001">
      <c r="A1001" s="12" t="inlineStr">
        <is>
          <t>Price book</t>
        </is>
      </c>
      <c r="B1001" s="12" t="inlineStr">
        <is>
          <t>AH-05</t>
        </is>
      </c>
      <c r="C1001" s="12" t="inlineStr">
        <is>
          <t>Approval and history</t>
        </is>
      </c>
      <c r="D1001" s="14" t="inlineStr">
        <is>
          <t>Tasks and notices about approvals</t>
        </is>
      </c>
      <c r="E1001" s="14" t="inlineStr">
        <is>
          <t>Built in parity round 2</t>
        </is>
      </c>
      <c r="F1001" s="12" t="inlineStr">
        <is>
          <t>In the bell, with the note</t>
        </is>
      </c>
      <c r="G1001" s="12" t="inlineStr">
        <is>
          <t>10.11</t>
        </is>
      </c>
      <c r="H1001" s="12" t="inlineStr"/>
      <c r="I1001" s="17" t="n"/>
      <c r="J1001" s="17" t="n"/>
    </row>
    <row r="1002">
      <c r="A1002" s="12" t="inlineStr">
        <is>
          <t>Price book</t>
        </is>
      </c>
      <c r="B1002" s="12" t="inlineStr">
        <is>
          <t>AH-06</t>
        </is>
      </c>
      <c r="C1002" s="12" t="inlineStr">
        <is>
          <t>Approval and history</t>
        </is>
      </c>
      <c r="D1002" s="14" t="inlineStr">
        <is>
          <t>Price book approvers setting</t>
        </is>
      </c>
      <c r="E1002" s="14" t="inlineStr">
        <is>
          <t>Dead</t>
        </is>
      </c>
      <c r="F1002" s="12" t="inlineStr">
        <is>
          <t>Only its first name was read; Owners and Admins approve</t>
        </is>
      </c>
      <c r="G1002" s="12" t="inlineStr"/>
      <c r="H1002" s="12" t="inlineStr"/>
      <c r="I1002" s="17" t="n"/>
      <c r="J1002" s="17" t="n"/>
    </row>
    <row r="1003">
      <c r="A1003" s="12" t="inlineStr">
        <is>
          <t>Price book</t>
        </is>
      </c>
      <c r="B1003" s="12" t="inlineStr">
        <is>
          <t>AH-07</t>
        </is>
      </c>
      <c r="C1003" s="12" t="inlineStr">
        <is>
          <t>Approval and history</t>
        </is>
      </c>
      <c r="D1003" s="14" t="inlineStr">
        <is>
          <t>Item history</t>
        </is>
      </c>
      <c r="E1003" s="14" t="inlineStr">
        <is>
          <t>Built in parity round 2</t>
        </is>
      </c>
      <c r="F1003" s="12" t="inlineStr"/>
      <c r="G1003" s="12" t="inlineStr">
        <is>
          <t>3.06</t>
        </is>
      </c>
      <c r="H1003" s="12" t="inlineStr"/>
      <c r="I1003" s="17" t="n"/>
      <c r="J1003" s="17" t="n"/>
    </row>
    <row r="1004">
      <c r="A1004" s="12" t="inlineStr">
        <is>
          <t>Price book</t>
        </is>
      </c>
      <c r="B1004" s="12" t="inlineStr">
        <is>
          <t>IE-01</t>
        </is>
      </c>
      <c r="C1004" s="12" t="inlineStr">
        <is>
          <t>Imports and exports</t>
        </is>
      </c>
      <c r="D1004" s="14" t="inlineStr">
        <is>
          <t>Import sources: CSV, PDF, image, Excel</t>
        </is>
      </c>
      <c r="E1004" s="14" t="inlineStr">
        <is>
          <t>Built in parity round 4</t>
        </is>
      </c>
      <c r="F1004" s="12" t="inlineStr">
        <is>
          <t>CSV, XLSX or pasted rows; XLS, PDFs and images not read</t>
        </is>
      </c>
      <c r="G1004" s="12" t="inlineStr">
        <is>
          <t>3.12</t>
        </is>
      </c>
      <c r="H1004" s="12" t="inlineStr"/>
      <c r="I1004" s="17" t="n"/>
      <c r="J1004" s="17" t="n"/>
    </row>
    <row r="1005">
      <c r="A1005" s="12" t="inlineStr">
        <is>
          <t>Price book</t>
        </is>
      </c>
      <c r="B1005" s="12" t="inlineStr">
        <is>
          <t>IE-02</t>
        </is>
      </c>
      <c r="C1005" s="12" t="inlineStr">
        <is>
          <t>Imports and exports</t>
        </is>
      </c>
      <c r="D1005" s="14" t="inlineStr">
        <is>
          <t>Mapping columns to fields</t>
        </is>
      </c>
      <c r="E1005" s="14" t="inlineStr">
        <is>
          <t>Built in parity round 4</t>
        </is>
      </c>
      <c r="F1005" s="12" t="inlineStr"/>
      <c r="G1005" s="12" t="inlineStr">
        <is>
          <t>3.12</t>
        </is>
      </c>
      <c r="H1005" s="12" t="inlineStr"/>
      <c r="I1005" s="17" t="n"/>
      <c r="J1005" s="17" t="n"/>
    </row>
    <row r="1006">
      <c r="A1006" s="12" t="inlineStr">
        <is>
          <t>Price book</t>
        </is>
      </c>
      <c r="B1006" s="12" t="inlineStr">
        <is>
          <t>IE-03</t>
        </is>
      </c>
      <c r="C1006" s="12" t="inlineStr">
        <is>
          <t>Imports and exports</t>
        </is>
      </c>
      <c r="D1006" s="14" t="inlineStr">
        <is>
          <t>Reading numbers in a sheet</t>
        </is>
      </c>
      <c r="E1006" s="14" t="inlineStr">
        <is>
          <t>Built</t>
        </is>
      </c>
      <c r="F1006" s="12" t="inlineStr"/>
      <c r="G1006" s="12" t="inlineStr">
        <is>
          <t>3.13</t>
        </is>
      </c>
      <c r="H1006" s="12" t="inlineStr"/>
      <c r="I1006" s="17" t="n"/>
      <c r="J1006" s="17" t="n"/>
    </row>
    <row r="1007">
      <c r="A1007" s="12" t="inlineStr">
        <is>
          <t>Price book</t>
        </is>
      </c>
      <c r="B1007" s="12" t="inlineStr">
        <is>
          <t>IE-04</t>
        </is>
      </c>
      <c r="C1007" s="12" t="inlineStr">
        <is>
          <t>Imports and exports</t>
        </is>
      </c>
      <c r="D1007" s="14" t="inlineStr">
        <is>
          <t>Duplicates and updates on import</t>
        </is>
      </c>
      <c r="E1007" s="14" t="inlineStr">
        <is>
          <t>Built in parity round 4</t>
        </is>
      </c>
      <c r="F1007" s="12" t="inlineStr"/>
      <c r="G1007" s="12" t="inlineStr">
        <is>
          <t>3.12</t>
        </is>
      </c>
      <c r="H1007" s="12" t="inlineStr"/>
      <c r="I1007" s="17" t="n"/>
      <c r="J1007" s="17" t="n"/>
    </row>
    <row r="1008">
      <c r="A1008" s="12" t="inlineStr">
        <is>
          <t>Price book</t>
        </is>
      </c>
      <c r="B1008" s="12" t="inlineStr">
        <is>
          <t>IE-05</t>
        </is>
      </c>
      <c r="C1008" s="12" t="inlineStr">
        <is>
          <t>Imports and exports</t>
        </is>
      </c>
      <c r="D1008" s="14" t="inlineStr">
        <is>
          <t>How the import writes rows</t>
        </is>
      </c>
      <c r="E1008" s="14" t="inlineStr">
        <is>
          <t>Built in parity round 4</t>
        </is>
      </c>
      <c r="F1008" s="12" t="inlineStr"/>
      <c r="G1008" s="12" t="inlineStr">
        <is>
          <t>3.13</t>
        </is>
      </c>
      <c r="H1008" s="12" t="inlineStr"/>
      <c r="I1008" s="17" t="n"/>
      <c r="J1008" s="17" t="n"/>
    </row>
    <row r="1009">
      <c r="A1009" s="12" t="inlineStr">
        <is>
          <t>Price book</t>
        </is>
      </c>
      <c r="B1009" s="12" t="inlineStr">
        <is>
          <t>IE-06</t>
        </is>
      </c>
      <c r="C1009" s="12" t="inlineStr">
        <is>
          <t>Imports and exports</t>
        </is>
      </c>
      <c r="D1009" s="14" t="inlineStr">
        <is>
          <t>Export to CSV</t>
        </is>
      </c>
      <c r="E1009" s="14" t="inlineStr">
        <is>
          <t>Built in parity round 4</t>
        </is>
      </c>
      <c r="F1009" s="12" t="inlineStr"/>
      <c r="G1009" s="12" t="inlineStr">
        <is>
          <t>3.11</t>
        </is>
      </c>
      <c r="H1009" s="12" t="inlineStr"/>
      <c r="I1009" s="17" t="n"/>
      <c r="J1009" s="17" t="n"/>
    </row>
    <row r="1010">
      <c r="A1010" s="12" t="inlineStr">
        <is>
          <t>Price book</t>
        </is>
      </c>
      <c r="B1010" s="12" t="inlineStr">
        <is>
          <t>IE-07</t>
        </is>
      </c>
      <c r="C1010" s="12" t="inlineStr">
        <is>
          <t>Imports and exports</t>
        </is>
      </c>
      <c r="D1010" s="14" t="inlineStr">
        <is>
          <t>Vendor default markup</t>
        </is>
      </c>
      <c r="E1010" s="14" t="inlineStr">
        <is>
          <t>Built in parity round 4</t>
        </is>
      </c>
      <c r="F1010" s="12" t="inlineStr">
        <is>
          <t>Bulk Set markup re-prices items; no vendor directory</t>
        </is>
      </c>
      <c r="G1010" s="12" t="inlineStr">
        <is>
          <t>3.10</t>
        </is>
      </c>
      <c r="H1010" s="12" t="inlineStr"/>
      <c r="I1010" s="17" t="n"/>
      <c r="J1010" s="17" t="n"/>
    </row>
    <row r="1011">
      <c r="A1011" s="12" t="inlineStr">
        <is>
          <t>Price book</t>
        </is>
      </c>
      <c r="B1011" s="12" t="inlineStr">
        <is>
          <t>IE-08</t>
        </is>
      </c>
      <c r="C1011" s="12" t="inlineStr">
        <is>
          <t>Imports and exports</t>
        </is>
      </c>
      <c r="D1011" s="14" t="inlineStr">
        <is>
          <t>Quote Categories importer</t>
        </is>
      </c>
      <c r="E1011" s="14" t="inlineStr">
        <is>
          <t>Built</t>
        </is>
      </c>
      <c r="F1011" s="12" t="inlineStr"/>
      <c r="G1011" s="12" t="inlineStr"/>
      <c r="H1011" s="28" t="inlineStr">
        <is>
          <t>Team check</t>
        </is>
      </c>
      <c r="I1011" s="17" t="n"/>
      <c r="J1011" s="17" t="n"/>
    </row>
    <row r="1012">
      <c r="A1012" s="12" t="inlineStr">
        <is>
          <t>Price book</t>
        </is>
      </c>
      <c r="B1012" s="12" t="inlineStr">
        <is>
          <t>QU-01</t>
        </is>
      </c>
      <c r="C1012" s="12" t="inlineStr">
        <is>
          <t>The book inside a quote</t>
        </is>
      </c>
      <c r="D1012" s="14" t="inlineStr">
        <is>
          <t>Typeahead and Browse in a quote</t>
        </is>
      </c>
      <c r="E1012" s="14" t="inlineStr">
        <is>
          <t>Built in parity round 3</t>
        </is>
      </c>
      <c r="F1012" s="12" t="inlineStr"/>
      <c r="G1012" s="12" t="inlineStr">
        <is>
          <t>6.05</t>
        </is>
      </c>
      <c r="H1012" s="12" t="inlineStr"/>
      <c r="I1012" s="17" t="n"/>
      <c r="J1012" s="17" t="n"/>
    </row>
    <row r="1013">
      <c r="A1013" s="12" t="inlineStr">
        <is>
          <t>Price book</t>
        </is>
      </c>
      <c r="B1013" s="12" t="inlineStr">
        <is>
          <t>QU-02</t>
        </is>
      </c>
      <c r="C1013" s="12" t="inlineStr">
        <is>
          <t>The book inside a quote</t>
        </is>
      </c>
      <c r="D1013" s="14" t="inlineStr">
        <is>
          <t>What picking an item copies</t>
        </is>
      </c>
      <c r="E1013" s="14" t="inlineStr">
        <is>
          <t>Built</t>
        </is>
      </c>
      <c r="F1013" s="12" t="inlineStr"/>
      <c r="G1013" s="12" t="inlineStr">
        <is>
          <t>6.05</t>
        </is>
      </c>
      <c r="H1013" s="12" t="inlineStr"/>
      <c r="I1013" s="17" t="n"/>
      <c r="J1013" s="17" t="n"/>
    </row>
    <row r="1014">
      <c r="A1014" s="12" t="inlineStr">
        <is>
          <t>Price book</t>
        </is>
      </c>
      <c r="B1014" s="12" t="inlineStr">
        <is>
          <t>QU-03</t>
        </is>
      </c>
      <c r="C1014" s="12" t="inlineStr">
        <is>
          <t>The book inside a quote</t>
        </is>
      </c>
      <c r="D1014" s="14" t="inlineStr">
        <is>
          <t>Picking an item marks it edited</t>
        </is>
      </c>
      <c r="E1014" s="14" t="inlineStr">
        <is>
          <t>Built in parity round 1</t>
        </is>
      </c>
      <c r="F1014" s="12" t="inlineStr">
        <is>
          <t>A 2.0 slip, fixed: a pick no longer marks it edited</t>
        </is>
      </c>
      <c r="G1014" s="12" t="inlineStr"/>
      <c r="H1014" s="28" t="inlineStr">
        <is>
          <t>Team check</t>
        </is>
      </c>
      <c r="I1014" s="17" t="n"/>
      <c r="J1014" s="17" t="n"/>
    </row>
    <row r="1015">
      <c r="A1015" s="12" t="inlineStr">
        <is>
          <t>Price book</t>
        </is>
      </c>
      <c r="B1015" s="12" t="inlineStr">
        <is>
          <t>QU-04</t>
        </is>
      </c>
      <c r="C1015" s="12" t="inlineStr">
        <is>
          <t>The book inside a quote</t>
        </is>
      </c>
      <c r="D1015" s="14" t="inlineStr">
        <is>
          <t>Also save a line to the price book</t>
        </is>
      </c>
      <c r="E1015" s="14" t="inlineStr">
        <is>
          <t>Built in parity round 3</t>
        </is>
      </c>
      <c r="F1015" s="12" t="inlineStr"/>
      <c r="G1015" s="12" t="inlineStr"/>
      <c r="H1015" s="28" t="inlineStr">
        <is>
          <t>Team check</t>
        </is>
      </c>
      <c r="I1015" s="17" t="n"/>
      <c r="J1015" s="17" t="n"/>
    </row>
    <row r="1016">
      <c r="A1016" s="12" t="inlineStr">
        <is>
          <t>Price book</t>
        </is>
      </c>
      <c r="B1016" s="12" t="inlineStr">
        <is>
          <t>QU-05</t>
        </is>
      </c>
      <c r="C1016" s="12" t="inlineStr">
        <is>
          <t>The book inside a quote</t>
        </is>
      </c>
      <c r="D1016" s="14" t="inlineStr">
        <is>
          <t>Rounding a price on its way into a quote</t>
        </is>
      </c>
      <c r="E1016" s="14" t="inlineStr">
        <is>
          <t>Built in parity round 1</t>
        </is>
      </c>
      <c r="F1016" s="12" t="inlineStr"/>
      <c r="G1016" s="12" t="inlineStr"/>
      <c r="H1016" s="28" t="inlineStr">
        <is>
          <t>Team check</t>
        </is>
      </c>
      <c r="I1016" s="17" t="n"/>
      <c r="J1016" s="17" t="n"/>
    </row>
    <row r="1017">
      <c r="A1017" s="12" t="inlineStr">
        <is>
          <t>Price book</t>
        </is>
      </c>
      <c r="B1017" s="12" t="inlineStr">
        <is>
          <t>QU-06</t>
        </is>
      </c>
      <c r="C1017" s="12" t="inlineStr">
        <is>
          <t>The book inside a quote</t>
        </is>
      </c>
      <c r="D1017" s="14" t="inlineStr">
        <is>
          <t>GST on lines taken from the book</t>
        </is>
      </c>
      <c r="E1017" s="14" t="inlineStr">
        <is>
          <t>Built in parity round 3</t>
        </is>
      </c>
      <c r="F1017" s="12" t="inlineStr"/>
      <c r="G1017" s="12" t="inlineStr"/>
      <c r="H1017" s="28" t="inlineStr">
        <is>
          <t>Team check</t>
        </is>
      </c>
      <c r="I1017" s="17" t="n"/>
      <c r="J1017" s="17" t="n"/>
    </row>
    <row r="1018">
      <c r="A1018" s="12" t="inlineStr">
        <is>
          <t>Price book</t>
        </is>
      </c>
      <c r="B1018" s="12" t="inlineStr">
        <is>
          <t>QU-07</t>
        </is>
      </c>
      <c r="C1018" s="12" t="inlineStr">
        <is>
          <t>The book inside a quote</t>
        </is>
      </c>
      <c r="D1018" s="14" t="inlineStr">
        <is>
          <t>Packages into a quote</t>
        </is>
      </c>
      <c r="E1018" s="14" t="inlineStr">
        <is>
          <t>Built in parity round 3</t>
        </is>
      </c>
      <c r="F1018" s="12" t="inlineStr"/>
      <c r="G1018" s="12" t="inlineStr">
        <is>
          <t>3.16</t>
        </is>
      </c>
      <c r="H1018" s="12" t="inlineStr"/>
      <c r="I1018" s="17" t="n"/>
      <c r="J1018" s="17" t="n"/>
    </row>
    <row r="1019">
      <c r="A1019" s="12" t="inlineStr">
        <is>
          <t>Price book</t>
        </is>
      </c>
      <c r="B1019" s="12" t="inlineStr">
        <is>
          <t>QU-08</t>
        </is>
      </c>
      <c r="C1019" s="12" t="inlineStr">
        <is>
          <t>The book inside a quote</t>
        </is>
      </c>
      <c r="D1019" s="14" t="inlineStr">
        <is>
          <t>Auto-match, AI suggestions, smart search</t>
        </is>
      </c>
      <c r="E1019" s="14" t="inlineStr">
        <is>
          <t>Platform</t>
        </is>
      </c>
      <c r="F1019" s="12" t="inlineStr">
        <is>
          <t>The platform's (Q-16)</t>
        </is>
      </c>
      <c r="G1019" s="12" t="inlineStr"/>
      <c r="H1019" s="12" t="inlineStr"/>
      <c r="I1019" s="17" t="n"/>
      <c r="J1019" s="17" t="n"/>
    </row>
    <row r="1020">
      <c r="A1020" s="12" t="inlineStr">
        <is>
          <t>Price book</t>
        </is>
      </c>
      <c r="B1020" s="12" t="inlineStr">
        <is>
          <t>AR-01</t>
        </is>
      </c>
      <c r="C1020" s="12" t="inlineStr">
        <is>
          <t>Around the book</t>
        </is>
      </c>
      <c r="D1020" s="14" t="inlineStr">
        <is>
          <t>Server checks on price-book actions</t>
        </is>
      </c>
      <c r="E1020" s="14" t="inlineStr">
        <is>
          <t>Built in parity round 2</t>
        </is>
      </c>
      <c r="F1020" s="12" t="inlineStr"/>
      <c r="G1020" s="12" t="inlineStr">
        <is>
          <t>10.13</t>
        </is>
      </c>
      <c r="H1020" s="12" t="inlineStr"/>
      <c r="I1020" s="17" t="n"/>
      <c r="J1020" s="17" t="n"/>
    </row>
    <row r="1021">
      <c r="A1021" s="12" t="inlineStr">
        <is>
          <t>Price book</t>
        </is>
      </c>
      <c r="B1021" s="12" t="inlineStr">
        <is>
          <t>AR-02</t>
        </is>
      </c>
      <c r="C1021" s="12" t="inlineStr">
        <is>
          <t>Around the book</t>
        </is>
      </c>
      <c r="D1021" s="14" t="inlineStr">
        <is>
          <t>Who can open the price book</t>
        </is>
      </c>
      <c r="E1021" s="14" t="inlineStr">
        <is>
          <t>Built</t>
        </is>
      </c>
      <c r="F1021" s="12" t="inlineStr"/>
      <c r="G1021" s="12" t="inlineStr">
        <is>
          <t>3.01</t>
        </is>
      </c>
      <c r="H1021" s="12" t="inlineStr"/>
      <c r="I1021" s="17" t="n"/>
      <c r="J1021" s="17" t="n"/>
    </row>
    <row r="1022">
      <c r="A1022" s="12" t="inlineStr">
        <is>
          <t>Price book</t>
        </is>
      </c>
      <c r="B1022" s="12" t="inlineStr">
        <is>
          <t>AR-03</t>
        </is>
      </c>
      <c r="C1022" s="12" t="inlineStr">
        <is>
          <t>Around the book</t>
        </is>
      </c>
      <c r="D1022" s="14" t="inlineStr">
        <is>
          <t>Price-book notifications</t>
        </is>
      </c>
      <c r="E1022" s="14" t="inlineStr">
        <is>
          <t>Built in parity round 2</t>
        </is>
      </c>
      <c r="F1022" s="12" t="inlineStr">
        <is>
          <t>Proposals in the bell; drift alerts are the platform's</t>
        </is>
      </c>
      <c r="G1022" s="12" t="inlineStr">
        <is>
          <t>10.11, 10.13</t>
        </is>
      </c>
      <c r="H1022" s="12" t="inlineStr"/>
      <c r="I1022" s="17" t="n"/>
      <c r="J1022" s="17" t="n"/>
    </row>
    <row r="1023">
      <c r="A1023" s="12" t="inlineStr">
        <is>
          <t>Price book</t>
        </is>
      </c>
      <c r="B1023" s="12" t="inlineStr">
        <is>
          <t>AR-04</t>
        </is>
      </c>
      <c r="C1023" s="12" t="inlineStr">
        <is>
          <t>Around the book</t>
        </is>
      </c>
      <c r="D1023" s="14" t="inlineStr">
        <is>
          <t>Market rates, drift, seeding, crowd prices</t>
        </is>
      </c>
      <c r="E1023" s="14" t="inlineStr">
        <is>
          <t>Platform</t>
        </is>
      </c>
      <c r="F1023" s="12" t="inlineStr">
        <is>
          <t>The platform's (Q-16)</t>
        </is>
      </c>
      <c r="G1023" s="12" t="inlineStr"/>
      <c r="H1023" s="12" t="inlineStr"/>
      <c r="I1023" s="17" t="n"/>
      <c r="J1023" s="17" t="n"/>
    </row>
    <row r="1024">
      <c r="A1024" s="12" t="inlineStr">
        <is>
          <t>Price book</t>
        </is>
      </c>
      <c r="B1024" s="12" t="inlineStr">
        <is>
          <t>AR-05</t>
        </is>
      </c>
      <c r="C1024" s="12" t="inlineStr">
        <is>
          <t>Around the book</t>
        </is>
      </c>
      <c r="D1024" s="14" t="inlineStr">
        <is>
          <t>AI around the book</t>
        </is>
      </c>
      <c r="E1024" s="14" t="inlineStr">
        <is>
          <t>Platform</t>
        </is>
      </c>
      <c r="F1024" s="12" t="inlineStr">
        <is>
          <t>The platform's (Q-16)</t>
        </is>
      </c>
      <c r="G1024" s="12" t="inlineStr"/>
      <c r="H1024" s="12" t="inlineStr"/>
      <c r="I1024" s="17" t="n"/>
      <c r="J1024" s="17" t="n"/>
    </row>
    <row r="1025">
      <c r="A1025" s="12" t="inlineStr">
        <is>
          <t>Price book</t>
        </is>
      </c>
      <c r="B1025" s="12" t="inlineStr">
        <is>
          <t>AR-06</t>
        </is>
      </c>
      <c r="C1025" s="12" t="inlineStr">
        <is>
          <t>Around the book</t>
        </is>
      </c>
      <c r="D1025" s="14" t="inlineStr">
        <is>
          <t>The book's rows in Who may do what</t>
        </is>
      </c>
      <c r="E1025" s="14" t="inlineStr">
        <is>
          <t>Built in parity round 2</t>
        </is>
      </c>
      <c r="F1025" s="12" t="inlineStr">
        <is>
          <t>2.0's Settings table now lists the book's actions</t>
        </is>
      </c>
      <c r="G1025" s="12" t="inlineStr">
        <is>
          <t>2.16</t>
        </is>
      </c>
      <c r="H1025" s="12" t="inlineStr"/>
      <c r="I1025" s="17" t="n"/>
      <c r="J1025" s="17" t="n"/>
    </row>
    <row r="1026">
      <c r="A1026" s="12" t="inlineStr">
        <is>
          <t>Price book</t>
        </is>
      </c>
      <c r="B1026" s="12" t="inlineStr">
        <is>
          <t>PZ-01</t>
        </is>
      </c>
      <c r="C1026" s="12" t="inlineStr">
        <is>
          <t>Touchpoints</t>
        </is>
      </c>
      <c r="D1026" s="14" t="inlineStr">
        <is>
          <t>Purchase orders, waste, Finance vendors</t>
        </is>
      </c>
      <c r="E1026" s="14" t="inlineStr">
        <is>
          <t>Later</t>
        </is>
      </c>
      <c r="F1026" s="12" t="inlineStr">
        <is>
          <t>Finance module</t>
        </is>
      </c>
      <c r="G1026" s="12" t="inlineStr"/>
      <c r="H1026" s="12" t="inlineStr"/>
      <c r="I1026" s="17" t="n"/>
      <c r="J1026" s="17" t="n"/>
    </row>
    <row r="1027">
      <c r="A1027" s="12" t="inlineStr">
        <is>
          <t>Price book</t>
        </is>
      </c>
      <c r="B1027" s="12" t="inlineStr">
        <is>
          <t>PZ-02</t>
        </is>
      </c>
      <c r="C1027" s="12" t="inlineStr">
        <is>
          <t>Touchpoints</t>
        </is>
      </c>
      <c r="D1027" s="14" t="inlineStr">
        <is>
          <t>Quote rules and Starter Quote</t>
        </is>
      </c>
      <c r="E1027" s="14" t="inlineStr">
        <is>
          <t>Later</t>
        </is>
      </c>
      <c r="F1027" s="12" t="inlineStr">
        <is>
          <t>Held (templates Q-07)</t>
        </is>
      </c>
      <c r="G1027" s="12" t="inlineStr"/>
      <c r="H1027" s="12" t="inlineStr"/>
      <c r="I1027" s="17" t="n"/>
      <c r="J1027" s="17" t="n"/>
    </row>
    <row r="1028">
      <c r="A1028" s="12" t="inlineStr">
        <is>
          <t>Price book</t>
        </is>
      </c>
      <c r="B1028" s="12" t="inlineStr">
        <is>
          <t>PZ-03</t>
        </is>
      </c>
      <c r="C1028" s="12" t="inlineStr">
        <is>
          <t>Touchpoints</t>
        </is>
      </c>
      <c r="D1028" s="14" t="inlineStr">
        <is>
          <t>Price snapshots on quote lines</t>
        </is>
      </c>
      <c r="E1028" s="14" t="inlineStr">
        <is>
          <t>Dead</t>
        </is>
      </c>
      <c r="F1028" s="12" t="inlineStr">
        <is>
          <t>Written, never read (quote editor QP-15)</t>
        </is>
      </c>
      <c r="G1028" s="12" t="inlineStr"/>
      <c r="H1028" s="12" t="inlineStr"/>
      <c r="I1028" s="17" t="n"/>
      <c r="J1028" s="17" t="n"/>
    </row>
    <row r="1029">
      <c r="A1029" s="12" t="inlineStr">
        <is>
          <t>Price book</t>
        </is>
      </c>
      <c r="B1029" s="12" t="inlineStr">
        <is>
          <t>PZ-04</t>
        </is>
      </c>
      <c r="C1029" s="12" t="inlineStr">
        <is>
          <t>Touchpoints</t>
        </is>
      </c>
      <c r="D1029" s="14" t="inlineStr">
        <is>
          <t>The UI sweep's backlog</t>
        </is>
      </c>
      <c r="E1029" s="14" t="inlineStr">
        <is>
          <t>Excluded</t>
        </is>
      </c>
      <c r="F1029" s="12" t="inlineStr">
        <is>
          <t>Fixed in the UI consistency sweep (REG-659)</t>
        </is>
      </c>
      <c r="G1029" s="12" t="inlineStr"/>
      <c r="H1029" s="12" t="inlineStr"/>
      <c r="I1029" s="17" t="n"/>
      <c r="J1029" s="17" t="n"/>
    </row>
    <row r="1030">
      <c r="A1030" s="12" t="inlineStr">
        <is>
          <t>AI Visualizer</t>
        </is>
      </c>
      <c r="B1030" s="12" t="inlineStr">
        <is>
          <t>DEF-01</t>
        </is>
      </c>
      <c r="C1030" s="12" t="inlineStr">
        <is>
          <t>Definitions</t>
        </is>
      </c>
      <c r="D1030" s="14" t="inlineStr">
        <is>
          <t>The tool</t>
        </is>
      </c>
      <c r="E1030" s="14" t="inlineStr">
        <is>
          <t>Built</t>
        </is>
      </c>
      <c r="F1030" s="12" t="inlineStr">
        <is>
          <t>Mismatch in both — Q-01: AI Visualizer everywhere.</t>
        </is>
      </c>
      <c r="G1030" s="12" t="inlineStr">
        <is>
          <t>13.01</t>
        </is>
      </c>
      <c r="H1030" s="12" t="inlineStr"/>
      <c r="I1030" s="17" t="n"/>
      <c r="J1030" s="17" t="n"/>
    </row>
    <row r="1031">
      <c r="A1031" s="12" t="inlineStr">
        <is>
          <t>AI Visualizer</t>
        </is>
      </c>
      <c r="B1031" s="12" t="inlineStr">
        <is>
          <t>DEF-02</t>
        </is>
      </c>
      <c r="C1031" s="12" t="inlineStr">
        <is>
          <t>Definitions</t>
        </is>
      </c>
      <c r="D1031" s="14" t="inlineStr">
        <is>
          <t>A design</t>
        </is>
      </c>
      <c r="E1031" s="14" t="inlineStr">
        <is>
          <t>Built</t>
        </is>
      </c>
      <c r="F1031" s="12" t="inlineStr">
        <is>
          <t>Missing — Q-03: a visualizer_designs row — one per lead, any number of personal ones.</t>
        </is>
      </c>
      <c r="G1031" s="12" t="inlineStr">
        <is>
          <t>13.01</t>
        </is>
      </c>
      <c r="H1031" s="12" t="inlineStr"/>
      <c r="I1031" s="17" t="n"/>
      <c r="J1031" s="17" t="n"/>
    </row>
    <row r="1032">
      <c r="A1032" s="12" t="inlineStr">
        <is>
          <t>AI Visualizer</t>
        </is>
      </c>
      <c r="B1032" s="12" t="inlineStr">
        <is>
          <t>DEF-03</t>
        </is>
      </c>
      <c r="C1032" s="12" t="inlineStr">
        <is>
          <t>Definitions</t>
        </is>
      </c>
      <c r="D1032" s="14" t="inlineStr">
        <is>
          <t>A room</t>
        </is>
      </c>
      <c r="E1032" s="14" t="inlineStr">
        <is>
          <t>Built</t>
        </is>
      </c>
      <c r="F1032" s="12" t="inlineStr">
        <is>
          <t>Missing — built with 1.0's table name (§4).</t>
        </is>
      </c>
      <c r="G1032" s="12" t="inlineStr">
        <is>
          <t>13.06</t>
        </is>
      </c>
      <c r="H1032" s="12" t="inlineStr"/>
      <c r="I1032" s="17" t="n"/>
      <c r="J1032" s="17" t="n"/>
    </row>
    <row r="1033">
      <c r="A1033" s="12" t="inlineStr">
        <is>
          <t>AI Visualizer</t>
        </is>
      </c>
      <c r="B1033" s="12" t="inlineStr">
        <is>
          <t>DEF-04</t>
        </is>
      </c>
      <c r="C1033" s="12" t="inlineStr">
        <is>
          <t>Definitions</t>
        </is>
      </c>
      <c r="D1033" s="14" t="inlineStr">
        <is>
          <t>A version</t>
        </is>
      </c>
      <c r="E1033" s="14" t="inlineStr">
        <is>
          <t>Built</t>
        </is>
      </c>
      <c r="F1033" s="12" t="inlineStr">
        <is>
          <t>Missing — built with 1.0's shape (§4).</t>
        </is>
      </c>
      <c r="G1033" s="12" t="inlineStr">
        <is>
          <t>13.04</t>
        </is>
      </c>
      <c r="H1033" s="12" t="inlineStr"/>
      <c r="I1033" s="17" t="n"/>
      <c r="J1033" s="17" t="n"/>
    </row>
    <row r="1034">
      <c r="A1034" s="12" t="inlineStr">
        <is>
          <t>AI Visualizer</t>
        </is>
      </c>
      <c r="B1034" s="12" t="inlineStr">
        <is>
          <t>DEF-05</t>
        </is>
      </c>
      <c r="C1034" s="12" t="inlineStr">
        <is>
          <t>Definitions</t>
        </is>
      </c>
      <c r="D1034" s="14" t="inlineStr">
        <is>
          <t>The editing base</t>
        </is>
      </c>
      <c r="E1034" s="14" t="inlineStr">
        <is>
          <t>Built</t>
        </is>
      </c>
      <c r="F1034" s="12" t="inlineStr">
        <is>
          <t>Mismatch inside 1.0 — Q-08: what the canvas shows is what you edit.</t>
        </is>
      </c>
      <c r="G1034" s="12" t="inlineStr">
        <is>
          <t>13.05, 13.09</t>
        </is>
      </c>
      <c r="H1034" s="12" t="inlineStr"/>
      <c r="I1034" s="17" t="n"/>
      <c r="J1034" s="17" t="n"/>
    </row>
    <row r="1035">
      <c r="A1035" s="12" t="inlineStr">
        <is>
          <t>AI Visualizer</t>
        </is>
      </c>
      <c r="B1035" s="12" t="inlineStr">
        <is>
          <t>DEF-06</t>
        </is>
      </c>
      <c r="C1035" s="12" t="inlineStr">
        <is>
          <t>Definitions</t>
        </is>
      </c>
      <c r="D1035" s="14" t="inlineStr">
        <is>
          <t>A surface</t>
        </is>
      </c>
      <c r="E1035" s="14" t="inlineStr">
        <is>
          <t>Built</t>
        </is>
      </c>
      <c r="F1035" s="12" t="inlineStr">
        <is>
          <t>Missing — 2.0 keeps the label, the dot and the groups and adds the region the engine changes (§5).</t>
        </is>
      </c>
      <c r="G1035" s="12" t="inlineStr">
        <is>
          <t>13.03</t>
        </is>
      </c>
      <c r="H1035" s="12" t="inlineStr"/>
      <c r="I1035" s="17" t="n"/>
      <c r="J1035" s="17" t="n"/>
    </row>
    <row r="1036">
      <c r="A1036" s="12" t="inlineStr">
        <is>
          <t>AI Visualizer</t>
        </is>
      </c>
      <c r="B1036" s="12" t="inlineStr">
        <is>
          <t>DEF-07</t>
        </is>
      </c>
      <c r="C1036" s="12" t="inlineStr">
        <is>
          <t>Definitions</t>
        </is>
      </c>
      <c r="D1036" s="14" t="inlineStr">
        <is>
          <t>A material</t>
        </is>
      </c>
      <c r="E1036" s="14" t="inlineStr">
        <is>
          <t>Built</t>
        </is>
      </c>
      <c r="F1036" s="12" t="inlineStr">
        <is>
          <t>Missing — Q-18 · Q-19.</t>
        </is>
      </c>
      <c r="G1036" s="12" t="inlineStr">
        <is>
          <t>13.03, 13.28, 13.30</t>
        </is>
      </c>
      <c r="H1036" s="12" t="inlineStr"/>
      <c r="I1036" s="17" t="n"/>
      <c r="J1036" s="17" t="n"/>
    </row>
    <row r="1037">
      <c r="A1037" s="12" t="inlineStr">
        <is>
          <t>AI Visualizer</t>
        </is>
      </c>
      <c r="B1037" s="12" t="inlineStr">
        <is>
          <t>DEF-08</t>
        </is>
      </c>
      <c r="C1037" s="12" t="inlineStr">
        <is>
          <t>Definitions</t>
        </is>
      </c>
      <c r="D1037" s="14" t="inlineStr">
        <is>
          <t>A render</t>
        </is>
      </c>
      <c r="E1037" s="14" t="inlineStr">
        <is>
          <t>Built</t>
        </is>
      </c>
      <c r="F1037" s="12" t="inlineStr">
        <is>
          <t>Platform — Q-05: the curated engine (§5).</t>
        </is>
      </c>
      <c r="G1037" s="12" t="inlineStr">
        <is>
          <t>13.04</t>
        </is>
      </c>
      <c r="H1037" s="12" t="inlineStr"/>
      <c r="I1037" s="17" t="n"/>
      <c r="J1037" s="17" t="n"/>
    </row>
    <row r="1038">
      <c r="A1038" s="12" t="inlineStr">
        <is>
          <t>AI Visualizer</t>
        </is>
      </c>
      <c r="B1038" s="12" t="inlineStr">
        <is>
          <t>DEF-09</t>
        </is>
      </c>
      <c r="C1038" s="12" t="inlineStr">
        <is>
          <t>Definitions</t>
        </is>
      </c>
      <c r="D1038" s="14" t="inlineStr">
        <is>
          <t>Sharing</t>
        </is>
      </c>
      <c r="E1038" s="14" t="inlineStr">
        <is>
          <t>Built</t>
        </is>
      </c>
      <c r="F1038" s="12" t="inlineStr">
        <is>
          <t>Missing — Q-14: one link, to the lead's client.</t>
        </is>
      </c>
      <c r="G1038" s="12" t="inlineStr">
        <is>
          <t>13.17</t>
        </is>
      </c>
      <c r="H1038" s="12" t="inlineStr"/>
      <c r="I1038" s="17" t="n"/>
      <c r="J1038" s="17" t="n"/>
    </row>
    <row r="1039">
      <c r="A1039" s="12" t="inlineStr">
        <is>
          <t>AI Visualizer</t>
        </is>
      </c>
      <c r="B1039" s="12" t="inlineStr">
        <is>
          <t>DEF-10</t>
        </is>
      </c>
      <c r="C1039" s="12" t="inlineStr">
        <is>
          <t>Definitions</t>
        </is>
      </c>
      <c r="D1039" s="14" t="inlineStr">
        <is>
          <t>Annotate</t>
        </is>
      </c>
      <c r="E1039" s="14" t="inlineStr">
        <is>
          <t>Built</t>
        </is>
      </c>
      <c r="F1039" s="12" t="inlineStr">
        <is>
          <t>Missing — Q-15: pins on a version, shown on the share link.</t>
        </is>
      </c>
      <c r="G1039" s="12" t="inlineStr">
        <is>
          <t>13.13, 13.19</t>
        </is>
      </c>
      <c r="H1039" s="12" t="inlineStr"/>
      <c r="I1039" s="17" t="n"/>
      <c r="J1039" s="17" t="n"/>
    </row>
    <row r="1040">
      <c r="A1040" s="12" t="inlineStr">
        <is>
          <t>AI Visualizer</t>
        </is>
      </c>
      <c r="B1040" s="12" t="inlineStr">
        <is>
          <t>DEF-11</t>
        </is>
      </c>
      <c r="C1040" s="12" t="inlineStr">
        <is>
          <t>Definitions</t>
        </is>
      </c>
      <c r="D1040" s="14" t="inlineStr">
        <is>
          <t>Save to the lead</t>
        </is>
      </c>
      <c r="E1040" s="14" t="inlineStr">
        <is>
          <t>Built</t>
        </is>
      </c>
      <c r="F1040" s="12" t="inlineStr">
        <is>
          <t>Mismatch — Q-13.</t>
        </is>
      </c>
      <c r="G1040" s="12" t="inlineStr">
        <is>
          <t>13.15</t>
        </is>
      </c>
      <c r="H1040" s="12" t="inlineStr"/>
      <c r="I1040" s="17" t="n"/>
      <c r="J1040" s="17" t="n"/>
    </row>
    <row r="1041">
      <c r="A1041" s="12" t="inlineStr">
        <is>
          <t>AI Visualizer</t>
        </is>
      </c>
      <c r="B1041" s="12" t="inlineStr">
        <is>
          <t>MM-01</t>
        </is>
      </c>
      <c r="C1041" s="12" t="inlineStr">
        <is>
          <t>Mismatches</t>
        </is>
      </c>
      <c r="D1041" s="14" t="inlineStr">
        <is>
          <t>Saving a lead's renders</t>
        </is>
      </c>
      <c r="E1041" s="14" t="inlineStr">
        <is>
          <t>Built</t>
        </is>
      </c>
      <c r="F1041" s="12" t="inlineStr">
        <is>
          <t>Q-13</t>
        </is>
      </c>
      <c r="G1041" s="12" t="inlineStr">
        <is>
          <t>13.15</t>
        </is>
      </c>
      <c r="H1041" s="12" t="inlineStr"/>
      <c r="I1041" s="17" t="n"/>
      <c r="J1041" s="17" t="n"/>
    </row>
    <row r="1042">
      <c r="A1042" s="12" t="inlineStr">
        <is>
          <t>AI Visualizer</t>
        </is>
      </c>
      <c r="B1042" s="12" t="inlineStr">
        <is>
          <t>MM-02</t>
        </is>
      </c>
      <c r="C1042" s="12" t="inlineStr">
        <is>
          <t>Mismatches</t>
        </is>
      </c>
      <c r="D1042" s="14" t="inlineStr">
        <is>
          <t>Variants on desktop</t>
        </is>
      </c>
      <c r="E1042" s="14" t="inlineStr">
        <is>
          <t>Built</t>
        </is>
      </c>
      <c r="F1042" s="12" t="inlineStr">
        <is>
          <t>Q-09</t>
        </is>
      </c>
      <c r="G1042" s="12" t="inlineStr">
        <is>
          <t>13.09</t>
        </is>
      </c>
      <c r="H1042" s="12" t="inlineStr"/>
      <c r="I1042" s="17" t="n"/>
      <c r="J1042" s="17" t="n"/>
    </row>
    <row r="1043">
      <c r="A1043" s="12" t="inlineStr">
        <is>
          <t>AI Visualizer</t>
        </is>
      </c>
      <c r="B1043" s="12" t="inlineStr">
        <is>
          <t>MM-03</t>
        </is>
      </c>
      <c r="C1043" s="12" t="inlineStr">
        <is>
          <t>Mismatches</t>
        </is>
      </c>
      <c r="D1043" s="14" t="inlineStr">
        <is>
          <t>Auto Furnish on a phone</t>
        </is>
      </c>
      <c r="E1043" s="14" t="inlineStr">
        <is>
          <t>Built</t>
        </is>
      </c>
      <c r="F1043" s="12" t="inlineStr">
        <is>
          <t>Q-25</t>
        </is>
      </c>
      <c r="G1043" s="12" t="inlineStr">
        <is>
          <t>13.32</t>
        </is>
      </c>
      <c r="H1043" s="12" t="inlineStr"/>
      <c r="I1043" s="17" t="n"/>
      <c r="J1043" s="17" t="n"/>
    </row>
    <row r="1044">
      <c r="A1044" s="12" t="inlineStr">
        <is>
          <t>AI Visualizer</t>
        </is>
      </c>
      <c r="B1044" s="12" t="inlineStr">
        <is>
          <t>MM-04</t>
        </is>
      </c>
      <c r="C1044" s="12" t="inlineStr">
        <is>
          <t>Mismatches</t>
        </is>
      </c>
      <c r="D1044" s="14" t="inlineStr">
        <is>
          <t>What you edit after a render</t>
        </is>
      </c>
      <c r="E1044" s="14" t="inlineStr">
        <is>
          <t>Built</t>
        </is>
      </c>
      <c r="F1044" s="12" t="inlineStr">
        <is>
          <t>Q-08</t>
        </is>
      </c>
      <c r="G1044" s="12" t="inlineStr">
        <is>
          <t>13.04, 13.05</t>
        </is>
      </c>
      <c r="H1044" s="12" t="inlineStr"/>
      <c r="I1044" s="17" t="n"/>
      <c r="J1044" s="17" t="n"/>
    </row>
    <row r="1045">
      <c r="A1045" s="12" t="inlineStr">
        <is>
          <t>AI Visualizer</t>
        </is>
      </c>
      <c r="B1045" s="12" t="inlineStr">
        <is>
          <t>MM-05</t>
        </is>
      </c>
      <c r="C1045" s="12" t="inlineStr">
        <is>
          <t>Mismatches</t>
        </is>
      </c>
      <c r="D1045" s="14" t="inlineStr">
        <is>
          <t>Deleting</t>
        </is>
      </c>
      <c r="E1045" s="14" t="inlineStr">
        <is>
          <t>Built</t>
        </is>
      </c>
      <c r="F1045" s="12" t="inlineStr">
        <is>
          <t>Q-11</t>
        </is>
      </c>
      <c r="G1045" s="12" t="inlineStr">
        <is>
          <t>13.12</t>
        </is>
      </c>
      <c r="H1045" s="12" t="inlineStr"/>
      <c r="I1045" s="17" t="n"/>
      <c r="J1045" s="17" t="n"/>
    </row>
    <row r="1046">
      <c r="A1046" s="12" t="inlineStr">
        <is>
          <t>AI Visualizer</t>
        </is>
      </c>
      <c r="B1046" s="12" t="inlineStr">
        <is>
          <t>MM-06</t>
        </is>
      </c>
      <c r="C1046" s="12" t="inlineStr">
        <is>
          <t>Mismatches</t>
        </is>
      </c>
      <c r="D1046" s="14" t="inlineStr">
        <is>
          <t>The share link's style</t>
        </is>
      </c>
      <c r="E1046" s="14" t="inlineStr">
        <is>
          <t>Built</t>
        </is>
      </c>
      <c r="F1046" s="12" t="inlineStr">
        <is>
          <t>Q-14</t>
        </is>
      </c>
      <c r="G1046" s="12" t="inlineStr">
        <is>
          <t>13.18</t>
        </is>
      </c>
      <c r="H1046" s="12" t="inlineStr"/>
      <c r="I1046" s="17" t="n"/>
      <c r="J1046" s="17" t="n"/>
    </row>
    <row r="1047">
      <c r="A1047" s="12" t="inlineStr">
        <is>
          <t>AI Visualizer</t>
        </is>
      </c>
      <c r="B1047" s="12" t="inlineStr">
        <is>
          <t>MM-07</t>
        </is>
      </c>
      <c r="C1047" s="12" t="inlineStr">
        <is>
          <t>Mismatches</t>
        </is>
      </c>
      <c r="D1047" s="14" t="inlineStr">
        <is>
          <t>Send to Chat</t>
        </is>
      </c>
      <c r="E1047" s="14" t="inlineStr">
        <is>
          <t>Built</t>
        </is>
      </c>
      <c r="F1047" s="12" t="inlineStr">
        <is>
          <t>Q-14</t>
        </is>
      </c>
      <c r="G1047" s="12" t="inlineStr">
        <is>
          <t>13.17</t>
        </is>
      </c>
      <c r="H1047" s="12" t="inlineStr"/>
      <c r="I1047" s="17" t="n"/>
      <c r="J1047" s="17" t="n"/>
    </row>
    <row r="1048">
      <c r="A1048" s="12" t="inlineStr">
        <is>
          <t>AI Visualizer</t>
        </is>
      </c>
      <c r="B1048" s="12" t="inlineStr">
        <is>
          <t>MM-08</t>
        </is>
      </c>
      <c r="C1048" s="12" t="inlineStr">
        <is>
          <t>Mismatches</t>
        </is>
      </c>
      <c r="D1048" s="14" t="inlineStr">
        <is>
          <t>The consultation form</t>
        </is>
      </c>
      <c r="E1048" s="14" t="inlineStr">
        <is>
          <t>Built</t>
        </is>
      </c>
      <c r="F1048" s="12" t="inlineStr">
        <is>
          <t>Q-16</t>
        </is>
      </c>
      <c r="G1048" s="12" t="inlineStr">
        <is>
          <t>13.20</t>
        </is>
      </c>
      <c r="H1048" s="12" t="inlineStr"/>
      <c r="I1048" s="17" t="n"/>
      <c r="J1048" s="17" t="n"/>
    </row>
    <row r="1049">
      <c r="A1049" s="12" t="inlineStr">
        <is>
          <t>AI Visualizer</t>
        </is>
      </c>
      <c r="B1049" s="12" t="inlineStr">
        <is>
          <t>MM-09</t>
        </is>
      </c>
      <c r="C1049" s="12" t="inlineStr">
        <is>
          <t>Mismatches</t>
        </is>
      </c>
      <c r="D1049" s="14" t="inlineStr">
        <is>
          <t>The material list "for quoting"</t>
        </is>
      </c>
      <c r="E1049" s="14" t="inlineStr">
        <is>
          <t>Built</t>
        </is>
      </c>
      <c r="F1049" s="12" t="inlineStr">
        <is>
          <t>Q-17</t>
        </is>
      </c>
      <c r="G1049" s="12" t="inlineStr">
        <is>
          <t>13.16</t>
        </is>
      </c>
      <c r="H1049" s="12" t="inlineStr"/>
      <c r="I1049" s="17" t="n"/>
      <c r="J1049" s="17" t="n"/>
    </row>
    <row r="1050">
      <c r="A1050" s="12" t="inlineStr">
        <is>
          <t>AI Visualizer</t>
        </is>
      </c>
      <c r="B1050" s="12" t="inlineStr">
        <is>
          <t>MM-10</t>
        </is>
      </c>
      <c r="C1050" s="12" t="inlineStr">
        <is>
          <t>Mismatches</t>
        </is>
      </c>
      <c r="D1050" s="14" t="inlineStr">
        <is>
          <t>The lighting copy</t>
        </is>
      </c>
      <c r="E1050" s="14" t="inlineStr">
        <is>
          <t>Built</t>
        </is>
      </c>
      <c r="F1050" s="12" t="inlineStr">
        <is>
          <t>Q-22</t>
        </is>
      </c>
      <c r="G1050" s="12" t="inlineStr">
        <is>
          <t>13.08</t>
        </is>
      </c>
      <c r="H1050" s="12" t="inlineStr"/>
      <c r="I1050" s="17" t="n"/>
      <c r="J1050" s="17" t="n"/>
    </row>
    <row r="1051">
      <c r="A1051" s="12" t="inlineStr">
        <is>
          <t>AI Visualizer</t>
        </is>
      </c>
      <c r="B1051" s="12" t="inlineStr">
        <is>
          <t>MM-11</t>
        </is>
      </c>
      <c r="C1051" s="12" t="inlineStr">
        <is>
          <t>Mismatches</t>
        </is>
      </c>
      <c r="D1051" s="14" t="inlineStr">
        <is>
          <t>Surface markers</t>
        </is>
      </c>
      <c r="E1051" s="14" t="inlineStr">
        <is>
          <t>Built</t>
        </is>
      </c>
      <c r="F1051" s="12" t="inlineStr">
        <is>
          <t>Q-06</t>
        </is>
      </c>
      <c r="G1051" s="12" t="inlineStr">
        <is>
          <t>13.01</t>
        </is>
      </c>
      <c r="H1051" s="12" t="inlineStr"/>
      <c r="I1051" s="17" t="n"/>
      <c r="J1051" s="17" t="n"/>
    </row>
    <row r="1052">
      <c r="A1052" s="12" t="inlineStr">
        <is>
          <t>AI Visualizer</t>
        </is>
      </c>
      <c r="B1052" s="12" t="inlineStr">
        <is>
          <t>MM-12</t>
        </is>
      </c>
      <c r="C1052" s="12" t="inlineStr">
        <is>
          <t>Mismatches</t>
        </is>
      </c>
      <c r="D1052" s="14" t="inlineStr">
        <is>
          <t>Work in progress</t>
        </is>
      </c>
      <c r="E1052" s="14" t="inlineStr">
        <is>
          <t>Built</t>
        </is>
      </c>
      <c r="F1052" s="12" t="inlineStr">
        <is>
          <t>Q-07</t>
        </is>
      </c>
      <c r="G1052" s="12" t="inlineStr">
        <is>
          <t>13.12</t>
        </is>
      </c>
      <c r="H1052" s="12" t="inlineStr"/>
      <c r="I1052" s="17" t="n"/>
      <c r="J1052" s="17" t="n"/>
    </row>
    <row r="1053">
      <c r="A1053" s="12" t="inlineStr">
        <is>
          <t>AI Visualizer</t>
        </is>
      </c>
      <c r="B1053" s="12" t="inlineStr">
        <is>
          <t>VE-01</t>
        </is>
      </c>
      <c r="C1053" s="12" t="inlineStr">
        <is>
          <t>Ways in, the page and the way back</t>
        </is>
      </c>
      <c r="D1053" s="14" t="inlineStr">
        <is>
          <t>Tools › AI Visualizer</t>
        </is>
      </c>
      <c r="E1053" s="14" t="inlineStr">
        <is>
          <t>Built</t>
        </is>
      </c>
      <c r="F1053" s="12" t="inlineStr">
        <is>
          <t>The Tools tile opens /visualizer (desktop popover and the phone's Tools sheet).</t>
        </is>
      </c>
      <c r="G1053" s="12" t="inlineStr">
        <is>
          <t>13.25</t>
        </is>
      </c>
      <c r="H1053" s="12" t="inlineStr"/>
      <c r="I1053" s="17" t="n"/>
      <c r="J1053" s="17" t="n"/>
    </row>
    <row r="1054">
      <c r="A1054" s="12" t="inlineStr">
        <is>
          <t>AI Visualizer</t>
        </is>
      </c>
      <c r="B1054" s="12" t="inlineStr">
        <is>
          <t>VE-02</t>
        </is>
      </c>
      <c r="C1054" s="12" t="inlineStr">
        <is>
          <t>Ways in, the page and the way back</t>
        </is>
      </c>
      <c r="D1054" s="14" t="inlineStr">
        <is>
          <t>The lead drawer's Open AI Visualizer</t>
        </is>
      </c>
      <c r="E1054" s="14" t="inlineStr">
        <is>
          <t>Built</t>
        </is>
      </c>
      <c r="F1054" s="12" t="inlineStr">
        <is>
          <t>The lead's quick link AI Visualizer opens the lead's design (made on first open) with ?from= the tab it was pressed on (Q-02).</t>
        </is>
      </c>
      <c r="G1054" s="12" t="inlineStr">
        <is>
          <t>13.23</t>
        </is>
      </c>
      <c r="H1054" s="12" t="inlineStr"/>
      <c r="I1054" s="17" t="n"/>
      <c r="J1054" s="17" t="n"/>
    </row>
    <row r="1055">
      <c r="A1055" s="12" t="inlineStr">
        <is>
          <t>AI Visualizer</t>
        </is>
      </c>
      <c r="B1055" s="12" t="inlineStr">
        <is>
          <t>VE-03</t>
        </is>
      </c>
      <c r="C1055" s="12" t="inlineStr">
        <is>
          <t>Ways in, the page and the way back</t>
        </is>
      </c>
      <c r="D1055" s="14" t="inlineStr">
        <is>
          <t>Deep links</t>
        </is>
      </c>
      <c r="E1055" s="14" t="inlineStr">
        <is>
          <t>Built</t>
        </is>
      </c>
      <c r="F1055" s="12" t="inlineStr">
        <is>
          <t>Every design has its address /visualizer/[designId] (?room= picks a room); Back honours ?from=.</t>
        </is>
      </c>
      <c r="G1055" s="12" t="inlineStr">
        <is>
          <t>13.15, 13.21</t>
        </is>
      </c>
      <c r="H1055" s="12" t="inlineStr"/>
      <c r="I1055" s="17" t="n"/>
      <c r="J1055" s="17" t="n"/>
    </row>
    <row r="1056">
      <c r="A1056" s="12" t="inlineStr">
        <is>
          <t>AI Visualizer</t>
        </is>
      </c>
      <c r="B1056" s="12" t="inlineStr">
        <is>
          <t>VE-04</t>
        </is>
      </c>
      <c r="C1056" s="12" t="inlineStr">
        <is>
          <t>Ways in, the page and the way back</t>
        </is>
      </c>
      <c r="D1056" s="14" t="inlineStr">
        <is>
          <t>The project's Photo Renders + entry dialog, the Renders tab</t>
        </is>
      </c>
      <c r="E1056" s="14" t="inlineStr">
        <is>
          <t>Later</t>
        </is>
      </c>
      <c r="F1056" s="12" t="inlineStr">
        <is>
          <t>Projects module.</t>
        </is>
      </c>
      <c r="G1056" s="12" t="inlineStr"/>
      <c r="H1056" s="12" t="inlineStr"/>
      <c r="I1056" s="17" t="n"/>
      <c r="J1056" s="17" t="n"/>
    </row>
    <row r="1057">
      <c r="A1057" s="12" t="inlineStr">
        <is>
          <t>AI Visualizer</t>
        </is>
      </c>
      <c r="B1057" s="12" t="inlineStr">
        <is>
          <t>VE-05</t>
        </is>
      </c>
      <c r="C1057" s="12" t="inlineStr">
        <is>
          <t>Ways in, the page and the way back</t>
        </is>
      </c>
      <c r="D1057" s="14" t="inlineStr">
        <is>
          <t>Coach mark</t>
        </is>
      </c>
      <c r="E1057" s="14" t="inlineStr">
        <is>
          <t>Built</t>
        </is>
      </c>
      <c r="F1057" s="12" t="inlineStr">
        <is>
          <t>The editor's first-visit hint (the template editor's pattern, remembered per browser).</t>
        </is>
      </c>
      <c r="G1057" s="12" t="inlineStr">
        <is>
          <t>13.01</t>
        </is>
      </c>
      <c r="H1057" s="12" t="inlineStr"/>
      <c r="I1057" s="17" t="n"/>
      <c r="J1057" s="17" t="n"/>
    </row>
    <row r="1058">
      <c r="A1058" s="12" t="inlineStr">
        <is>
          <t>AI Visualizer</t>
        </is>
      </c>
      <c r="B1058" s="12" t="inlineStr">
        <is>
          <t>VE-06</t>
        </is>
      </c>
      <c r="C1058" s="12" t="inlineStr">
        <is>
          <t>Ways in, the page and the way back</t>
        </is>
      </c>
      <c r="D1058" s="14" t="inlineStr">
        <is>
          <t>Page flag + access matrix</t>
        </is>
      </c>
      <c r="E1058" s="14" t="inlineStr">
        <is>
          <t>Platform</t>
        </is>
      </c>
      <c r="F1058" s="12" t="inlineStr">
        <is>
          <t>Every member; Who sees leads decides which lead designs a member sees (Q-24).</t>
        </is>
      </c>
      <c r="G1058" s="12" t="inlineStr"/>
      <c r="H1058" s="12" t="inlineStr"/>
      <c r="I1058" s="17" t="n"/>
      <c r="J1058" s="17" t="n"/>
    </row>
    <row r="1059">
      <c r="A1059" s="12" t="inlineStr">
        <is>
          <t>AI Visualizer</t>
        </is>
      </c>
      <c r="B1059" s="12" t="inlineStr">
        <is>
          <t>VE-07</t>
        </is>
      </c>
      <c r="C1059" s="12" t="inlineStr">
        <is>
          <t>Ways in, the page and the way back</t>
        </is>
      </c>
      <c r="D1059" s="14" t="inlineStr">
        <is>
          <t>Focus mode below lg</t>
        </is>
      </c>
      <c r="E1059" s="14" t="inlineStr">
        <is>
          <t>Built</t>
        </is>
      </c>
      <c r="F1059" s="12" t="inlineStr">
        <is>
          <t>The editor is a rail-less app frame at every width (the (editor) group).</t>
        </is>
      </c>
      <c r="G1059" s="12" t="inlineStr">
        <is>
          <t>13.01</t>
        </is>
      </c>
      <c r="H1059" s="12" t="inlineStr"/>
      <c r="I1059" s="17" t="n"/>
      <c r="J1059" s="17" t="n"/>
    </row>
    <row r="1060">
      <c r="A1060" s="12" t="inlineStr">
        <is>
          <t>AI Visualizer</t>
        </is>
      </c>
      <c r="B1060" s="12" t="inlineStr">
        <is>
          <t>VE-08</t>
        </is>
      </c>
      <c r="C1060" s="12" t="inlineStr">
        <is>
          <t>Ways in, the page and the way back</t>
        </is>
      </c>
      <c r="D1060" s="14" t="inlineStr">
        <is>
          <t>Open in AI Visualizer on a lead file</t>
        </is>
      </c>
      <c r="E1060" s="14" t="inlineStr">
        <is>
          <t>Built</t>
        </is>
      </c>
      <c r="F1060" s="12" t="inlineStr">
        <is>
          <t>2.0 builds it (Q-31): the file viewer's kebab and the Files grid's menu.</t>
        </is>
      </c>
      <c r="G1060" s="12" t="inlineStr">
        <is>
          <t>13.01, 13.15</t>
        </is>
      </c>
      <c r="H1060" s="12" t="inlineStr"/>
      <c r="I1060" s="17" t="n"/>
      <c r="J1060" s="17" t="n"/>
    </row>
    <row r="1061">
      <c r="A1061" s="12" t="inlineStr">
        <is>
          <t>AI Visualizer</t>
        </is>
      </c>
      <c r="B1061" s="12" t="inlineStr">
        <is>
          <t>VL-01</t>
        </is>
      </c>
      <c r="C1061" s="12" t="inlineStr">
        <is>
          <t>The landing (designs)</t>
        </is>
      </c>
      <c r="D1061" s="14" t="inlineStr">
        <is>
          <t>Header AI Visualizer + New design</t>
        </is>
      </c>
      <c r="E1061" s="14" t="inlineStr">
        <is>
          <t>Built</t>
        </is>
      </c>
      <c r="F1061" s="12" t="inlineStr">
        <is>
          <t>L1 header; New design ▾ — Blank design · From a lead · From a sample room.</t>
        </is>
      </c>
      <c r="G1061" s="12" t="inlineStr">
        <is>
          <t>13.25</t>
        </is>
      </c>
      <c r="H1061" s="12" t="inlineStr"/>
      <c r="I1061" s="17" t="n"/>
      <c r="J1061" s="17" t="n"/>
    </row>
    <row r="1062">
      <c r="A1062" s="12" t="inlineStr">
        <is>
          <t>AI Visualizer</t>
        </is>
      </c>
      <c r="B1062" s="12" t="inlineStr">
        <is>
          <t>VL-02</t>
        </is>
      </c>
      <c r="C1062" s="12" t="inlineStr">
        <is>
          <t>The landing (designs)</t>
        </is>
      </c>
      <c r="D1062" s="14" t="inlineStr">
        <is>
          <t>First-run hero</t>
        </is>
      </c>
      <c r="E1062" s="14" t="inlineStr">
        <is>
          <t>Built</t>
        </is>
      </c>
      <c r="F1062" s="12" t="inlineStr">
        <is>
          <t>The gallery's empty state with the three steps and the same two actions.</t>
        </is>
      </c>
      <c r="G1062" s="12" t="inlineStr">
        <is>
          <t>13.25</t>
        </is>
      </c>
      <c r="H1062" s="12" t="inlineStr"/>
      <c r="I1062" s="17" t="n"/>
      <c r="J1062" s="17" t="n"/>
    </row>
    <row r="1063">
      <c r="A1063" s="12" t="inlineStr">
        <is>
          <t>AI Visualizer</t>
        </is>
      </c>
      <c r="B1063" s="12" t="inlineStr">
        <is>
          <t>VL-03</t>
        </is>
      </c>
      <c r="C1063" s="12" t="inlineStr">
        <is>
          <t>The landing (designs)</t>
        </is>
      </c>
      <c r="D1063" s="14" t="inlineStr">
        <is>
          <t>Start strip</t>
        </is>
      </c>
      <c r="E1063" s="14" t="inlineStr">
        <is>
          <t>Built</t>
        </is>
      </c>
      <c r="F1063" s="12" t="inlineStr">
        <is>
          <t>New design ▾ carries them (projects Later); the sample rooms are a third way in (Q-05).</t>
        </is>
      </c>
      <c r="G1063" s="12" t="inlineStr">
        <is>
          <t>13.25</t>
        </is>
      </c>
      <c r="H1063" s="12" t="inlineStr"/>
      <c r="I1063" s="17" t="n"/>
      <c r="J1063" s="17" t="n"/>
    </row>
    <row r="1064">
      <c r="A1064" s="12" t="inlineStr">
        <is>
          <t>AI Visualizer</t>
        </is>
      </c>
      <c r="B1064" s="12" t="inlineStr">
        <is>
          <t>VL-04</t>
        </is>
      </c>
      <c r="C1064" s="12" t="inlineStr">
        <is>
          <t>The landing (designs)</t>
        </is>
      </c>
      <c r="D1064" s="14" t="inlineStr">
        <is>
          <t>View chips All · Leads · Projects · Personal</t>
        </is>
      </c>
      <c r="E1064" s="14" t="inlineStr">
        <is>
          <t>Built</t>
        </is>
      </c>
      <c r="F1064" s="12" t="inlineStr">
        <is>
          <t>The gallery's scope pill Kind: All ▾ (REG-666's grammar) — Leads · Personal.</t>
        </is>
      </c>
      <c r="G1064" s="12" t="inlineStr">
        <is>
          <t>13.25</t>
        </is>
      </c>
      <c r="H1064" s="12" t="inlineStr"/>
      <c r="I1064" s="17" t="n"/>
      <c r="J1064" s="17" t="n"/>
    </row>
    <row r="1065">
      <c r="A1065" s="12" t="inlineStr">
        <is>
          <t>AI Visualizer</t>
        </is>
      </c>
      <c r="B1065" s="12" t="inlineStr">
        <is>
          <t>VL-05</t>
        </is>
      </c>
      <c r="C1065" s="12" t="inlineStr">
        <is>
          <t>The landing (designs)</t>
        </is>
      </c>
      <c r="D1065" s="14" t="inlineStr">
        <is>
          <t>Search</t>
        </is>
      </c>
      <c r="E1065" s="14" t="inlineStr">
        <is>
          <t>Built</t>
        </is>
      </c>
      <c r="F1065" s="12" t="inlineStr">
        <is>
          <t>The gallery's search (name, lead, room names).</t>
        </is>
      </c>
      <c r="G1065" s="12" t="inlineStr">
        <is>
          <t>13.25</t>
        </is>
      </c>
      <c r="H1065" s="12" t="inlineStr"/>
      <c r="I1065" s="17" t="n"/>
      <c r="J1065" s="17" t="n"/>
    </row>
    <row r="1066">
      <c r="A1066" s="12" t="inlineStr">
        <is>
          <t>AI Visualizer</t>
        </is>
      </c>
      <c r="B1066" s="12" t="inlineStr">
        <is>
          <t>VL-06</t>
        </is>
      </c>
      <c r="C1066" s="12" t="inlineStr">
        <is>
          <t>The landing (designs)</t>
        </is>
      </c>
      <c r="D1066" s="14" t="inlineStr">
        <is>
          <t>Folders for personal designs</t>
        </is>
      </c>
      <c r="E1066" s="14" t="inlineStr">
        <is>
          <t>Built</t>
        </is>
      </c>
      <c r="F1066" s="12" t="inlineStr">
        <is>
          <t>The house folders (library visualizer), personal designs only (Q-04).</t>
        </is>
      </c>
      <c r="G1066" s="12" t="inlineStr">
        <is>
          <t>13.26</t>
        </is>
      </c>
      <c r="H1066" s="12" t="inlineStr"/>
      <c r="I1066" s="17" t="n"/>
      <c r="J1066" s="17" t="n"/>
    </row>
    <row r="1067">
      <c r="A1067" s="12" t="inlineStr">
        <is>
          <t>AI Visualizer</t>
        </is>
      </c>
      <c r="B1067" s="12" t="inlineStr">
        <is>
          <t>VL-07</t>
        </is>
      </c>
      <c r="C1067" s="12" t="inlineStr">
        <is>
          <t>The landing (designs)</t>
        </is>
      </c>
      <c r="D1067" s="14" t="inlineStr">
        <is>
          <t>Continue row</t>
        </is>
      </c>
      <c r="E1067" s="14" t="inlineStr">
        <is>
          <t>Built</t>
        </is>
      </c>
      <c r="F1067" s="12" t="inlineStr">
        <is>
          <t>The gallery sorts by last edited; the cards say Edited 2h ago — no second row.</t>
        </is>
      </c>
      <c r="G1067" s="12" t="inlineStr">
        <is>
          <t>13.25</t>
        </is>
      </c>
      <c r="H1067" s="12" t="inlineStr"/>
      <c r="I1067" s="17" t="n"/>
      <c r="J1067" s="17" t="n"/>
    </row>
    <row r="1068">
      <c r="A1068" s="12" t="inlineStr">
        <is>
          <t>AI Visualizer</t>
        </is>
      </c>
      <c r="B1068" s="12" t="inlineStr">
        <is>
          <t>VL-08</t>
        </is>
      </c>
      <c r="C1068" s="12" t="inlineStr">
        <is>
          <t>The landing (designs)</t>
        </is>
      </c>
      <c r="D1068" s="14" t="inlineStr">
        <is>
          <t>Design card + mosaic</t>
        </is>
      </c>
      <c r="E1068" s="14" t="inlineStr">
        <is>
          <t>Built</t>
        </is>
      </c>
      <c r="F1068" s="12" t="inlineStr">
        <is>
          <t>The gallery card: the cover mosaic in the thumb band, the kind chip, the counts; kebab Open · Rename · Move · Duplicate · Delete.</t>
        </is>
      </c>
      <c r="G1068" s="12" t="inlineStr">
        <is>
          <t>13.27</t>
        </is>
      </c>
      <c r="H1068" s="12" t="inlineStr"/>
      <c r="I1068" s="17" t="n"/>
      <c r="J1068" s="17" t="n"/>
    </row>
    <row r="1069">
      <c r="A1069" s="12" t="inlineStr">
        <is>
          <t>AI Visualizer</t>
        </is>
      </c>
      <c r="B1069" s="12" t="inlineStr">
        <is>
          <t>VL-09</t>
        </is>
      </c>
      <c r="C1069" s="12" t="inlineStr">
        <is>
          <t>The landing (designs)</t>
        </is>
      </c>
      <c r="D1069" s="14" t="inlineStr">
        <is>
          <t>Design detail</t>
        </is>
      </c>
      <c r="E1069" s="14" t="inlineStr">
        <is>
          <t>Built</t>
        </is>
      </c>
      <c r="F1069" s="12" t="inlineStr">
        <is>
          <t>Not a separate page: the editor's room tabs are the rooms (one press fewer).</t>
        </is>
      </c>
      <c r="G1069" s="12" t="inlineStr">
        <is>
          <t>13.06</t>
        </is>
      </c>
      <c r="H1069" s="12" t="inlineStr"/>
      <c r="I1069" s="17" t="n"/>
      <c r="J1069" s="17" t="n"/>
    </row>
    <row r="1070">
      <c r="A1070" s="12" t="inlineStr">
        <is>
          <t>AI Visualizer</t>
        </is>
      </c>
      <c r="B1070" s="12" t="inlineStr">
        <is>
          <t>VL-10</t>
        </is>
      </c>
      <c r="C1070" s="12" t="inlineStr">
        <is>
          <t>The landing (designs)</t>
        </is>
      </c>
      <c r="D1070" s="14" t="inlineStr">
        <is>
          <t>Select + Move</t>
        </is>
      </c>
      <c r="E1070" s="14" t="inlineStr">
        <is>
          <t>Built</t>
        </is>
      </c>
      <c r="F1070" s="12" t="inlineStr">
        <is>
          <t>The gallery's selection + bulk bar (Move · Delete).</t>
        </is>
      </c>
      <c r="G1070" s="12" t="inlineStr">
        <is>
          <t>13.27</t>
        </is>
      </c>
      <c r="H1070" s="12" t="inlineStr"/>
      <c r="I1070" s="17" t="n"/>
      <c r="J1070" s="17" t="n"/>
    </row>
    <row r="1071">
      <c r="A1071" s="12" t="inlineStr">
        <is>
          <t>AI Visualizer</t>
        </is>
      </c>
      <c r="B1071" s="12" t="inlineStr">
        <is>
          <t>VL-11</t>
        </is>
      </c>
      <c r="C1071" s="12" t="inlineStr">
        <is>
          <t>The landing (designs)</t>
        </is>
      </c>
      <c r="D1071" s="14" t="inlineStr">
        <is>
          <t>Delete a design</t>
        </is>
      </c>
      <c r="E1071" s="14" t="inlineStr">
        <is>
          <t>Built</t>
        </is>
      </c>
      <c r="F1071" s="12" t="inlineStr">
        <is>
          <t>Soft delete with Undo; the Deleted sheet restores or deletes for good (REG-502's rule).</t>
        </is>
      </c>
      <c r="G1071" s="12" t="inlineStr">
        <is>
          <t>13.27</t>
        </is>
      </c>
      <c r="H1071" s="12" t="inlineStr"/>
      <c r="I1071" s="17" t="n"/>
      <c r="J1071" s="17" t="n"/>
    </row>
    <row r="1072">
      <c r="A1072" s="12" t="inlineStr">
        <is>
          <t>AI Visualizer</t>
        </is>
      </c>
      <c r="B1072" s="12" t="inlineStr">
        <is>
          <t>VL-12</t>
        </is>
      </c>
      <c r="C1072" s="12" t="inlineStr">
        <is>
          <t>The landing (designs)</t>
        </is>
      </c>
      <c r="D1072" s="14" t="inlineStr">
        <is>
          <t>Hidden empty lead designs</t>
        </is>
      </c>
      <c r="E1072" s="14" t="inlineStr">
        <is>
          <t>Built</t>
        </is>
      </c>
      <c r="F1072" s="12" t="inlineStr">
        <is>
          <t>A lead's design shows once it has a room.</t>
        </is>
      </c>
      <c r="G1072" s="12" t="inlineStr">
        <is>
          <t>13.25</t>
        </is>
      </c>
      <c r="H1072" s="12" t="inlineStr"/>
      <c r="I1072" s="17" t="n"/>
      <c r="J1072" s="17" t="n"/>
    </row>
    <row r="1073">
      <c r="A1073" s="12" t="inlineStr">
        <is>
          <t>AI Visualizer</t>
        </is>
      </c>
      <c r="B1073" s="12" t="inlineStr">
        <is>
          <t>VL-13</t>
        </is>
      </c>
      <c r="C1073" s="12" t="inlineStr">
        <is>
          <t>The landing (designs)</t>
        </is>
      </c>
      <c r="D1073" s="14" t="inlineStr">
        <is>
          <t>Workspace JSON, last writer wins</t>
        </is>
      </c>
      <c r="E1073" s="14" t="inlineStr">
        <is>
          <t>Built</t>
        </is>
      </c>
      <c r="F1073" s="12" t="inlineStr">
        <is>
          <t>Rows (§4).</t>
        </is>
      </c>
      <c r="G1073" s="12" t="inlineStr">
        <is>
          <t>13.12</t>
        </is>
      </c>
      <c r="H1073" s="12" t="inlineStr"/>
      <c r="I1073" s="17" t="n"/>
      <c r="J1073" s="17" t="n"/>
    </row>
    <row r="1074">
      <c r="A1074" s="12" t="inlineStr">
        <is>
          <t>AI Visualizer</t>
        </is>
      </c>
      <c r="B1074" s="12" t="inlineStr">
        <is>
          <t>VR-01</t>
        </is>
      </c>
      <c r="C1074" s="12" t="inlineStr">
        <is>
          <t>Rooms and upload</t>
        </is>
      </c>
      <c r="D1074" s="14" t="inlineStr">
        <is>
          <t>Empty state + Upload new room + Take photo</t>
        </is>
      </c>
      <c r="E1074" s="14" t="inlineStr">
        <is>
          <t>Built</t>
        </is>
      </c>
      <c r="F1074" s="12" t="inlineStr">
        <is>
          <t>The canvas empty state: Dropzone Upload a room photo · Take a photo (touch) · Use a sample room · From the lead's files (Q-31).</t>
        </is>
      </c>
      <c r="G1074" s="12" t="inlineStr">
        <is>
          <t>13.06, 13.26</t>
        </is>
      </c>
      <c r="H1074" s="12" t="inlineStr"/>
      <c r="I1074" s="17" t="n"/>
      <c r="J1074" s="17" t="n"/>
    </row>
    <row r="1075">
      <c r="A1075" s="12" t="inlineStr">
        <is>
          <t>AI Visualizer</t>
        </is>
      </c>
      <c r="B1075" s="12" t="inlineStr">
        <is>
          <t>VR-02</t>
        </is>
      </c>
      <c r="C1075" s="12" t="inlineStr">
        <is>
          <t>Rooms and upload</t>
        </is>
      </c>
      <c r="D1075" s="14" t="inlineStr">
        <is>
          <t>Room tabs + ⋯ Rename / Delete</t>
        </is>
      </c>
      <c r="E1075" s="14" t="inlineStr">
        <is>
          <t>Built</t>
        </is>
      </c>
      <c r="F1075" s="12" t="inlineStr">
        <is>
          <t>Room tabs in the top bar (a sheet on the phone); rename in place; delete with Undo (Q-11).</t>
        </is>
      </c>
      <c r="G1075" s="12" t="inlineStr">
        <is>
          <t>13.02</t>
        </is>
      </c>
      <c r="H1075" s="12" t="inlineStr"/>
      <c r="I1075" s="17" t="n"/>
      <c r="J1075" s="17" t="n"/>
    </row>
    <row r="1076">
      <c r="A1076" s="12" t="inlineStr">
        <is>
          <t>AI Visualizer</t>
        </is>
      </c>
      <c r="B1076" s="12" t="inlineStr">
        <is>
          <t>VR-03</t>
        </is>
      </c>
      <c r="C1076" s="12" t="inlineStr">
        <is>
          <t>Rooms and upload</t>
        </is>
      </c>
      <c r="D1076" s="14" t="inlineStr">
        <is>
          <t>Accepted files, 10 MB, HEIC</t>
        </is>
      </c>
      <c r="E1076" s="14" t="inlineStr">
        <is>
          <t>Built</t>
        </is>
      </c>
      <c r="F1076" s="12" t="inlineStr">
        <is>
          <t>JPG · PNG · WebP up to 10 MB, the house words; HEIC is Platform (the browser cannot read it without the converter) — the error says so.</t>
        </is>
      </c>
      <c r="G1076" s="12" t="inlineStr">
        <is>
          <t>13.06</t>
        </is>
      </c>
      <c r="H1076" s="12" t="inlineStr"/>
      <c r="I1076" s="17" t="n"/>
      <c r="J1076" s="17" t="n"/>
    </row>
    <row r="1077">
      <c r="A1077" s="12" t="inlineStr">
        <is>
          <t>AI Visualizer</t>
        </is>
      </c>
      <c r="B1077" s="12" t="inlineStr">
        <is>
          <t>VR-04</t>
        </is>
      </c>
      <c r="C1077" s="12" t="inlineStr">
        <is>
          <t>Rooms and upload</t>
        </is>
      </c>
      <c r="D1077" s="14" t="inlineStr">
        <is>
          <t>Bucket crop + downscales</t>
        </is>
      </c>
      <c r="E1077" s="14" t="inlineStr">
        <is>
          <t>Platform</t>
        </is>
      </c>
      <c r="F1077" s="12" t="inlineStr">
        <is>
          <t>The photo is scaled to 1600 on its long side for the engine; the stored copy is that scaled JPEG.</t>
        </is>
      </c>
      <c r="G1077" s="12" t="inlineStr"/>
      <c r="H1077" s="12" t="inlineStr"/>
      <c r="I1077" s="17" t="n"/>
      <c r="J1077" s="17" t="n"/>
    </row>
    <row r="1078">
      <c r="A1078" s="12" t="inlineStr">
        <is>
          <t>AI Visualizer</t>
        </is>
      </c>
      <c r="B1078" s="12" t="inlineStr">
        <is>
          <t>VR-05</t>
        </is>
      </c>
      <c r="C1078" s="12" t="inlineStr">
        <is>
          <t>Rooms and upload</t>
        </is>
      </c>
      <c r="D1078" s="14" t="inlineStr">
        <is>
          <t>Change photo</t>
        </is>
      </c>
      <c r="E1078" s="14" t="inlineStr">
        <is>
          <t>Built</t>
        </is>
      </c>
      <c r="F1078" s="12" t="inlineStr">
        <is>
          <t>The same rule (renders keep their photo).</t>
        </is>
      </c>
      <c r="G1078" s="12" t="inlineStr">
        <is>
          <t>13.02</t>
        </is>
      </c>
      <c r="H1078" s="12" t="inlineStr"/>
      <c r="I1078" s="17" t="n"/>
      <c r="J1078" s="17" t="n"/>
    </row>
    <row r="1079">
      <c r="A1079" s="12" t="inlineStr">
        <is>
          <t>AI Visualizer</t>
        </is>
      </c>
      <c r="B1079" s="12" t="inlineStr">
        <is>
          <t>VR-06</t>
        </is>
      </c>
      <c r="C1079" s="12" t="inlineStr">
        <is>
          <t>Rooms and upload</t>
        </is>
      </c>
      <c r="D1079" s="14" t="inlineStr">
        <is>
          <t>Auto-load + auto-detect a stored room</t>
        </is>
      </c>
      <c r="E1079" s="14" t="inlineStr">
        <is>
          <t>Built</t>
        </is>
      </c>
      <c r="F1079" s="12" t="inlineStr">
        <is>
          <t>The room's detection is stored with it (Q-07) — nothing to re-run.</t>
        </is>
      </c>
      <c r="G1079" s="12" t="inlineStr">
        <is>
          <t>13.12</t>
        </is>
      </c>
      <c r="H1079" s="12" t="inlineStr"/>
      <c r="I1079" s="17" t="n"/>
      <c r="J1079" s="17" t="n"/>
    </row>
    <row r="1080">
      <c r="A1080" s="12" t="inlineStr">
        <is>
          <t>AI Visualizer</t>
        </is>
      </c>
      <c r="B1080" s="12" t="inlineStr">
        <is>
          <t>VD-01</t>
        </is>
      </c>
      <c r="C1080" s="12" t="inlineStr">
        <is>
          <t>Detection, markers, place and draw</t>
        </is>
      </c>
      <c r="D1080" s="14" t="inlineStr">
        <is>
          <t>The detect call</t>
        </is>
      </c>
      <c r="E1080" s="14" t="inlineStr">
        <is>
          <t>Platform</t>
        </is>
      </c>
      <c r="F1080" s="12" t="inlineStr">
        <is>
          <t>The curated reading (§5.2): sample rooms carry their surfaces and furniture; other photos get 1.0's own fallback set.</t>
        </is>
      </c>
      <c r="G1080" s="12" t="inlineStr"/>
      <c r="H1080" s="12" t="inlineStr"/>
      <c r="I1080" s="17" t="n"/>
      <c r="J1080" s="17" t="n"/>
    </row>
    <row r="1081">
      <c r="A1081" s="12" t="inlineStr">
        <is>
          <t>AI Visualizer</t>
        </is>
      </c>
      <c r="B1081" s="12" t="inlineStr">
        <is>
          <t>VD-02</t>
        </is>
      </c>
      <c r="C1081" s="12" t="inlineStr">
        <is>
          <t>Detection, markers, place and draw</t>
        </is>
      </c>
      <c r="D1081" s="14" t="inlineStr">
        <is>
          <t>Failure fallback Walls · Floor · Ceiling</t>
        </is>
      </c>
      <c r="E1081" s="14" t="inlineStr">
        <is>
          <t>Built</t>
        </is>
      </c>
      <c r="F1081" s="12" t="inlineStr">
        <is>
          <t>The fallback for every unknown photo — placed where the photo's colour regions are, not at fixed points.</t>
        </is>
      </c>
      <c r="G1081" s="12" t="inlineStr">
        <is>
          <t>13.01</t>
        </is>
      </c>
      <c r="H1081" s="12" t="inlineStr"/>
      <c r="I1081" s="17" t="n"/>
      <c r="J1081" s="17" t="n"/>
    </row>
    <row r="1082">
      <c r="A1082" s="12" t="inlineStr">
        <is>
          <t>AI Visualizer</t>
        </is>
      </c>
      <c r="B1082" s="12" t="inlineStr">
        <is>
          <t>VD-03</t>
        </is>
      </c>
      <c r="C1082" s="12" t="inlineStr">
        <is>
          <t>Detection, markers, place and draw</t>
        </is>
      </c>
      <c r="D1082" s="14" t="inlineStr">
        <is>
          <t>Markers — squares for surfaces, circles for furniture; panel-scoped</t>
        </is>
      </c>
      <c r="E1082" s="14" t="inlineStr">
        <is>
          <t>Built</t>
        </is>
      </c>
      <c r="F1082" s="12" t="inlineStr">
        <is>
          <t>The same shapes and scoping; one toggle Markers; a selected surface lights its region on the photo (2.0 only).</t>
        </is>
      </c>
      <c r="G1082" s="12" t="inlineStr">
        <is>
          <t>13.01</t>
        </is>
      </c>
      <c r="H1082" s="12" t="inlineStr"/>
      <c r="I1082" s="17" t="n"/>
      <c r="J1082" s="17" t="n"/>
    </row>
    <row r="1083">
      <c r="A1083" s="12" t="inlineStr">
        <is>
          <t>AI Visualizer</t>
        </is>
      </c>
      <c r="B1083" s="12" t="inlineStr">
        <is>
          <t>VD-04</t>
        </is>
      </c>
      <c r="C1083" s="12" t="inlineStr">
        <is>
          <t>Detection, markers, place and draw</t>
        </is>
      </c>
      <c r="D1083" s="14" t="inlineStr">
        <is>
          <t>Place mode</t>
        </is>
      </c>
      <c r="E1083" s="14" t="inlineStr">
        <is>
          <t>Built</t>
        </is>
      </c>
      <c r="F1083" s="12" t="inlineStr">
        <is>
          <t>Same, with the place banner and Cancel.</t>
        </is>
      </c>
      <c r="G1083" s="12" t="inlineStr">
        <is>
          <t>13.02</t>
        </is>
      </c>
      <c r="H1083" s="12" t="inlineStr"/>
      <c r="I1083" s="17" t="n"/>
      <c r="J1083" s="17" t="n"/>
    </row>
    <row r="1084">
      <c r="A1084" s="12" t="inlineStr">
        <is>
          <t>AI Visualizer</t>
        </is>
      </c>
      <c r="B1084" s="12" t="inlineStr">
        <is>
          <t>VD-05</t>
        </is>
      </c>
      <c r="C1084" s="12" t="inlineStr">
        <is>
          <t>Detection, markers, place and draw</t>
        </is>
      </c>
      <c r="D1084" s="14" t="inlineStr">
        <is>
          <t>Lasso re-detect</t>
        </is>
      </c>
      <c r="E1084" s="14" t="inlineStr">
        <is>
          <t>Platform</t>
        </is>
      </c>
      <c r="F1084" s="12" t="inlineStr">
        <is>
          <t>Draw a surface (2.0): the lasso draws the region itself and names it — the engine's regions need no model.</t>
        </is>
      </c>
      <c r="G1084" s="12" t="inlineStr"/>
      <c r="H1084" s="12" t="inlineStr"/>
      <c r="I1084" s="17" t="n"/>
      <c r="J1084" s="17" t="n"/>
    </row>
    <row r="1085">
      <c r="A1085" s="12" t="inlineStr">
        <is>
          <t>AI Visualizer</t>
        </is>
      </c>
      <c r="B1085" s="12" t="inlineStr">
        <is>
          <t>VD-06</t>
        </is>
      </c>
      <c r="C1085" s="12" t="inlineStr">
        <is>
          <t>Detection, markers, place and draw</t>
        </is>
      </c>
      <c r="D1085" s="14" t="inlineStr">
        <is>
          <t>Remove from the list + pick-to-remove</t>
        </is>
      </c>
      <c r="E1085" s="14" t="inlineStr">
        <is>
          <t>Built</t>
        </is>
      </c>
      <c r="F1085" s="12" t="inlineStr">
        <is>
          <t>Same words; Undo.</t>
        </is>
      </c>
      <c r="G1085" s="12" t="inlineStr">
        <is>
          <t>13.02</t>
        </is>
      </c>
      <c r="H1085" s="12" t="inlineStr"/>
      <c r="I1085" s="17" t="n"/>
      <c r="J1085" s="17" t="n"/>
    </row>
    <row r="1086">
      <c r="A1086" s="12" t="inlineStr">
        <is>
          <t>AI Visualizer</t>
        </is>
      </c>
      <c r="B1086" s="12" t="inlineStr">
        <is>
          <t>VD-07</t>
        </is>
      </c>
      <c r="C1086" s="12" t="inlineStr">
        <is>
          <t>Detection, markers, place and draw</t>
        </is>
      </c>
      <c r="D1086" s="14" t="inlineStr">
        <is>
          <t>Sketch classification</t>
        </is>
      </c>
      <c r="E1086" s="14" t="inlineStr">
        <is>
          <t>Built</t>
        </is>
      </c>
      <c r="F1086" s="12" t="inlineStr">
        <is>
          <t>The sample kitchen sketch reads as a sketch; Render from sketch is the primary; Not a sketch? Use as it is.</t>
        </is>
      </c>
      <c r="G1086" s="12" t="inlineStr">
        <is>
          <t>13.26</t>
        </is>
      </c>
      <c r="H1086" s="12" t="inlineStr"/>
      <c r="I1086" s="17" t="n"/>
      <c r="J1086" s="17" t="n"/>
    </row>
    <row r="1087">
      <c r="A1087" s="12" t="inlineStr">
        <is>
          <t>AI Visualizer</t>
        </is>
      </c>
      <c r="B1087" s="12" t="inlineStr">
        <is>
          <t>VS-01</t>
        </is>
      </c>
      <c r="C1087" s="12" t="inlineStr">
        <is>
          <t>Surfaces and materials</t>
        </is>
      </c>
      <c r="D1087" s="14" t="inlineStr">
        <is>
          <t>Two-level list — 13 structural groups, identical labels ×N, bulk per group</t>
        </is>
      </c>
      <c r="E1087" s="14" t="inlineStr">
        <is>
          <t>Built</t>
        </is>
      </c>
      <c r="F1087" s="12" t="inlineStr">
        <is>
          <t>Same model and words.</t>
        </is>
      </c>
      <c r="G1087" s="12" t="inlineStr">
        <is>
          <t>13.03, 13.09</t>
        </is>
      </c>
      <c r="H1087" s="12" t="inlineStr"/>
      <c r="I1087" s="17" t="n"/>
      <c r="J1087" s="17" t="n"/>
    </row>
    <row r="1088">
      <c r="A1088" s="12" t="inlineStr">
        <is>
          <t>AI Visualizer</t>
        </is>
      </c>
      <c r="B1088" s="12" t="inlineStr">
        <is>
          <t>VS-02</t>
        </is>
      </c>
      <c r="C1088" s="12" t="inlineStr">
        <is>
          <t>Surfaces and materials</t>
        </is>
      </c>
      <c r="D1088" s="14" t="inlineStr">
        <is>
          <t>Assign / None</t>
        </is>
      </c>
      <c r="E1088" s="14" t="inlineStr">
        <is>
          <t>Built</t>
        </is>
      </c>
      <c r="F1088" s="12" t="inlineStr">
        <is>
          <t>Same.</t>
        </is>
      </c>
      <c r="G1088" s="12" t="inlineStr">
        <is>
          <t>13.03</t>
        </is>
      </c>
      <c r="H1088" s="12" t="inlineStr"/>
      <c r="I1088" s="17" t="n"/>
      <c r="J1088" s="17" t="n"/>
    </row>
    <row r="1089">
      <c r="A1089" s="12" t="inlineStr">
        <is>
          <t>AI Visualizer</t>
        </is>
      </c>
      <c r="B1089" s="12" t="inlineStr">
        <is>
          <t>VS-03</t>
        </is>
      </c>
      <c r="C1089" s="12" t="inlineStr">
        <is>
          <t>Surfaces and materials</t>
        </is>
      </c>
      <c r="D1089" s="14" t="inlineStr">
        <is>
          <t>The picker — search, None, Suggested, category chips, Recent, Upload, library, customs, brands</t>
        </is>
      </c>
      <c r="E1089" s="14" t="inlineStr">
        <is>
          <t>Built</t>
        </is>
      </c>
      <c r="F1089" s="12" t="inlineStr">
        <is>
          <t>One picker (a rail panel; a sheet on the phone): search · None · Suggested for {surface} · {style} · Recent · Your library · categories · Gush Paints / Gush Enamel.</t>
        </is>
      </c>
      <c r="G1089" s="12" t="inlineStr">
        <is>
          <t>13.03, 13.29, 13.30</t>
        </is>
      </c>
      <c r="H1089" s="12" t="inlineStr"/>
      <c r="I1089" s="17" t="n"/>
      <c r="J1089" s="17" t="n"/>
    </row>
    <row r="1090">
      <c r="A1090" s="12" t="inlineStr">
        <is>
          <t>AI Visualizer</t>
        </is>
      </c>
      <c r="B1090" s="12" t="inlineStr">
        <is>
          <t>VS-04</t>
        </is>
      </c>
      <c r="C1090" s="12" t="inlineStr">
        <is>
          <t>Surfaces and materials</t>
        </is>
      </c>
      <c r="D1090" s="14" t="inlineStr">
        <is>
          <t>suggestMaterials + the category maps</t>
        </is>
      </c>
      <c r="E1090" s="14" t="inlineStr">
        <is>
          <t>Built</t>
        </is>
      </c>
      <c r="F1090" s="12" t="inlineStr">
        <is>
          <t>Ported as they are (lib/visualizer/catalogue.ts).</t>
        </is>
      </c>
      <c r="G1090" s="12" t="inlineStr">
        <is>
          <t>13.31</t>
        </is>
      </c>
      <c r="H1090" s="12" t="inlineStr"/>
      <c r="I1090" s="17" t="n"/>
      <c r="J1090" s="17" t="n"/>
    </row>
    <row r="1091">
      <c r="A1091" s="12" t="inlineStr">
        <is>
          <t>AI Visualizer</t>
        </is>
      </c>
      <c r="B1091" s="12" t="inlineStr">
        <is>
          <t>VS-05</t>
        </is>
      </c>
      <c r="C1091" s="12" t="inlineStr">
        <is>
          <t>Surfaces and materials</t>
        </is>
      </c>
      <c r="D1091" s="14" t="inlineStr">
        <is>
          <t>The stock catalogue — 136 generic + 310 Gush</t>
        </is>
      </c>
      <c r="E1091" s="14" t="inlineStr">
        <is>
          <t>Built</t>
        </is>
      </c>
      <c r="F1091" s="12" t="inlineStr">
        <is>
          <t>Ported whole (Q-19).</t>
        </is>
      </c>
      <c r="G1091" s="12" t="inlineStr">
        <is>
          <t>13.03</t>
        </is>
      </c>
      <c r="H1091" s="12" t="inlineStr"/>
      <c r="I1091" s="17" t="n"/>
      <c r="J1091" s="17" t="n"/>
    </row>
    <row r="1092">
      <c r="A1092" s="12" t="inlineStr">
        <is>
          <t>AI Visualizer</t>
        </is>
      </c>
      <c r="B1092" s="12" t="inlineStr">
        <is>
          <t>VS-06</t>
        </is>
      </c>
      <c r="C1092" s="12" t="inlineStr">
        <is>
          <t>Surfaces and materials</t>
        </is>
      </c>
      <c r="D1092" s="14" t="inlineStr">
        <is>
          <t>Custom material upload + Save to studio library</t>
        </is>
      </c>
      <c r="E1092" s="14" t="inlineStr">
        <is>
          <t>Built</t>
        </is>
      </c>
      <c r="F1092" s="12" t="inlineStr">
        <is>
          <t>Upload a swatch → the dialog (name, category, Save to the studio's materials) (Q-18).</t>
        </is>
      </c>
      <c r="G1092" s="12" t="inlineStr">
        <is>
          <t>13.29</t>
        </is>
      </c>
      <c r="H1092" s="12" t="inlineStr"/>
      <c r="I1092" s="17" t="n"/>
      <c r="J1092" s="17" t="n"/>
    </row>
    <row r="1093">
      <c r="A1093" s="12" t="inlineStr">
        <is>
          <t>AI Visualizer</t>
        </is>
      </c>
      <c r="B1093" s="12" t="inlineStr">
        <is>
          <t>VS-07</t>
        </is>
      </c>
      <c r="C1093" s="12" t="inlineStr">
        <is>
          <t>Surfaces and materials</t>
        </is>
      </c>
      <c r="D1093" s="14" t="inlineStr">
        <is>
          <t>Recent</t>
        </is>
      </c>
      <c r="E1093" s="14" t="inlineStr">
        <is>
          <t>Built</t>
        </is>
      </c>
      <c r="F1093" s="12" t="inlineStr">
        <is>
          <t>Same (om.viz.recent).</t>
        </is>
      </c>
      <c r="G1093" s="12" t="inlineStr">
        <is>
          <t>13.03</t>
        </is>
      </c>
      <c r="H1093" s="12" t="inlineStr"/>
      <c r="I1093" s="17" t="n"/>
      <c r="J1093" s="17" t="n"/>
    </row>
    <row r="1094">
      <c r="A1094" s="12" t="inlineStr">
        <is>
          <t>AI Visualizer</t>
        </is>
      </c>
      <c r="B1094" s="12" t="inlineStr">
        <is>
          <t>VS-08</t>
        </is>
      </c>
      <c r="C1094" s="12" t="inlineStr">
        <is>
          <t>Surfaces and materials</t>
        </is>
      </c>
      <c r="D1094" s="14" t="inlineStr">
        <is>
          <t>Masked composite for surface-only renders</t>
        </is>
      </c>
      <c r="E1094" s="14" t="inlineStr">
        <is>
          <t>Platform</t>
        </is>
      </c>
      <c r="F1094" s="12" t="inlineStr">
        <is>
          <t>The engine only ever changes a surface's region (§5.3).</t>
        </is>
      </c>
      <c r="G1094" s="12" t="inlineStr"/>
      <c r="H1094" s="12" t="inlineStr"/>
      <c r="I1094" s="17" t="n"/>
      <c r="J1094" s="17" t="n"/>
    </row>
    <row r="1095">
      <c r="A1095" s="12" t="inlineStr">
        <is>
          <t>AI Visualizer</t>
        </is>
      </c>
      <c r="B1095" s="12" t="inlineStr">
        <is>
          <t>VF-01</t>
        </is>
      </c>
      <c r="C1095" s="12" t="inlineStr">
        <is>
          <t>Furniture</t>
        </is>
      </c>
      <c r="D1095" s="14" t="inlineStr">
        <is>
          <t>Rows per group ×N, remove · replace · customize</t>
        </is>
      </c>
      <c r="E1095" s="14" t="inlineStr">
        <is>
          <t>Built</t>
        </is>
      </c>
      <c r="F1095" s="12" t="inlineStr">
        <is>
          <t>Same.</t>
        </is>
      </c>
      <c r="G1095" s="12" t="inlineStr">
        <is>
          <t>13.07</t>
        </is>
      </c>
      <c r="H1095" s="12" t="inlineStr"/>
      <c r="I1095" s="17" t="n"/>
      <c r="J1095" s="17" t="n"/>
    </row>
    <row r="1096">
      <c r="A1096" s="12" t="inlineStr">
        <is>
          <t>AI Visualizer</t>
        </is>
      </c>
      <c r="B1096" s="12" t="inlineStr">
        <is>
          <t>VF-02</t>
        </is>
      </c>
      <c r="C1096" s="12" t="inlineStr">
        <is>
          <t>Furniture</t>
        </is>
      </c>
      <c r="D1096" s="14" t="inlineStr">
        <is>
          <t>Replace — Quick pick presets, describe, reference photo</t>
        </is>
      </c>
      <c r="E1096" s="14" t="inlineStr">
        <is>
          <t>Built</t>
        </is>
      </c>
      <c r="F1096" s="12" t="inlineStr">
        <is>
          <t>Same picker; the engine answers Replace honestly (Q-21).</t>
        </is>
      </c>
      <c r="G1096" s="12" t="inlineStr">
        <is>
          <t>13.07</t>
        </is>
      </c>
      <c r="H1096" s="12" t="inlineStr"/>
      <c r="I1096" s="17" t="n"/>
      <c r="J1096" s="17" t="n"/>
    </row>
    <row r="1097">
      <c r="A1097" s="12" t="inlineStr">
        <is>
          <t>AI Visualizer</t>
        </is>
      </c>
      <c r="B1097" s="12" t="inlineStr">
        <is>
          <t>VF-03</t>
        </is>
      </c>
      <c r="C1097" s="12" t="inlineStr">
        <is>
          <t>Furniture</t>
        </is>
      </c>
      <c r="D1097" s="14" t="inlineStr">
        <is>
          <t>Customize — finish tables by label, 12 colours, describe</t>
        </is>
      </c>
      <c r="E1097" s="14" t="inlineStr">
        <is>
          <t>Built</t>
        </is>
      </c>
      <c r="F1097" s="12" t="inlineStr">
        <is>
          <t>Same chips; the engine recolours the piece (§5.3).</t>
        </is>
      </c>
      <c r="G1097" s="12" t="inlineStr">
        <is>
          <t>13.07</t>
        </is>
      </c>
      <c r="H1097" s="12" t="inlineStr"/>
      <c r="I1097" s="17" t="n"/>
      <c r="J1097" s="17" t="n"/>
    </row>
    <row r="1098">
      <c r="A1098" s="12" t="inlineStr">
        <is>
          <t>AI Visualizer</t>
        </is>
      </c>
      <c r="B1098" s="12" t="inlineStr">
        <is>
          <t>VF-04</t>
        </is>
      </c>
      <c r="C1098" s="12" t="inlineStr">
        <is>
          <t>Furniture</t>
        </is>
      </c>
      <c r="D1098" s="14" t="inlineStr">
        <is>
          <t>Add furniture with a category</t>
        </is>
      </c>
      <c r="E1098" s="14" t="inlineStr">
        <is>
          <t>Built</t>
        </is>
      </c>
      <c r="F1098" s="12" t="inlineStr">
        <is>
          <t>Same.</t>
        </is>
      </c>
      <c r="G1098" s="12" t="inlineStr">
        <is>
          <t>13.02</t>
        </is>
      </c>
      <c r="H1098" s="12" t="inlineStr"/>
      <c r="I1098" s="17" t="n"/>
      <c r="J1098" s="17" t="n"/>
    </row>
    <row r="1099">
      <c r="A1099" s="12" t="inlineStr">
        <is>
          <t>AI Visualizer</t>
        </is>
      </c>
      <c r="B1099" s="12" t="inlineStr">
        <is>
          <t>VT-01</t>
        </is>
      </c>
      <c r="C1099" s="12" t="inlineStr">
        <is>
          <t>Style</t>
        </is>
      </c>
      <c r="D1099" s="14" t="inlineStr">
        <is>
          <t>None + 25 styles with palettes</t>
        </is>
      </c>
      <c r="E1099" s="14" t="inlineStr">
        <is>
          <t>Built</t>
        </is>
      </c>
      <c r="F1099" s="12" t="inlineStr">
        <is>
          <t>Same list and words.</t>
        </is>
      </c>
      <c r="G1099" s="12" t="inlineStr">
        <is>
          <t>13.08</t>
        </is>
      </c>
      <c r="H1099" s="12" t="inlineStr"/>
      <c r="I1099" s="17" t="n"/>
      <c r="J1099" s="17" t="n"/>
    </row>
    <row r="1100">
      <c r="A1100" s="12" t="inlineStr">
        <is>
          <t>AI Visualizer</t>
        </is>
      </c>
      <c r="B1100" s="12" t="inlineStr">
        <is>
          <t>VT-02</t>
        </is>
      </c>
      <c r="C1100" s="12" t="inlineStr">
        <is>
          <t>Style</t>
        </is>
      </c>
      <c r="D1100" s="14" t="inlineStr">
        <is>
          <t>Style resets on a fresh photo / the Original</t>
        </is>
      </c>
      <c r="E1100" s="14" t="inlineStr">
        <is>
          <t>Built</t>
        </is>
      </c>
      <c r="F1100" s="12" t="inlineStr">
        <is>
          <t>Same.</t>
        </is>
      </c>
      <c r="G1100" s="12" t="inlineStr">
        <is>
          <t>13.08</t>
        </is>
      </c>
      <c r="H1100" s="12" t="inlineStr"/>
      <c r="I1100" s="17" t="n"/>
      <c r="J1100" s="17" t="n"/>
    </row>
    <row r="1101">
      <c r="A1101" s="12" t="inlineStr">
        <is>
          <t>AI Visualizer</t>
        </is>
      </c>
      <c r="B1101" s="12" t="inlineStr">
        <is>
          <t>VT-03</t>
        </is>
      </c>
      <c r="C1101" s="12" t="inlineStr">
        <is>
          <t>Style</t>
        </is>
      </c>
      <c r="D1101" s="14" t="inlineStr">
        <is>
          <t>Homeowner palette preference</t>
        </is>
      </c>
      <c r="E1101" s="14" t="inlineStr">
        <is>
          <t>Built</t>
        </is>
      </c>
      <c r="F1101" s="12" t="inlineStr">
        <is>
          <t>The lead's style leads the list: Kevin's style: Contemporary → Modern (Q-32).</t>
        </is>
      </c>
      <c r="G1101" s="12" t="inlineStr">
        <is>
          <t>13.31</t>
        </is>
      </c>
      <c r="H1101" s="12" t="inlineStr"/>
      <c r="I1101" s="17" t="n"/>
      <c r="J1101" s="17" t="n"/>
    </row>
    <row r="1102">
      <c r="A1102" s="12" t="inlineStr">
        <is>
          <t>AI Visualizer</t>
        </is>
      </c>
      <c r="B1102" s="12" t="inlineStr">
        <is>
          <t>VT-04</t>
        </is>
      </c>
      <c r="C1102" s="12" t="inlineStr">
        <is>
          <t>Style</t>
        </is>
      </c>
      <c r="D1102" s="14" t="inlineStr">
        <is>
          <t>Style Transfer</t>
        </is>
      </c>
      <c r="E1102" s="14" t="inlineStr">
        <is>
          <t>Built</t>
        </is>
      </c>
      <c r="F1102" s="12" t="inlineStr">
        <is>
          <t>Same controls; the engine reads each reference's palette (§5.4).</t>
        </is>
      </c>
      <c r="G1102" s="12" t="inlineStr">
        <is>
          <t>13.11</t>
        </is>
      </c>
      <c r="H1102" s="12" t="inlineStr"/>
      <c r="I1102" s="17" t="n"/>
      <c r="J1102" s="17" t="n"/>
    </row>
    <row r="1103">
      <c r="A1103" s="12" t="inlineStr">
        <is>
          <t>AI Visualizer</t>
        </is>
      </c>
      <c r="B1103" s="12" t="inlineStr">
        <is>
          <t>VG-01</t>
        </is>
      </c>
      <c r="C1103" s="12" t="inlineStr">
        <is>
          <t>Lighting</t>
        </is>
      </c>
      <c r="D1103" s="14" t="inlineStr">
        <is>
          <t>Six presets with photos</t>
        </is>
      </c>
      <c r="E1103" s="14" t="inlineStr">
        <is>
          <t>Built</t>
        </is>
      </c>
      <c r="F1103" s="12" t="inlineStr">
        <is>
          <t>Same, with 1.0's photos.</t>
        </is>
      </c>
      <c r="G1103" s="12" t="inlineStr">
        <is>
          <t>13.08</t>
        </is>
      </c>
      <c r="H1103" s="12" t="inlineStr"/>
      <c r="I1103" s="17" t="n"/>
      <c r="J1103" s="17" t="n"/>
    </row>
    <row r="1104">
      <c r="A1104" s="12" t="inlineStr">
        <is>
          <t>AI Visualizer</t>
        </is>
      </c>
      <c r="B1104" s="12" t="inlineStr">
        <is>
          <t>VG-02</t>
        </is>
      </c>
      <c r="C1104" s="12" t="inlineStr">
        <is>
          <t>Lighting</t>
        </is>
      </c>
      <c r="D1104" s="14" t="inlineStr">
        <is>
          <t>Advanced sliders + word labels, fixtures, instruction</t>
        </is>
      </c>
      <c r="E1104" s="14" t="inlineStr">
        <is>
          <t>Built</t>
        </is>
      </c>
      <c r="F1104" s="12" t="inlineStr">
        <is>
          <t>Same.</t>
        </is>
      </c>
      <c r="G1104" s="12" t="inlineStr">
        <is>
          <t>13.08</t>
        </is>
      </c>
      <c r="H1104" s="12" t="inlineStr"/>
      <c r="I1104" s="17" t="n"/>
      <c r="J1104" s="17" t="n"/>
    </row>
    <row r="1105">
      <c r="A1105" s="12" t="inlineStr">
        <is>
          <t>AI Visualizer</t>
        </is>
      </c>
      <c r="B1105" s="12" t="inlineStr">
        <is>
          <t>VG-03</t>
        </is>
      </c>
      <c r="C1105" s="12" t="inlineStr">
        <is>
          <t>Lighting</t>
        </is>
      </c>
      <c r="D1105" s="14" t="inlineStr">
        <is>
          <t>Relight pass + the live result panel</t>
        </is>
      </c>
      <c r="E1105" s="14" t="inlineStr">
        <is>
          <t>Built</t>
        </is>
      </c>
      <c r="F1105" s="12" t="inlineStr">
        <is>
          <t>One step (Q-22): the canvas previews the lighting live as the sliders move; Generate keeps it as a version.</t>
        </is>
      </c>
      <c r="G1105" s="12" t="inlineStr">
        <is>
          <t>13.08</t>
        </is>
      </c>
      <c r="H1105" s="12" t="inlineStr"/>
      <c r="I1105" s="17" t="n"/>
      <c r="J1105" s="17" t="n"/>
    </row>
    <row r="1106">
      <c r="A1106" s="12" t="inlineStr">
        <is>
          <t>AI Visualizer</t>
        </is>
      </c>
      <c r="B1106" s="12" t="inlineStr">
        <is>
          <t>VO-01</t>
        </is>
      </c>
      <c r="C1106" s="12" t="inlineStr">
        <is>
          <t>Tools</t>
        </is>
      </c>
      <c r="D1106" s="14" t="inlineStr">
        <is>
          <t>Empty the room — Keep built-ins / Strip to shell, extra items</t>
        </is>
      </c>
      <c r="E1106" s="14" t="inlineStr">
        <is>
          <t>Built</t>
        </is>
      </c>
      <c r="F1106" s="12" t="inlineStr">
        <is>
          <t>Same words; the engine where an empty plate exists (Q-23).</t>
        </is>
      </c>
      <c r="G1106" s="12" t="inlineStr">
        <is>
          <t>13.10</t>
        </is>
      </c>
      <c r="H1106" s="12" t="inlineStr"/>
      <c r="I1106" s="17" t="n"/>
      <c r="J1106" s="17" t="n"/>
    </row>
    <row r="1107">
      <c r="A1107" s="12" t="inlineStr">
        <is>
          <t>AI Visualizer</t>
        </is>
      </c>
      <c r="B1107" s="12" t="inlineStr">
        <is>
          <t>VO-02</t>
        </is>
      </c>
      <c r="C1107" s="12" t="inlineStr">
        <is>
          <t>Tools</t>
        </is>
      </c>
      <c r="D1107" s="14" t="inlineStr">
        <is>
          <t>Auto Furnish — room programs, density, leave out, direction, the scan note</t>
        </is>
      </c>
      <c r="E1107" s="14" t="inlineStr">
        <is>
          <t>Built</t>
        </is>
      </c>
      <c r="F1107" s="12" t="inlineStr">
        <is>
          <t>Same controls on every width.</t>
        </is>
      </c>
      <c r="G1107" s="12" t="inlineStr">
        <is>
          <t>13.10</t>
        </is>
      </c>
      <c r="H1107" s="12" t="inlineStr"/>
      <c r="I1107" s="17" t="n"/>
      <c r="J1107" s="17" t="n"/>
    </row>
    <row r="1108">
      <c r="A1108" s="12" t="inlineStr">
        <is>
          <t>AI Visualizer</t>
        </is>
      </c>
      <c r="B1108" s="12" t="inlineStr">
        <is>
          <t>VO-03</t>
        </is>
      </c>
      <c r="C1108" s="12" t="inlineStr">
        <is>
          <t>Tools</t>
        </is>
      </c>
      <c r="D1108" s="14" t="inlineStr">
        <is>
          <t>Sketch to photo — quality, use as-is</t>
        </is>
      </c>
      <c r="E1108" s="14" t="inlineStr">
        <is>
          <t>Built</t>
        </is>
      </c>
      <c r="F1108" s="12" t="inlineStr">
        <is>
          <t>On every width.</t>
        </is>
      </c>
      <c r="G1108" s="12" t="inlineStr">
        <is>
          <t>13.26</t>
        </is>
      </c>
      <c r="H1108" s="12" t="inlineStr"/>
      <c r="I1108" s="17" t="n"/>
      <c r="J1108" s="17" t="n"/>
    </row>
    <row r="1109">
      <c r="A1109" s="12" t="inlineStr">
        <is>
          <t>AI Visualizer</t>
        </is>
      </c>
      <c r="B1109" s="12" t="inlineStr">
        <is>
          <t>VO-04</t>
        </is>
      </c>
      <c r="C1109" s="12" t="inlineStr">
        <is>
          <t>Tools</t>
        </is>
      </c>
      <c r="D1109" s="14" t="inlineStr">
        <is>
          <t>The prompt / Finishing note</t>
        </is>
      </c>
      <c r="E1109" s="14" t="inlineStr">
        <is>
          <t>Built</t>
        </is>
      </c>
      <c r="F1109" s="12" t="inlineStr">
        <is>
          <t>Note for the render — the engine reads colours, styles and moods from it and says when it can't (§5.5).</t>
        </is>
      </c>
      <c r="G1109" s="12" t="inlineStr">
        <is>
          <t>13.05</t>
        </is>
      </c>
      <c r="H1109" s="12" t="inlineStr"/>
      <c r="I1109" s="17" t="n"/>
      <c r="J1109" s="17" t="n"/>
    </row>
    <row r="1110">
      <c r="A1110" s="12" t="inlineStr">
        <is>
          <t>AI Visualizer</t>
        </is>
      </c>
      <c r="B1110" s="12" t="inlineStr">
        <is>
          <t>VO-05</t>
        </is>
      </c>
      <c r="C1110" s="12" t="inlineStr">
        <is>
          <t>Tools</t>
        </is>
      </c>
      <c r="D1110" s="14" t="inlineStr">
        <is>
          <t>Fast / High quality</t>
        </is>
      </c>
      <c r="E1110" s="14" t="inlineStr">
        <is>
          <t>Platform</t>
        </is>
      </c>
      <c r="F1110" s="12" t="inlineStr">
        <is>
          <t>Kept: High quality renders at full size and takes a little longer.</t>
        </is>
      </c>
      <c r="G1110" s="12" t="inlineStr"/>
      <c r="H1110" s="12" t="inlineStr"/>
      <c r="I1110" s="17" t="n"/>
      <c r="J1110" s="17" t="n"/>
    </row>
    <row r="1111">
      <c r="A1111" s="12" t="inlineStr">
        <is>
          <t>AI Visualizer</t>
        </is>
      </c>
      <c r="B1111" s="12" t="inlineStr">
        <is>
          <t>VO-06</t>
        </is>
      </c>
      <c r="C1111" s="12" t="inlineStr">
        <is>
          <t>Tools</t>
        </is>
      </c>
      <c r="D1111" s="14" t="inlineStr">
        <is>
          <t>Drift guard</t>
        </is>
      </c>
      <c r="E1111" s="14" t="inlineStr">
        <is>
          <t>Platform</t>
        </is>
      </c>
      <c r="F1111" s="12" t="inlineStr">
        <is>
          <t>Not needed — the engine never moves geometry.</t>
        </is>
      </c>
      <c r="G1111" s="12" t="inlineStr"/>
      <c r="H1111" s="12" t="inlineStr"/>
      <c r="I1111" s="17" t="n"/>
      <c r="J1111" s="17" t="n"/>
    </row>
    <row r="1112">
      <c r="A1112" s="12" t="inlineStr">
        <is>
          <t>AI Visualizer</t>
        </is>
      </c>
      <c r="B1112" s="12" t="inlineStr">
        <is>
          <t>VO-07</t>
        </is>
      </c>
      <c r="C1112" s="12" t="inlineStr">
        <is>
          <t>Tools</t>
        </is>
      </c>
      <c r="D1112" s="14" t="inlineStr">
        <is>
          <t>Outpaint · Reangle · Orbit video · Depth</t>
        </is>
      </c>
      <c r="E1112" s="14" t="inlineStr">
        <is>
          <t>Dead</t>
        </is>
      </c>
      <c r="F1112" s="12" t="inlineStr">
        <is>
          <t>Sandbox-only in 1.0 (audit: Dead) — not built.</t>
        </is>
      </c>
      <c r="G1112" s="12" t="inlineStr"/>
      <c r="H1112" s="12" t="inlineStr"/>
      <c r="I1112" s="17" t="n"/>
      <c r="J1112" s="17" t="n"/>
    </row>
    <row r="1113">
      <c r="A1113" s="12" t="inlineStr">
        <is>
          <t>AI Visualizer</t>
        </is>
      </c>
      <c r="B1113" s="12" t="inlineStr">
        <is>
          <t>VO-08</t>
        </is>
      </c>
      <c r="C1113" s="12" t="inlineStr">
        <is>
          <t>Tools</t>
        </is>
      </c>
      <c r="D1113" s="14" t="inlineStr">
        <is>
          <t>The sandboxes</t>
        </is>
      </c>
      <c r="E1113" s="14" t="inlineStr">
        <is>
          <t>Dead</t>
        </is>
      </c>
      <c r="F1113" s="12" t="inlineStr">
        <is>
          <t>Internal sandboxes in 1.0 (audit: Dead) — not built.</t>
        </is>
      </c>
      <c r="G1113" s="12" t="inlineStr"/>
      <c r="H1113" s="12" t="inlineStr"/>
      <c r="I1113" s="17" t="n"/>
      <c r="J1113" s="17" t="n"/>
    </row>
    <row r="1114">
      <c r="A1114" s="12" t="inlineStr">
        <is>
          <t>AI Visualizer</t>
        </is>
      </c>
      <c r="B1114" s="12" t="inlineStr">
        <is>
          <t>VN-01</t>
        </is>
      </c>
      <c r="C1114" s="12" t="inlineStr">
        <is>
          <t>Generate, versions and compare</t>
        </is>
      </c>
      <c r="D1114" s="14" t="inlineStr">
        <is>
          <t>One primary button, the label follows the intent</t>
        </is>
      </c>
      <c r="E1114" s="14" t="inlineStr">
        <is>
          <t>Built</t>
        </is>
      </c>
      <c r="F1114" s="12" t="inlineStr">
        <is>
          <t>Same matrix (§5.6), with the changes it will apply listed above it.</t>
        </is>
      </c>
      <c r="G1114" s="12" t="inlineStr">
        <is>
          <t>13.03, 13.05, 13.07, 13.10, 13.11</t>
        </is>
      </c>
      <c r="H1114" s="12" t="inlineStr"/>
      <c r="I1114" s="17" t="n"/>
      <c r="J1114" s="17" t="n"/>
    </row>
    <row r="1115">
      <c r="A1115" s="12" t="inlineStr">
        <is>
          <t>AI Visualizer</t>
        </is>
      </c>
      <c r="B1115" s="12" t="inlineStr">
        <is>
          <t>VN-02</t>
        </is>
      </c>
      <c r="C1115" s="12" t="inlineStr">
        <is>
          <t>Generate, versions and compare</t>
        </is>
      </c>
      <c r="D1115" s="14" t="inlineStr">
        <is>
          <t>Variants 1 · 2 · 3</t>
        </is>
      </c>
      <c r="E1115" s="14" t="inlineStr">
        <is>
          <t>Built</t>
        </is>
      </c>
      <c r="F1115" s="12" t="inlineStr">
        <is>
          <t>Beside Generate at every width (Q-09).</t>
        </is>
      </c>
      <c r="G1115" s="12" t="inlineStr">
        <is>
          <t>13.09</t>
        </is>
      </c>
      <c r="H1115" s="12" t="inlineStr"/>
      <c r="I1115" s="17" t="n"/>
      <c r="J1115" s="17" t="n"/>
    </row>
    <row r="1116">
      <c r="A1116" s="12" t="inlineStr">
        <is>
          <t>AI Visualizer</t>
        </is>
      </c>
      <c r="B1116" s="12" t="inlineStr">
        <is>
          <t>VN-03</t>
        </is>
      </c>
      <c r="C1116" s="12" t="inlineStr">
        <is>
          <t>Generate, versions and compare</t>
        </is>
      </c>
      <c r="D1116" s="14" t="inlineStr">
        <is>
          <t>Loading per slot, Cancel, wake lock, tab-hidden abort</t>
        </is>
      </c>
      <c r="E1116" s="14" t="inlineStr">
        <is>
          <t>Built</t>
        </is>
      </c>
      <c r="F1116" s="12" t="inlineStr">
        <is>
          <t>Placeholder tiles in the strip + the progress card on the canvas (1.0's trial copy), Cancel.</t>
        </is>
      </c>
      <c r="G1116" s="12" t="inlineStr">
        <is>
          <t>13.04</t>
        </is>
      </c>
      <c r="H1116" s="12" t="inlineStr"/>
      <c r="I1116" s="17" t="n"/>
      <c r="J1116" s="17" t="n"/>
    </row>
    <row r="1117">
      <c r="A1117" s="12" t="inlineStr">
        <is>
          <t>AI Visualizer</t>
        </is>
      </c>
      <c r="B1117" s="12" t="inlineStr">
        <is>
          <t>VN-04</t>
        </is>
      </c>
      <c r="C1117" s="12" t="inlineStr">
        <is>
          <t>Generate, versions and compare</t>
        </is>
      </c>
      <c r="D1117" s="14" t="inlineStr">
        <is>
          <t>Errors per pass</t>
        </is>
      </c>
      <c r="E1117" s="14" t="inlineStr">
        <is>
          <t>Built</t>
        </is>
      </c>
      <c r="F1117" s="12" t="inlineStr">
        <is>
          <t>The house Couldn't … words (§5.7).</t>
        </is>
      </c>
      <c r="G1117" s="12" t="inlineStr">
        <is>
          <t>13.05</t>
        </is>
      </c>
      <c r="H1117" s="12" t="inlineStr"/>
      <c r="I1117" s="17" t="n"/>
      <c r="J1117" s="17" t="n"/>
    </row>
    <row r="1118">
      <c r="A1118" s="12" t="inlineStr">
        <is>
          <t>AI Visualizer</t>
        </is>
      </c>
      <c r="B1118" s="12" t="inlineStr">
        <is>
          <t>VN-05</t>
        </is>
      </c>
      <c r="C1118" s="12" t="inlineStr">
        <is>
          <t>Generate, versions and compare</t>
        </is>
      </c>
      <c r="D1118" s="14" t="inlineStr">
        <is>
          <t>Gallery strip: Original + V1…Vn, labels</t>
        </is>
      </c>
      <c r="E1118" s="14" t="inlineStr">
        <is>
          <t>Built</t>
        </is>
      </c>
      <c r="F1118" s="12" t="inlineStr">
        <is>
          <t>The versions strip; each version keeps its label and parent.</t>
        </is>
      </c>
      <c r="G1118" s="12" t="inlineStr">
        <is>
          <t>13.04, 13.31</t>
        </is>
      </c>
      <c r="H1118" s="12" t="inlineStr"/>
      <c r="I1118" s="17" t="n"/>
      <c r="J1118" s="17" t="n"/>
    </row>
    <row r="1119">
      <c r="A1119" s="12" t="inlineStr">
        <is>
          <t>AI Visualizer</t>
        </is>
      </c>
      <c r="B1119" s="12" t="inlineStr">
        <is>
          <t>VN-06</t>
        </is>
      </c>
      <c r="C1119" s="12" t="inlineStr">
        <is>
          <t>Generate, versions and compare</t>
        </is>
      </c>
      <c r="D1119" s="14" t="inlineStr">
        <is>
          <t>Delete a version</t>
        </is>
      </c>
      <c r="E1119" s="14" t="inlineStr">
        <is>
          <t>Built</t>
        </is>
      </c>
      <c r="F1119" s="12" t="inlineStr">
        <is>
          <t>Undo (Q-11).</t>
        </is>
      </c>
      <c r="G1119" s="12" t="inlineStr">
        <is>
          <t>13.12</t>
        </is>
      </c>
      <c r="H1119" s="12" t="inlineStr"/>
      <c r="I1119" s="17" t="n"/>
      <c r="J1119" s="17" t="n"/>
    </row>
    <row r="1120">
      <c r="A1120" s="12" t="inlineStr">
        <is>
          <t>AI Visualizer</t>
        </is>
      </c>
      <c r="B1120" s="12" t="inlineStr">
        <is>
          <t>VN-07</t>
        </is>
      </c>
      <c r="C1120" s="12" t="inlineStr">
        <is>
          <t>Generate, versions and compare</t>
        </is>
      </c>
      <c r="D1120" s="14" t="inlineStr">
        <is>
          <t>View dialog: compare any two, Changes list, actions</t>
        </is>
      </c>
      <c r="E1120" s="14" t="inlineStr">
        <is>
          <t>Built</t>
        </is>
      </c>
      <c r="F1120" s="12" t="inlineStr">
        <is>
          <t>Compare on the canvas + Present (xxl dialog) (Q-12); Changes lists surfaces and furniture.</t>
        </is>
      </c>
      <c r="G1120" s="12" t="inlineStr">
        <is>
          <t>13.04, 13.14</t>
        </is>
      </c>
      <c r="H1120" s="12" t="inlineStr"/>
      <c r="I1120" s="17" t="n"/>
      <c r="J1120" s="17" t="n"/>
    </row>
    <row r="1121">
      <c r="A1121" s="12" t="inlineStr">
        <is>
          <t>AI Visualizer</t>
        </is>
      </c>
      <c r="B1121" s="12" t="inlineStr">
        <is>
          <t>VN-08</t>
        </is>
      </c>
      <c r="C1121" s="12" t="inlineStr">
        <is>
          <t>Generate, versions and compare</t>
        </is>
      </c>
      <c r="D1121" s="14" t="inlineStr">
        <is>
          <t>Download</t>
        </is>
      </c>
      <c r="E1121" s="14" t="inlineStr">
        <is>
          <t>Built</t>
        </is>
      </c>
      <c r="F1121" s="12" t="inlineStr">
        <is>
          <t>The version at full size (Q-33).</t>
        </is>
      </c>
      <c r="G1121" s="12" t="inlineStr">
        <is>
          <t>13.14</t>
        </is>
      </c>
      <c r="H1121" s="12" t="inlineStr"/>
      <c r="I1121" s="17" t="n"/>
      <c r="J1121" s="17" t="n"/>
    </row>
    <row r="1122">
      <c r="A1122" s="12" t="inlineStr">
        <is>
          <t>AI Visualizer</t>
        </is>
      </c>
      <c r="B1122" s="12" t="inlineStr">
        <is>
          <t>VN-09</t>
        </is>
      </c>
      <c r="C1122" s="12" t="inlineStr">
        <is>
          <t>Generate, versions and compare</t>
        </is>
      </c>
      <c r="D1122" s="14" t="inlineStr">
        <is>
          <t>Temp mode</t>
        </is>
      </c>
      <c r="E1122" s="14" t="inlineStr">
        <is>
          <t>Not in 2.0</t>
        </is>
      </c>
      <c r="F1122" s="12" t="inlineStr">
        <is>
          <t>Personal designs cover it (Q-10).</t>
        </is>
      </c>
      <c r="G1122" s="12" t="inlineStr"/>
      <c r="H1122" s="12" t="inlineStr"/>
      <c r="I1122" s="17" t="n"/>
      <c r="J1122" s="17" t="n"/>
    </row>
    <row r="1123">
      <c r="A1123" s="12" t="inlineStr">
        <is>
          <t>AI Visualizer</t>
        </is>
      </c>
      <c r="B1123" s="12" t="inlineStr">
        <is>
          <t>VN-10</t>
        </is>
      </c>
      <c r="C1123" s="12" t="inlineStr">
        <is>
          <t>Generate, versions and compare</t>
        </is>
      </c>
      <c r="D1123" s="14" t="inlineStr">
        <is>
          <t>No undo, no unsaved guard</t>
        </is>
      </c>
      <c r="E1123" s="14" t="inlineStr">
        <is>
          <t>Built</t>
        </is>
      </c>
      <c r="F1123" s="12" t="inlineStr">
        <is>
          <t>⌘Z / ⇧⌘Z on the picks; Undo on removes; nothing to lose (autosave).</t>
        </is>
      </c>
      <c r="G1123" s="12" t="inlineStr">
        <is>
          <t>13.02, 13.07</t>
        </is>
      </c>
      <c r="H1123" s="12" t="inlineStr"/>
      <c r="I1123" s="17" t="n"/>
      <c r="J1123" s="17" t="n"/>
    </row>
    <row r="1124">
      <c r="A1124" s="12" t="inlineStr">
        <is>
          <t>AI Visualizer</t>
        </is>
      </c>
      <c r="B1124" s="12" t="inlineStr">
        <is>
          <t>VX-01</t>
        </is>
      </c>
      <c r="C1124" s="12" t="inlineStr">
        <is>
          <t>Out to the client and into the lead</t>
        </is>
      </c>
      <c r="D1124" s="14" t="inlineStr">
        <is>
          <t>Share → public link, 7 days, share dialog (QR placeholder, WhatsApp, copy)</t>
        </is>
      </c>
      <c r="E1124" s="14" t="inlineStr">
        <is>
          <t>Built</t>
        </is>
      </c>
      <c r="F1124" s="12" t="inlineStr">
        <is>
          <t>Share with client (Q-14): pick up to 6 versions, one link per share, 7 days, renew / stop; the WhatsApp draft to the lead's number (X-Ray's dialog).</t>
        </is>
      </c>
      <c r="G1124" s="12" t="inlineStr">
        <is>
          <t>13.17, 13.24</t>
        </is>
      </c>
      <c r="H1124" s="12" t="inlineStr"/>
      <c r="I1124" s="17" t="n"/>
      <c r="J1124" s="17" t="n"/>
    </row>
    <row r="1125">
      <c r="A1125" s="12" t="inlineStr">
        <is>
          <t>AI Visualizer</t>
        </is>
      </c>
      <c r="B1125" s="12" t="inlineStr">
        <is>
          <t>VX-02</t>
        </is>
      </c>
      <c r="C1125" s="12" t="inlineStr">
        <is>
          <t>Out to the client and into the lead</t>
        </is>
      </c>
      <c r="D1125" s="14" t="inlineStr">
        <is>
          <t>The public page</t>
        </is>
      </c>
      <c r="E1125" s="14" t="inlineStr">
        <is>
          <t>Built</t>
        </is>
      </c>
      <c r="F1125" s="12" t="inlineStr">
        <is>
          <t>/renders/[token] on the brand kit: each version with before / after, the materials, the studio's pins.</t>
        </is>
      </c>
      <c r="G1125" s="12" t="inlineStr">
        <is>
          <t>13.18, 13.33</t>
        </is>
      </c>
      <c r="H1125" s="12" t="inlineStr"/>
      <c r="I1125" s="17" t="n"/>
      <c r="J1125" s="17" t="n"/>
    </row>
    <row r="1126">
      <c r="A1126" s="12" t="inlineStr">
        <is>
          <t>AI Visualizer</t>
        </is>
      </c>
      <c r="B1126" s="12" t="inlineStr">
        <is>
          <t>VX-03</t>
        </is>
      </c>
      <c r="C1126" s="12" t="inlineStr">
        <is>
          <t>Out to the client and into the lead</t>
        </is>
      </c>
      <c r="D1126" s="14" t="inlineStr">
        <is>
          <t>Request a Consultation</t>
        </is>
      </c>
      <c r="E1126" s="14" t="inlineStr">
        <is>
          <t>Built</t>
        </is>
      </c>
      <c r="F1126" s="12" t="inlineStr">
        <is>
          <t>Ask for a call back → a Follow-up task for the lead's members + a notification (Q-16).</t>
        </is>
      </c>
      <c r="G1126" s="12" t="inlineStr">
        <is>
          <t>13.20, 13.21</t>
        </is>
      </c>
      <c r="H1126" s="12" t="inlineStr"/>
      <c r="I1126" s="17" t="n"/>
      <c r="J1126" s="17" t="n"/>
    </row>
    <row r="1127">
      <c r="A1127" s="12" t="inlineStr">
        <is>
          <t>AI Visualizer</t>
        </is>
      </c>
      <c r="B1127" s="12" t="inlineStr">
        <is>
          <t>VX-04</t>
        </is>
      </c>
      <c r="C1127" s="12" t="inlineStr">
        <is>
          <t>Out to the client and into the lead</t>
        </is>
      </c>
      <c r="D1127" s="14" t="inlineStr">
        <is>
          <t>Portal likes / comments / pins</t>
        </is>
      </c>
      <c r="E1127" s="14" t="inlineStr">
        <is>
          <t>Partly built</t>
        </is>
      </c>
      <c r="F1127" s="12" t="inlineStr">
        <is>
          <t>The share page carries the client's side: pick a favourite, leave a note, drop a pin and reply (Q-15).</t>
        </is>
      </c>
      <c r="G1127" s="12" t="inlineStr">
        <is>
          <t>13.19, 13.21, 13.31</t>
        </is>
      </c>
      <c r="H1127" s="12" t="inlineStr"/>
      <c r="I1127" s="17" t="n"/>
      <c r="J1127" s="17" t="n"/>
    </row>
    <row r="1128">
      <c r="A1128" s="12" t="inlineStr">
        <is>
          <t>AI Visualizer</t>
        </is>
      </c>
      <c r="B1128" s="12" t="inlineStr">
        <is>
          <t>VX-05</t>
        </is>
      </c>
      <c r="C1128" s="12" t="inlineStr">
        <is>
          <t>Out to the client and into the lead</t>
        </is>
      </c>
      <c r="D1128" s="14" t="inlineStr">
        <is>
          <t>Studio annotator</t>
        </is>
      </c>
      <c r="E1128" s="14" t="inlineStr">
        <is>
          <t>Built</t>
        </is>
      </c>
      <c r="F1128" s="12" t="inlineStr">
        <is>
          <t>Pins on any version in the editor (Q-15).</t>
        </is>
      </c>
      <c r="G1128" s="12" t="inlineStr">
        <is>
          <t>13.13, 13.31</t>
        </is>
      </c>
      <c r="H1128" s="12" t="inlineStr"/>
      <c r="I1128" s="17" t="n"/>
      <c r="J1128" s="17" t="n"/>
    </row>
    <row r="1129">
      <c r="A1129" s="12" t="inlineStr">
        <is>
          <t>AI Visualizer</t>
        </is>
      </c>
      <c r="B1129" s="12" t="inlineStr">
        <is>
          <t>VX-06</t>
        </is>
      </c>
      <c r="C1129" s="12" t="inlineStr">
        <is>
          <t>Out to the client and into the lead</t>
        </is>
      </c>
      <c r="D1129" s="14" t="inlineStr">
        <is>
          <t>Send to Chat</t>
        </is>
      </c>
      <c r="E1129" s="14" t="inlineStr">
        <is>
          <t>Not in 2.0</t>
        </is>
      </c>
      <c r="F1129" s="12" t="inlineStr">
        <is>
          <t>2.0 has no chat; WhatsApp is the channel (Q-14).</t>
        </is>
      </c>
      <c r="G1129" s="12" t="inlineStr"/>
      <c r="H1129" s="12" t="inlineStr"/>
      <c r="I1129" s="17" t="n"/>
      <c r="J1129" s="17" t="n"/>
    </row>
    <row r="1130">
      <c r="A1130" s="12" t="inlineStr">
        <is>
          <t>AI Visualizer</t>
        </is>
      </c>
      <c r="B1130" s="12" t="inlineStr">
        <is>
          <t>VX-07</t>
        </is>
      </c>
      <c r="C1130" s="12" t="inlineStr">
        <is>
          <t>Out to the client and into the lead</t>
        </is>
      </c>
      <c r="D1130" s="14" t="inlineStr">
        <is>
          <t>Share to Portal</t>
        </is>
      </c>
      <c r="E1130" s="14" t="inlineStr">
        <is>
          <t>Later</t>
        </is>
      </c>
      <c r="F1130" s="12" t="inlineStr">
        <is>
          <t>Projects / portal.</t>
        </is>
      </c>
      <c r="G1130" s="12" t="inlineStr"/>
      <c r="H1130" s="12" t="inlineStr"/>
      <c r="I1130" s="17" t="n"/>
      <c r="J1130" s="17" t="n"/>
    </row>
    <row r="1131">
      <c r="A1131" s="12" t="inlineStr">
        <is>
          <t>AI Visualizer</t>
        </is>
      </c>
      <c r="B1131" s="12" t="inlineStr">
        <is>
          <t>VX-08</t>
        </is>
      </c>
      <c r="C1131" s="12" t="inlineStr">
        <is>
          <t>Out to the client and into the lead</t>
        </is>
      </c>
      <c r="D1131" s="14" t="inlineStr">
        <is>
          <t>Save to the lead (MM-01)</t>
        </is>
      </c>
      <c r="E1131" s="14" t="inlineStr">
        <is>
          <t>Built</t>
        </is>
      </c>
      <c r="F1131" s="12" t="inlineStr">
        <is>
          <t>Save to Files — the lead's Files › Renders (Q-13).</t>
        </is>
      </c>
      <c r="G1131" s="12" t="inlineStr">
        <is>
          <t>13.15</t>
        </is>
      </c>
      <c r="H1131" s="12" t="inlineStr"/>
      <c r="I1131" s="17" t="n"/>
      <c r="J1131" s="17" t="n"/>
    </row>
    <row r="1132">
      <c r="A1132" s="12" t="inlineStr">
        <is>
          <t>AI Visualizer</t>
        </is>
      </c>
      <c r="B1132" s="12" t="inlineStr">
        <is>
          <t>VX-09</t>
        </is>
      </c>
      <c r="C1132" s="12" t="inlineStr">
        <is>
          <t>Out to the client and into the lead</t>
        </is>
      </c>
      <c r="D1132" s="14" t="inlineStr">
        <is>
          <t>Material list for quoting (MM-09)</t>
        </is>
      </c>
      <c r="E1132" s="14" t="inlineStr">
        <is>
          <t>Built</t>
        </is>
      </c>
      <c r="F1132" s="12" t="inlineStr">
        <is>
          <t>Add to quote (Q-17).</t>
        </is>
      </c>
      <c r="G1132" s="12" t="inlineStr">
        <is>
          <t>13.16, 13.30</t>
        </is>
      </c>
      <c r="H1132" s="12" t="inlineStr"/>
      <c r="I1132" s="17" t="n"/>
      <c r="J1132" s="17" t="n"/>
    </row>
    <row r="1133">
      <c r="A1133" s="12" t="inlineStr">
        <is>
          <t>AI Visualizer</t>
        </is>
      </c>
      <c r="B1133" s="12" t="inlineStr">
        <is>
          <t>VX-10</t>
        </is>
      </c>
      <c r="C1133" s="12" t="inlineStr">
        <is>
          <t>Out to the client and into the lead</t>
        </is>
      </c>
      <c r="D1133" s="14" t="inlineStr">
        <is>
          <t>Activity, notifications</t>
        </is>
      </c>
      <c r="E1133" s="14" t="inlineStr">
        <is>
          <t>Built</t>
        </is>
      </c>
      <c r="F1133" s="12" t="inlineStr">
        <is>
          <t>Activity lines and the render_feedback event (Q-34).</t>
        </is>
      </c>
      <c r="G1133" s="12" t="inlineStr">
        <is>
          <t>13.21, 13.23</t>
        </is>
      </c>
      <c r="H1133" s="12" t="inlineStr"/>
      <c r="I1133" s="17" t="n"/>
      <c r="J1133" s="17" t="n"/>
    </row>
    <row r="1134">
      <c r="A1134" s="12" t="inlineStr">
        <is>
          <t>AI Visualizer</t>
        </is>
      </c>
      <c r="B1134" s="12" t="inlineStr">
        <is>
          <t>VX-11</t>
        </is>
      </c>
      <c r="C1134" s="12" t="inlineStr">
        <is>
          <t>Out to the client and into the lead</t>
        </is>
      </c>
      <c r="D1134" s="14" t="inlineStr">
        <is>
          <t>mAIson tools + page context (A F-01…F-11, A-16)</t>
        </is>
      </c>
      <c r="E1134" s="14" t="inlineStr">
        <is>
          <t>Later</t>
        </is>
      </c>
      <c r="F1134" s="12" t="inlineStr">
        <is>
          <t>The editor registers its Maison AI suggestions (the house rule: they answer coming soon).</t>
        </is>
      </c>
      <c r="G1134" s="12" t="inlineStr"/>
      <c r="H1134" s="12" t="inlineStr"/>
      <c r="I1134" s="17" t="n"/>
      <c r="J1134" s="17" t="n"/>
    </row>
    <row r="1135">
      <c r="A1135" s="12" t="inlineStr">
        <is>
          <t>AI Visualizer</t>
        </is>
      </c>
      <c r="B1135" s="12" t="inlineStr">
        <is>
          <t>VM-01</t>
        </is>
      </c>
      <c r="C1135" s="12" t="inlineStr">
        <is>
          <t>Materials library, phone, who may</t>
        </is>
      </c>
      <c r="D1135" s="14" t="inlineStr">
        <is>
          <t>studio_materials library</t>
        </is>
      </c>
      <c r="E1135" s="14" t="inlineStr">
        <is>
          <t>Built</t>
        </is>
      </c>
      <c r="F1135" s="12" t="inlineStr">
        <is>
          <t>Company › Materials (Q-18).</t>
        </is>
      </c>
      <c r="G1135" s="12" t="inlineStr">
        <is>
          <t>13.28, 13.30</t>
        </is>
      </c>
      <c r="H1135" s="12" t="inlineStr"/>
      <c r="I1135" s="17" t="n"/>
      <c r="J1135" s="17" t="n"/>
    </row>
    <row r="1136">
      <c r="A1136" s="12" t="inlineStr">
        <is>
          <t>AI Visualizer</t>
        </is>
      </c>
      <c r="B1136" s="12" t="inlineStr">
        <is>
          <t>VP-01</t>
        </is>
      </c>
      <c r="C1136" s="12" t="inlineStr">
        <is>
          <t>Materials library, phone, who may</t>
        </is>
      </c>
      <c r="D1136" s="14" t="inlineStr">
        <is>
          <t>Camera-app shell below lg (D; B-113…B-115)</t>
        </is>
      </c>
      <c r="E1136" s="14" t="inlineStr">
        <is>
          <t>Built</t>
        </is>
      </c>
      <c r="F1136" s="12" t="inlineStr">
        <is>
          <t>The same model ≤1024 on 2.0 pieces (Q-25).</t>
        </is>
      </c>
      <c r="G1136" s="12" t="inlineStr">
        <is>
          <t>13.32</t>
        </is>
      </c>
      <c r="H1136" s="12" t="inlineStr"/>
      <c r="I1136" s="17" t="n"/>
      <c r="J1136" s="17" t="n"/>
    </row>
    <row r="1137">
      <c r="A1137" s="12" t="inlineStr">
        <is>
          <t>AI Visualizer</t>
        </is>
      </c>
      <c r="B1137" s="12" t="inlineStr">
        <is>
          <t>VP-02</t>
        </is>
      </c>
      <c r="C1137" s="12" t="inlineStr">
        <is>
          <t>Materials library, phone, who may</t>
        </is>
      </c>
      <c r="D1137" s="14" t="inlineStr">
        <is>
          <t>Touch rules</t>
        </is>
      </c>
      <c r="E1137" s="14" t="inlineStr">
        <is>
          <t>Built</t>
        </is>
      </c>
      <c r="F1137" s="12" t="inlineStr">
        <is>
          <t>The house (hover: none) arms; pointer events on the canvas.</t>
        </is>
      </c>
      <c r="G1137" s="12" t="inlineStr">
        <is>
          <t>13.32, 13.33</t>
        </is>
      </c>
      <c r="H1137" s="12" t="inlineStr"/>
      <c r="I1137" s="17" t="n"/>
      <c r="J1137" s="17" t="n"/>
    </row>
    <row r="1138">
      <c r="A1138" s="12" t="inlineStr">
        <is>
          <t>AI Visualizer</t>
        </is>
      </c>
      <c r="B1138" s="12" t="inlineStr">
        <is>
          <t>VW-01</t>
        </is>
      </c>
      <c r="C1138" s="12" t="inlineStr">
        <is>
          <t>Materials library, phone, who may</t>
        </is>
      </c>
      <c r="D1138" s="14" t="inlineStr">
        <is>
          <t>Who may</t>
        </is>
      </c>
      <c r="E1138" s="14" t="inlineStr">
        <is>
          <t>Built</t>
        </is>
      </c>
      <c r="F1138" s="12" t="inlineStr">
        <is>
          <t>Every member; Who sees leads on lead designs; delete by maker, Owner or Admin (Q-24).</t>
        </is>
      </c>
      <c r="G1138" s="12" t="inlineStr">
        <is>
          <t>13.21, 13.22</t>
        </is>
      </c>
      <c r="H1138" s="12" t="inlineStr"/>
      <c r="I1138" s="17" t="n"/>
      <c r="J1138" s="17" t="n"/>
    </row>
    <row r="1139">
      <c r="A1139" s="12" t="inlineStr">
        <is>
          <t>AI Visualizer</t>
        </is>
      </c>
      <c r="B1139" s="12" t="inlineStr">
        <is>
          <t>VW-02</t>
        </is>
      </c>
      <c r="C1139" s="12" t="inlineStr">
        <is>
          <t>Materials library, phone, who may</t>
        </is>
      </c>
      <c r="D1139" s="14" t="inlineStr">
        <is>
          <t>Usage funnel</t>
        </is>
      </c>
      <c r="E1139" s="14" t="inlineStr">
        <is>
          <t>Platform</t>
        </is>
      </c>
      <c r="F1139" s="12" t="inlineStr">
        <is>
          <t>Not built.</t>
        </is>
      </c>
      <c r="G1139" s="12" t="inlineStr"/>
      <c r="H1139" s="12" t="inlineStr"/>
      <c r="I1139" s="17" t="n"/>
      <c r="J1139" s="17" t="n"/>
    </row>
    <row r="1140">
      <c r="A1140" s="12" t="inlineStr">
        <is>
          <t>AI Visualizer</t>
        </is>
      </c>
      <c r="B1140" s="12" t="inlineStr">
        <is>
          <t>VW-03</t>
        </is>
      </c>
      <c r="C1140" s="12" t="inlineStr">
        <is>
          <t>Materials library, phone, who may</t>
        </is>
      </c>
      <c r="D1140" s="14" t="inlineStr">
        <is>
          <t>Trial + demo (A G-01…G-14)</t>
        </is>
      </c>
      <c r="E1140" s="14" t="inlineStr">
        <is>
          <t>Not in 2.0</t>
        </is>
      </c>
      <c r="F1140" s="12" t="inlineStr">
        <is>
          <t>Not built.</t>
        </is>
      </c>
      <c r="G1140" s="12" t="inlineStr"/>
      <c r="H1140" s="12" t="inlineStr"/>
      <c r="I1140" s="17" t="n"/>
      <c r="J1140" s="17" t="n"/>
    </row>
  </sheetData>
  <autoFilter ref="A3:J1140"/>
  <mergeCells count="1">
    <mergeCell ref="A2:J2"/>
  </mergeCells>
  <conditionalFormatting sqref="I4:I1140">
    <cfRule type="expression" priority="1" dxfId="0">
      <formula>$I4="✅ Works"</formula>
    </cfRule>
    <cfRule type="expression" priority="2" dxfId="1">
      <formula>$I4="🟡 Works, but…"</formula>
    </cfRule>
    <cfRule type="expression" priority="3" dxfId="2">
      <formula>$I4="❌ Doesn’t work"</formula>
    </cfRule>
    <cfRule type="expression" priority="4" dxfId="3">
      <formula>$I4="🔍 Couldn’t find it"</formula>
    </cfRule>
  </conditionalFormatting>
  <dataValidations count="1">
    <dataValidation sqref="I4:I1140" showDropDown="0" showInputMessage="0" showErrorMessage="1" allowBlank="1" errorTitle="Pick from the list" error="Pick one of the answers in the list." type="list">
      <formula1>='UAT · Lists'!$A$2:$A$6</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22" t="inlineStr">
        <is>
          <t>Result</t>
        </is>
      </c>
      <c r="B1" s="22" t="inlineStr">
        <is>
          <t>Status</t>
        </is>
      </c>
      <c r="C1" s="22" t="inlineStr">
        <is>
          <t>Re-tested</t>
        </is>
      </c>
      <c r="D1" s="22" t="inlineStr">
        <is>
          <t>Type</t>
        </is>
      </c>
      <c r="E1" s="22" t="inlineStr">
        <is>
          <t>Tester</t>
        </is>
      </c>
      <c r="F1" s="22" t="inlineStr">
        <is>
          <t>Module</t>
        </is>
      </c>
    </row>
    <row r="2">
      <c r="A2" s="24" t="inlineStr">
        <is>
          <t>✅ Works</t>
        </is>
      </c>
      <c r="B2" s="24" t="inlineStr">
        <is>
          <t>New</t>
        </is>
      </c>
      <c r="C2" s="24" t="inlineStr">
        <is>
          <t>✅ Fixed now</t>
        </is>
      </c>
      <c r="D2" s="24" t="inlineStr">
        <is>
          <t>I did this in 1.0 and can’t find it</t>
        </is>
      </c>
      <c r="E2" s="24" t="inlineStr">
        <is>
          <t>Dane</t>
        </is>
      </c>
      <c r="F2" s="24" t="inlineStr">
        <is>
          <t>Shell</t>
        </is>
      </c>
    </row>
    <row r="3">
      <c r="A3" s="24" t="inlineStr">
        <is>
          <t>🟡 Works, but…</t>
        </is>
      </c>
      <c r="B3" s="24" t="inlineStr">
        <is>
          <t>Fixing</t>
        </is>
      </c>
      <c r="C3" s="24" t="inlineStr">
        <is>
          <t>❌ Still not right</t>
        </is>
      </c>
      <c r="D3" s="24" t="inlineStr">
        <is>
          <t>Confusing</t>
        </is>
      </c>
      <c r="E3" s="24" t="inlineStr">
        <is>
          <t>Oliva</t>
        </is>
      </c>
      <c r="F3" s="24" t="inlineStr">
        <is>
          <t>Company</t>
        </is>
      </c>
    </row>
    <row r="4">
      <c r="A4" s="24" t="inlineStr">
        <is>
          <t>❌ Doesn’t work</t>
        </is>
      </c>
      <c r="B4" s="24" t="inlineStr">
        <is>
          <t>Fixed – please re-test</t>
        </is>
      </c>
      <c r="D4" s="24" t="inlineStr">
        <is>
          <t>Bug (not in the story)</t>
        </is>
      </c>
      <c r="E4" s="24" t="inlineStr">
        <is>
          <t>Swati</t>
        </is>
      </c>
      <c r="F4" s="24" t="inlineStr">
        <is>
          <t>Settings</t>
        </is>
      </c>
    </row>
    <row r="5">
      <c r="A5" s="24" t="inlineStr">
        <is>
          <t>🔍 Couldn’t find it</t>
        </is>
      </c>
      <c r="B5" s="24" t="inlineStr">
        <is>
          <t>Won’t change</t>
        </is>
      </c>
      <c r="D5" s="24" t="inlineStr">
        <is>
          <t>Idea</t>
        </is>
      </c>
      <c r="F5" s="24" t="inlineStr">
        <is>
          <t>Price book</t>
        </is>
      </c>
    </row>
    <row r="6">
      <c r="A6" s="24" t="inlineStr">
        <is>
          <t>⏭️ Skipped</t>
        </is>
      </c>
      <c r="B6" s="24" t="inlineStr">
        <is>
          <t>Talk to Dane</t>
        </is>
      </c>
      <c r="F6" s="24" t="inlineStr">
        <is>
          <t>Templates</t>
        </is>
      </c>
    </row>
    <row r="7">
      <c r="F7" s="24" t="inlineStr">
        <is>
          <t>Leads</t>
        </is>
      </c>
    </row>
    <row r="8">
      <c r="F8" s="24" t="inlineStr">
        <is>
          <t>Lead details</t>
        </is>
      </c>
    </row>
    <row r="9">
      <c r="F9" s="24" t="inlineStr">
        <is>
          <t>Tasks</t>
        </is>
      </c>
    </row>
    <row r="10">
      <c r="F10" s="24" t="inlineStr">
        <is>
          <t>Quotes</t>
        </is>
      </c>
    </row>
    <row r="11">
      <c r="F11" s="24" t="inlineStr">
        <is>
          <t>Quote X-Ray</t>
        </is>
      </c>
    </row>
    <row r="12">
      <c r="F12" s="24" t="inlineStr">
        <is>
          <t>Contracts</t>
        </is>
      </c>
    </row>
    <row r="13">
      <c r="F13" s="24" t="inlineStr">
        <is>
          <t>Notifications</t>
        </is>
      </c>
    </row>
    <row r="14">
      <c r="F14" s="24" t="inlineStr">
        <is>
          <t>Insights</t>
        </is>
      </c>
    </row>
    <row r="15">
      <c r="F15" s="24" t="inlineStr">
        <is>
          <t>AI Visualizer</t>
        </is>
      </c>
    </row>
    <row r="16">
      <c r="F16" s="24" t="inlineStr">
        <is>
          <t>Phone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2026-09-26T09:53:32Z</dcterms:created>
  <dcterms:modified xsi:type="dcterms:W3CDTF">2026-09-26T09:53:33Z</dcterms:modified>
</cp:coreProperties>
</file>