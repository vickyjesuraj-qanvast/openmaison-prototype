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AT · Start here" sheetId="1" state="visible" r:id="rId1"/>
    <sheet name="UAT · Dane" sheetId="2" state="visible" r:id="rId2"/>
    <sheet name="UAT · Oliva" sheetId="3" state="visible" r:id="rId3"/>
    <sheet name="UAT · Swati" sheetId="4" state="visible" r:id="rId4"/>
    <sheet name="UAT · Missing or other" sheetId="5" state="visible" r:id="rId5"/>
    <sheet name="UAT · Summary" sheetId="6" state="visible" r:id="rId6"/>
    <sheet name="UAT · 1.0 checklist" sheetId="7" state="visible" r:id="rId7"/>
    <sheet name="UAT · Lists" sheetId="8" state="hidden" r:id="rId8"/>
  </sheets>
  <definedNames>
    <definedName name="_xlnm._FilterDatabase" localSheetId="6" hidden="1">'UAT · 1.0 checklist'!$A$3:$J$1184</definedName>
  </definedNames>
  <calcPr calcId="124519" fullCalcOnLoad="1"/>
</workbook>
</file>

<file path=xl/styles.xml><?xml version="1.0" encoding="utf-8"?>
<styleSheet xmlns="http://schemas.openxmlformats.org/spreadsheetml/2006/main">
  <numFmts count="1">
    <numFmt numFmtId="164" formatCode="d mmm yyyy"/>
  </numFmts>
  <fonts count="12">
    <font>
      <name val="Calibri"/>
      <family val="2"/>
      <color theme="1"/>
      <sz val="11"/>
      <scheme val="minor"/>
    </font>
    <font>
      <name val="Arial"/>
      <b val="1"/>
      <color rgb="001F1F29"/>
      <sz val="10"/>
    </font>
    <font>
      <name val="Arial"/>
      <color rgb="001F1F29"/>
      <sz val="10"/>
    </font>
    <font>
      <name val="Arial"/>
      <b val="1"/>
      <color rgb="001F1F29"/>
      <sz val="14"/>
    </font>
    <font>
      <name val="Arial"/>
      <color rgb="006B6B7B"/>
      <sz val="10"/>
    </font>
    <font>
      <name val="Arial"/>
      <b val="1"/>
      <color rgb="00FFFFFF"/>
      <sz val="10"/>
    </font>
    <font>
      <name val="Arial"/>
      <b val="1"/>
      <color rgb="00FFFFFF"/>
      <sz val="11"/>
    </font>
    <font>
      <name val="Arial"/>
      <b val="1"/>
      <color rgb="005500FF"/>
      <sz val="10"/>
    </font>
    <font>
      <name val="Arial"/>
      <b val="1"/>
      <color rgb="001F1F29"/>
      <sz val="12"/>
    </font>
    <font>
      <name val="Arial"/>
      <b val="1"/>
      <color rgb="008A5A00"/>
      <sz val="10"/>
    </font>
    <font>
      <name val="Arial"/>
      <b val="1"/>
      <color rgb="001F1F29"/>
      <sz val="18"/>
    </font>
    <font>
      <name val="Arial"/>
      <b val="1"/>
      <color rgb="001F1F29"/>
      <sz val="13"/>
    </font>
  </fonts>
  <fills count="8">
    <fill>
      <patternFill/>
    </fill>
    <fill>
      <patternFill patternType="gray125"/>
    </fill>
    <fill>
      <patternFill patternType="solid">
        <fgColor rgb="00E6E6EE"/>
        <bgColor rgb="00E6E6EE"/>
      </patternFill>
    </fill>
    <fill>
      <patternFill patternType="solid">
        <fgColor rgb="005500FF"/>
        <bgColor rgb="005500FF"/>
      </patternFill>
    </fill>
    <fill>
      <patternFill patternType="solid">
        <fgColor rgb="002A1A66"/>
        <bgColor rgb="002A1A66"/>
      </patternFill>
    </fill>
    <fill>
      <patternFill patternType="solid">
        <fgColor rgb="00FFFFFF"/>
        <bgColor rgb="00FFFFFF"/>
      </patternFill>
    </fill>
    <fill>
      <patternFill patternType="solid">
        <fgColor rgb="00F2F2F5"/>
        <bgColor rgb="00F2F2F5"/>
      </patternFill>
    </fill>
    <fill>
      <patternFill patternType="solid">
        <fgColor rgb="00EEE5FF"/>
        <bgColor rgb="00EEE5FF"/>
      </patternFill>
    </fill>
  </fills>
  <borders count="3">
    <border>
      <left/>
      <right/>
      <top/>
      <bottom/>
      <diagonal/>
    </border>
    <border>
      <left style="thin">
        <color rgb="00D9D9E3"/>
      </left>
      <right style="thin">
        <color rgb="00D9D9E3"/>
      </right>
      <top style="thin">
        <color rgb="00D9D9E3"/>
      </top>
      <bottom style="thin">
        <color rgb="00D9D9E3"/>
      </bottom>
    </border>
    <border>
      <top style="thin">
        <color rgb="001F1F29"/>
      </top>
    </border>
  </borders>
  <cellStyleXfs count="1">
    <xf numFmtId="0" fontId="0" fillId="0" borderId="0"/>
  </cellStyleXfs>
  <cellXfs count="29">
    <xf numFmtId="0" fontId="0" fillId="0" borderId="0" pivotButton="0" quotePrefix="0" xfId="0"/>
    <xf numFmtId="0" fontId="10" fillId="0" borderId="0" applyAlignment="1" pivotButton="0" quotePrefix="0" xfId="0">
      <alignment vertical="top" wrapText="1"/>
    </xf>
    <xf numFmtId="0" fontId="4" fillId="0" borderId="0" applyAlignment="1" pivotButton="0" quotePrefix="0" xfId="0">
      <alignment vertical="top" wrapText="1"/>
    </xf>
    <xf numFmtId="0" fontId="11"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1" fillId="2" borderId="1" applyAlignment="1" pivotButton="0" quotePrefix="0" xfId="0">
      <alignment vertical="center" wrapText="1"/>
    </xf>
    <xf numFmtId="0" fontId="5" fillId="3" borderId="1" applyAlignment="1" pivotButton="0" quotePrefix="0" xfId="0">
      <alignment vertical="center" wrapText="1"/>
    </xf>
    <xf numFmtId="0" fontId="6" fillId="4" borderId="0" applyAlignment="1" pivotButton="0" quotePrefix="0" xfId="0">
      <alignment vertical="center"/>
    </xf>
    <xf numFmtId="164" fontId="0" fillId="0" borderId="0" pivotButton="0" quotePrefix="0" xfId="0"/>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1" fillId="0"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7" fillId="0" borderId="1" applyAlignment="1" pivotButton="0" quotePrefix="0" xfId="0">
      <alignment horizontal="center" vertical="top" wrapText="1"/>
    </xf>
    <xf numFmtId="0" fontId="4" fillId="0" borderId="0" pivotButton="0" quotePrefix="0" xfId="0"/>
    <xf numFmtId="0" fontId="8" fillId="0" borderId="0" pivotButton="0" quotePrefix="0" xfId="0"/>
    <xf numFmtId="0" fontId="5" fillId="3" borderId="0" pivotButton="0" quotePrefix="0" xfId="0"/>
    <xf numFmtId="0" fontId="1" fillId="0" borderId="0" pivotButton="0" quotePrefix="0" xfId="0"/>
    <xf numFmtId="0" fontId="1" fillId="7"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1" fillId="0" borderId="2" applyAlignment="1" pivotButton="0" quotePrefix="0" xfId="0">
      <alignment horizontal="center"/>
    </xf>
    <xf numFmtId="0" fontId="1" fillId="2" borderId="1" pivotButton="0" quotePrefix="0" xfId="0"/>
    <xf numFmtId="0" fontId="9" fillId="0" borderId="1" applyAlignment="1" pivotButton="0" quotePrefix="0" xfId="0">
      <alignment vertical="top" wrapText="1"/>
    </xf>
  </cellXfs>
  <cellStyles count="1">
    <cellStyle name="Normal" xfId="0" builtinId="0" hidden="0"/>
  </cellStyles>
  <dxfs count="6">
    <dxf>
      <fill>
        <patternFill patternType="solid">
          <fgColor rgb="00DDF4E4"/>
          <bgColor rgb="00DDF4E4"/>
        </patternFill>
      </fill>
    </dxf>
    <dxf>
      <fill>
        <patternFill patternType="solid">
          <fgColor rgb="00FFF3CC"/>
          <bgColor rgb="00FFF3CC"/>
        </patternFill>
      </fill>
    </dxf>
    <dxf>
      <fill>
        <patternFill patternType="solid">
          <fgColor rgb="00FDDCDC"/>
          <bgColor rgb="00FDDCDC"/>
        </patternFill>
      </fill>
    </dxf>
    <dxf>
      <fill>
        <patternFill patternType="solid">
          <fgColor rgb="00DCE8FD"/>
          <bgColor rgb="00DCE8FD"/>
        </patternFill>
      </fill>
    </dxf>
    <dxf>
      <fill>
        <patternFill patternType="solid">
          <fgColor rgb="00EEEEEE"/>
          <bgColor rgb="00EEEEEE"/>
        </patternFill>
      </fill>
    </dxf>
    <dxf>
      <font>
        <name val="Arial"/>
        <b val="1"/>
        <color rgb="008A5A00"/>
      </font>
      <fill>
        <patternFill patternType="solid">
          <fgColor rgb="00FFF3CC"/>
          <bgColor rgb="00FFF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00FF"/>
    <outlinePr summaryBelow="1" summaryRight="1"/>
    <pageSetUpPr/>
  </sheetPr>
  <dimension ref="B1:C55"/>
  <sheetViews>
    <sheetView workbookViewId="0">
      <selection activeCell="A1" sqref="A1"/>
    </sheetView>
  </sheetViews>
  <sheetFormatPr baseColWidth="8" defaultRowHeight="15"/>
  <cols>
    <col width="4" customWidth="1" min="1" max="1"/>
    <col width="30" customWidth="1" min="2" max="2"/>
    <col width="100" customWidth="1" min="3" max="3"/>
  </cols>
  <sheetData>
    <row r="1" ht="28" customHeight="1">
      <c r="B1" s="1" t="inlineStr">
        <is>
          <t>OpenMaison 2.0 — User acceptance test</t>
        </is>
      </c>
    </row>
    <row r="2" ht="18" customHeight="1">
      <c r="B2" s="2" t="inlineStr">
        <is>
          <t>Walk through 2.0 the way a studio would on its first day, and tell us what works, what doesn’t, and what you miss from 1.0.</t>
        </is>
      </c>
    </row>
    <row r="4">
      <c r="B4" s="3" t="inlineStr">
        <is>
          <t>The story</t>
        </is>
      </c>
    </row>
    <row r="5" ht="88" customHeight="1">
      <c r="B5" s="4" t="inlineStr">
        <is>
          <t>Demo Studio has just moved from OpenMaison 1.0 to 2.0. Its team, leads and quotes came across with it. You are Dane, the studio owner, logging in for the first time. Over twenty-five chapters you set up the studio, receive leads, and take one new client — Sophia Wong, 9765 4321, a 4-room HDB in Tampines — from first call to signed contract. Then you look at the studio as a designer would, review the week, do it all again on your phone, design Sophia’s living room in the AI Visualizer, look after the studio’s plan and AI credits, find anything and work from the keyboard. The last five chapters run Sophia’s project — and the studio’s other jobs — from the win to the handover: the schedule, updates, her own client portal, the money and the ending. Four last chapters cover what came after: meetings and the co-pilot, the team’s own messages, planning in 3D, and the studio’s world outside — Market Insights, Qanvast and the portal’s fine print.</t>
        </is>
      </c>
    </row>
    <row r="7">
      <c r="B7" s="3" t="inlineStr">
        <is>
          <t>Before you start</t>
        </is>
      </c>
    </row>
    <row r="8" ht="30" customHeight="1">
      <c r="B8" s="5" t="inlineStr">
        <is>
          <t>1. Open the prototype</t>
        </is>
      </c>
      <c r="C8" s="4" t="inlineStr">
        <is>
          <t>In Terminal, in the openmaison-prototype folder: git pull, then npm run dev. Open http://localhost:3000 in Chrome, window at full width.</t>
        </is>
      </c>
    </row>
    <row r="9" ht="30" customHeight="1">
      <c r="B9" s="5" t="inlineStr">
        <is>
          <t>2. Start clean</t>
        </is>
      </c>
      <c r="C9" s="4" t="inlineStr">
        <is>
          <t>Click the ✦ button (bottom right) › “Reset prototype to base”. Do this ONCE, before chapter 1. Resetting later wipes Sophia Wong and your progress.</t>
        </is>
      </c>
    </row>
    <row r="10" ht="30" customHeight="1">
      <c r="B10" s="5" t="inlineStr">
        <is>
          <t>3. Your tab</t>
        </is>
      </c>
      <c r="C10" s="4" t="inlineStr">
        <is>
          <t>Work only in your own tab (UAT · Dane, UAT · Oliva, UAT · Swati). Go in order — each chapter continues from the one before.</t>
        </is>
      </c>
    </row>
    <row r="11" ht="18" customHeight="1">
      <c r="B11" s="5" t="inlineStr">
        <is>
          <t>4. Time</t>
        </is>
      </c>
      <c r="C11" s="4" t="inlineStr">
        <is>
          <t>About 30–60 minutes a chapter. Stop at a chapter’s end; the prototype remembers where you are.</t>
        </is>
      </c>
    </row>
    <row r="13">
      <c r="B13" s="3" t="inlineStr">
        <is>
          <t>How to answer</t>
        </is>
      </c>
    </row>
    <row r="14">
      <c r="B14" s="5" t="inlineStr">
        <is>
          <t>✅ Works</t>
        </is>
      </c>
      <c r="C14" s="4" t="inlineStr">
        <is>
          <t>It did what “You should see” says.</t>
        </is>
      </c>
    </row>
    <row r="15" ht="30" customHeight="1">
      <c r="B15" s="5" t="inlineStr">
        <is>
          <t>🟡 Works, but…</t>
        </is>
      </c>
      <c r="C15" s="4" t="inlineStr">
        <is>
          <t>It worked, but something felt wrong, slow, unclear or different from what you expected — say what in “What happened”.</t>
        </is>
      </c>
    </row>
    <row r="16" ht="30" customHeight="1">
      <c r="B16" s="5" t="inlineStr">
        <is>
          <t>❌ Doesn’t work</t>
        </is>
      </c>
      <c r="C16" s="4" t="inlineStr">
        <is>
          <t>It did not do what “You should see” says, or showed an error — say what you did and what you saw.</t>
        </is>
      </c>
    </row>
    <row r="17">
      <c r="B17" s="5" t="inlineStr">
        <is>
          <t>🔍 Couldn’t find it</t>
        </is>
      </c>
      <c r="C17" s="4" t="inlineStr">
        <is>
          <t>You could not find the button, page or option — say where you looked.</t>
        </is>
      </c>
    </row>
    <row r="18">
      <c r="B18" s="5" t="inlineStr">
        <is>
          <t>⏭️ Skipped</t>
        </is>
      </c>
      <c r="C18" s="4" t="inlineStr">
        <is>
          <t>You could not try it (for example, an earlier step failed) — say why.</t>
        </is>
      </c>
    </row>
    <row r="19" ht="30" customHeight="1">
      <c r="B19" s="5" t="inlineStr">
        <is>
          <t>Screenshot</t>
        </is>
      </c>
      <c r="C19" s="4" t="inlineStr">
        <is>
          <t>Mac: Cmd + Shift + 4, drag over the screen, then drop the file into the team’s Drive folder and paste its link. Windows: Win + Shift + S.</t>
        </is>
      </c>
    </row>
    <row r="20" ht="18" customHeight="1">
      <c r="B20" s="5" t="inlineStr">
        <is>
          <t>Re-tested</t>
        </is>
      </c>
      <c r="C20" s="4" t="inlineStr">
        <is>
          <t>When Status says “Fixed – please re-test”, try the step again and pick ✅ Fixed now or ❌ Still not right.</t>
        </is>
      </c>
    </row>
    <row r="22">
      <c r="B22" s="3" t="inlineStr">
        <is>
          <t>Good to know</t>
        </is>
      </c>
    </row>
    <row r="23" ht="44" customHeight="1">
      <c r="B23" s="5" t="inlineStr">
        <is>
          <t>View as</t>
        </is>
      </c>
      <c r="C23" s="4" t="inlineStr">
        <is>
          <t>Click “Demo Studio” at the bottom of the left menu to see the prototype as another member (a designer, the manager, the admin). Chapter 10 uses it. Switch back to Dane when a step says so — the bottom-left always shows who you are.</t>
        </is>
      </c>
    </row>
    <row r="24" ht="18" customHeight="1">
      <c r="B24" s="5" t="inlineStr">
        <is>
          <t>WhatsApp</t>
        </is>
      </c>
      <c r="C24" s="4" t="inlineStr">
        <is>
          <t>Some steps open WhatsApp in a new tab. Close it — never press Send. The prototype does not message anyone.</t>
        </is>
      </c>
    </row>
    <row r="25" ht="30" customHeight="1">
      <c r="B25" s="5" t="inlineStr">
        <is>
          <t>Client pages</t>
        </is>
      </c>
      <c r="C25" s="4" t="inlineStr">
        <is>
          <t>Where the client confirms a quote or signs a contract, you copy the link from the prototype and open it in a new tab — you play the client. Chapter 22’s meeting links open the same way, in a private window.</t>
        </is>
      </c>
    </row>
    <row r="26" ht="44" customHeight="1">
      <c r="B26" s="5" t="inlineStr">
        <is>
          <t>Client portal</t>
        </is>
      </c>
      <c r="C26" s="4" t="inlineStr">
        <is>
          <t>Chapters 19–21 and 25: open the portal’s address in a private window (Chrome: ⌘⇧N, Windows: Ctrl+Shift+N) and sign in with the client’s mobile number — any six digits pass as the code. Keep your own window for the studio; a preview from the studio would replace the client’s sign-in in the same window.</t>
        </is>
      </c>
    </row>
    <row r="27" ht="30" customHeight="1">
      <c r="B27" s="5" t="inlineStr">
        <is>
          <t>Your phone</t>
        </is>
      </c>
      <c r="C27" s="4" t="inlineStr">
        <is>
          <t>Chapters 12, 26, 27 and 28: when npm run dev starts, Terminal shows a “Network” address (like http://192.168.1.5:3000). Open it on a phone on the same Wi-Fi.</t>
        </is>
      </c>
    </row>
    <row r="28" ht="18" customHeight="1">
      <c r="B28" s="5" t="inlineStr">
        <is>
          <t>Sample files</t>
        </is>
      </c>
      <c r="C28" s="4" t="inlineStr">
        <is>
          <t>Steps that need a file name it — open http://localhost:3000/uat-files/ plus the file name to download it.</t>
        </is>
      </c>
    </row>
    <row r="29" ht="44" customHeight="1">
      <c r="B29" s="5" t="inlineStr">
        <is>
          <t>Not in 2.0 on purpose</t>
        </is>
      </c>
      <c r="C29" s="4" t="inlineStr">
        <is>
          <t>Journey mode (2.0 moves leads stage by stage) and Archive (2.0 uses Delete with a Deleted list). Their buttons answer “Coming soon in OpenMaison 2.0” — that is expected, not a bug.</t>
        </is>
      </c>
    </row>
    <row r="30" ht="30" customHeight="1">
      <c r="B30" s="5" t="inlineStr">
        <is>
          <t>Something else?</t>
        </is>
      </c>
      <c r="C30" s="4" t="inlineStr">
        <is>
          <t>Anything the story does not cover — especially something you did in 1.0 and cannot find here — goes in “UAT · Missing or other”.</t>
        </is>
      </c>
    </row>
    <row r="31" ht="18" customHeight="1">
      <c r="B31" s="5" t="inlineStr">
        <is>
          <t>Questions</t>
        </is>
      </c>
      <c r="C31" s="4" t="inlineStr">
        <is>
          <t>Ask Vicky or Dane.</t>
        </is>
      </c>
    </row>
    <row r="33">
      <c r="B33" s="3" t="inlineStr">
        <is>
          <t>Example of a filled row</t>
        </is>
      </c>
    </row>
    <row r="34">
      <c r="B34" s="5" t="inlineStr">
        <is>
          <t>Step</t>
        </is>
      </c>
      <c r="C34" s="4" t="inlineStr">
        <is>
          <t>4.03</t>
        </is>
      </c>
    </row>
    <row r="35">
      <c r="B35" s="5" t="inlineStr">
        <is>
          <t>Try this</t>
        </is>
      </c>
      <c r="C35" s="4" t="inlineStr">
        <is>
          <t>Add a lead with a phone number that already exists</t>
        </is>
      </c>
    </row>
    <row r="36">
      <c r="B36" s="5" t="inlineStr">
        <is>
          <t>Result</t>
        </is>
      </c>
      <c r="C36" s="4" t="inlineStr">
        <is>
          <t>🟡 Works, but…</t>
        </is>
      </c>
    </row>
    <row r="37">
      <c r="B37" s="5" t="inlineStr">
        <is>
          <t>What happened</t>
        </is>
      </c>
      <c r="C37" s="4" t="inlineStr">
        <is>
          <t>The warning came up, but I expected it to also show the lead’s stage.</t>
        </is>
      </c>
    </row>
    <row r="39">
      <c r="B39" s="3" t="inlineStr">
        <is>
          <t>Sample files</t>
        </is>
      </c>
    </row>
    <row r="40" ht="30" customHeight="1">
      <c r="B40" s="5" t="inlineStr">
        <is>
          <t>paynow-qr.png</t>
        </is>
      </c>
      <c r="C40" s="4" t="inlineStr">
        <is>
          <t>http://localhost:3000/uat-files/paynow-qr.png — Stands in for the PayNow QR a bank gives the studio (step 2.03). Any picture works — the prototype shows its own sample QR once one is picked.</t>
        </is>
      </c>
    </row>
    <row r="41" ht="30" customHeight="1">
      <c r="B41" s="5" t="inlineStr">
        <is>
          <t>fluted-panel.jpg</t>
        </is>
      </c>
      <c r="C41" s="4" t="inlineStr">
        <is>
          <t>http://localhost:3000/uat-files/fluted-panel.jpg — The photo for the tester's own price-book item, Fluted feature wall panel (step 3.05).</t>
        </is>
      </c>
    </row>
    <row r="42" ht="30" customHeight="1">
      <c r="B42" s="5" t="inlineStr">
        <is>
          <t>supplier-price-list.csv</t>
        </is>
      </c>
      <c r="C42" s="4" t="inlineStr">
        <is>
          <t>http://localhost:3000/uat-files/supplier-price-list.csv — A supplier's price list imported into My Items (steps 3.12–3.13): two new items, one match on an existing item (name + vendor), one repeated row, one new trade.</t>
        </is>
      </c>
    </row>
    <row r="43" ht="30" customHeight="1">
      <c r="B43" s="5" t="inlineStr">
        <is>
          <t>new-leads.xlsx</t>
        </is>
      </c>
      <c r="C43" s="4" t="inlineStr">
        <is>
          <t>http://localhost:3000/uat-files/new-leads.xlsx — 4.06–4.08 and 4.11: the spreadsheet import — 3 clean leads (one from Qanvast), 1 repeat of the seeded Gerald Tan (same phone) to exercise Review › merge, 1 row with no name that the import skips.</t>
        </is>
      </c>
    </row>
    <row r="44" ht="30" customHeight="1">
      <c r="B44" s="5" t="inlineStr">
        <is>
          <t>homematch-lead-sheet.pdf</t>
        </is>
      </c>
      <c r="C44" s="4" t="inlineStr">
        <is>
          <t>http://localhost:3000/uat-files/homematch-lead-sheet.pdf — 4.09: a portal's PDF lead sheet (two leads) read by the import's PDF reader (labelled 'Label: value' lines).</t>
        </is>
      </c>
    </row>
    <row r="45" ht="30" customHeight="1">
      <c r="B45" s="5" t="inlineStr">
        <is>
          <t>sophia-floor-plan.pdf</t>
        </is>
      </c>
      <c r="C45" s="4" t="inlineStr">
        <is>
          <t>http://localhost:3000/uat-files/sophia-floor-plan.pdf — 4.05: attached to Sophia Wong’s lead when she is created; 5.14 finds it in her Files tab; 6.41 uploads it as a quote — read by its own words, it holds no quote lines and is refused.</t>
        </is>
      </c>
    </row>
    <row r="46" ht="30" customHeight="1">
      <c r="B46" s="5" t="inlineStr">
        <is>
          <t>rachel-ong-enquiry.pdf</t>
        </is>
      </c>
      <c r="C46" s="4" t="inlineStr">
        <is>
          <t>http://localhost:3000/uat-files/rachel-ong-enquiry.pdf — 4.02: one client’s website enquiry for "Fill from a document" — read by its own words, it fills the lead form’s empty fields (S42).</t>
        </is>
      </c>
    </row>
    <row r="47" ht="30" customHeight="1">
      <c r="B47" s="5" t="inlineStr">
        <is>
          <t>sophia-living-room.jpg</t>
        </is>
      </c>
      <c r="C47" s="4" t="inlineStr">
        <is>
          <t>http://localhost:3000/uat-files/sophia-living-room.jpg — 5.15: uploaded into the 'Site photos' folder on Sophia Wong's Files tab (5.16 comments on it; 13.01 opens it in the AI Visualizer).</t>
        </is>
      </c>
    </row>
    <row r="48" ht="30" customHeight="1">
      <c r="B48" s="5" t="inlineStr">
        <is>
          <t>sophia-whatsapp-chat.txt</t>
        </is>
      </c>
      <c r="C48" s="4" t="inlineStr">
        <is>
          <t>http://localhost:3000/uat-files/sophia-whatsapp-chat.txt — 5.11: picked in Auto Fill on Sophia Wong's new contact log — its words fill the log.</t>
        </is>
      </c>
    </row>
    <row r="49" ht="30" customHeight="1">
      <c r="B49" s="5" t="inlineStr">
        <is>
          <t>sophia-items-to-paste.xlsx</t>
        </is>
      </c>
      <c r="C49" s="4" t="inlineStr">
        <is>
          <t>http://localhost:3000/uat-files/sophia-items-to-paste.xlsx — Chapter 6 (6.07): a block of quote lines the tester copies in Excel / Numbers / Google Sheets and pastes into Sophia’s Items table. Chapter 7 (7.10) reuses it as “Your quote” in Upload two quotes.</t>
        </is>
      </c>
    </row>
    <row r="50" ht="30" customHeight="1">
      <c r="B50" s="5" t="inlineStr">
        <is>
          <t>kitchen-moodboard.jpg</t>
        </is>
      </c>
      <c r="C50" s="4" t="inlineStr">
        <is>
          <t>http://localhost:3000/uat-files/kitchen-moodboard.jpg — Chapter 6 (6.22) the file attached to Sophia’s quote; 4.02 and chapter 7 (7.10) use it as a photo the readers refuse — a photo has no words to read; 22.02 attaches it to Kelvin Goh’s Contacted log as the photo from his visit.</t>
        </is>
      </c>
    </row>
    <row r="51" ht="30" customHeight="1">
      <c r="B51" s="5" t="inlineStr">
        <is>
          <t>gerald-tan-old-quote.xlsx</t>
        </is>
      </c>
      <c r="C51" s="4" t="inlineStr">
        <is>
          <t>http://localhost:3000/uat-files/gerald-tan-old-quote.xlsx — Chapter 6 (6.41): an old 1.0-era quote as a spreadsheet, uploaded with “Upload a quote” for the seeded lead Gerald Tan.</t>
        </is>
      </c>
    </row>
    <row r="52" ht="30" customHeight="1">
      <c r="B52" s="5" t="inlineStr">
        <is>
          <t>rival-quote-urban-nest.xlsx</t>
        </is>
      </c>
      <c r="C52" s="4" t="inlineStr">
        <is>
          <t>http://localhost:3000/uat-files/rival-quote-urban-nest.xlsx — Chapter 7 (7.02): the rival studio’s quote Sophia shows you — Quote X-Ray reads spreadsheets for real. The tester types the studio name “Urban Nest Interiors”.</t>
        </is>
      </c>
    </row>
    <row r="53" ht="30" customHeight="1">
      <c r="B53" s="5" t="inlineStr">
        <is>
          <t>cove-interior-quotation.pdf</t>
        </is>
      </c>
      <c r="C53" s="4" t="inlineStr">
        <is>
          <t>http://localhost:3000/uat-files/cove-interior-quotation.pdf — Chapter 7 (7.10): a PDF quote from another studio. Quote X-Ray knows one of the owner’s three sample quotes by its WORDS — the studio’s name and most of its lines — never by the file name (S42); any other text PDF is read line by line.</t>
        </is>
      </c>
    </row>
    <row r="54" ht="30" customHeight="1">
      <c r="B54" s="5" t="inlineStr">
        <is>
          <t>urban-nest-competitor-quote.pdf</t>
        </is>
      </c>
      <c r="C54" s="4" t="inlineStr">
        <is>
          <t>http://localhost:3000/uat-files/urban-nest-competitor-quote.pdf — Chapter 7 (7.14): 1.0’s own demo competitor quote, as a PDF — Quote X-Ray reads a text PDF from its own words (S21). The tester drops it on “The other studio’s quote”.</t>
        </is>
      </c>
    </row>
    <row r="55" ht="30" customHeight="1">
      <c r="B55" s="5" t="inlineStr">
        <is>
          <t>gerald-tan-signed-contract.pdf</t>
        </is>
      </c>
      <c r="C55" s="4" t="inlineStr">
        <is>
          <t>http://localhost:3000/uat-files/gerald-tan-signed-contract.pdf — Step 8.19 — a paper contract the client already signed, imported as a Signed contract (the app only keeps its name; any one-page PDF works).</t>
        </is>
      </c>
    </row>
  </sheetData>
  <mergeCells count="9">
    <mergeCell ref="B13:C13"/>
    <mergeCell ref="B39:C39"/>
    <mergeCell ref="B2:C2"/>
    <mergeCell ref="B7:C7"/>
    <mergeCell ref="B33:C33"/>
    <mergeCell ref="B5:C5"/>
    <mergeCell ref="B22:C22"/>
    <mergeCell ref="B1:C1"/>
    <mergeCell ref="B4:C4"/>
  </mergeCells>
  <pageMargins left="0.75" right="0.75" top="1" bottom="1" header="0.5" footer="0.5"/>
</worksheet>
</file>

<file path=xl/worksheets/sheet2.xml><?xml version="1.0" encoding="utf-8"?>
<worksheet xmlns="http://schemas.openxmlformats.org/spreadsheetml/2006/main">
  <sheetPr>
    <tabColor rgb="005500FF"/>
    <outlinePr summaryBelow="1" summaryRight="1"/>
    <pageSetUpPr/>
  </sheetPr>
  <dimension ref="A1:P57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Dane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c r="A510" s="11" t="n">
        <v>24</v>
      </c>
      <c r="B510" s="11" t="inlineStr">
        <is>
          <t>24.09</t>
        </is>
      </c>
      <c r="C510" s="12" t="inlineStr">
        <is>
          <t>Floorplan to 3D Isometric</t>
        </is>
      </c>
      <c r="D510" s="12" t="inlineStr">
        <is>
          <t>Floorplan to 3D Isometric</t>
        </is>
      </c>
      <c r="E510" s="13" t="inlineStr">
        <is>
          <t>Open Floorplan to 3D Isometric from Tools</t>
        </is>
      </c>
      <c r="F510" s="14" t="inlineStr">
        <is>
          <t>1. "Tools" in the side navigation — find "Floorplan to 3D Isometric" (it wears "Beta")
2. Press it and read the page</t>
        </is>
      </c>
      <c r="G510" s="14" t="inlineStr">
        <is>
          <t>Its own page, "Floorplan to 3D Isometric" with BETA beside the title: "Turn any floor plan photo into a marketing-ready 3D view", the three steps, the box "Drop the floor plan here or browse", "What you’ll get" (Dollhouse · Top-down) and "Or try a sample plan" with the HDB 4-Room. Tools is lit in the side navigation.</t>
        </is>
      </c>
      <c r="H510" s="12" t="inlineStr">
        <is>
          <t>Same as 1.0: its own page in Tools, marked Beta</t>
        </is>
      </c>
      <c r="I510" s="11" t="inlineStr">
        <is>
          <t>Dane</t>
        </is>
      </c>
      <c r="J510" s="15" t="n"/>
      <c r="K510" s="15" t="n"/>
      <c r="L510" s="15" t="n"/>
      <c r="M510" s="16" t="n"/>
      <c r="N510" s="17" t="n"/>
      <c r="O510" s="17" t="n"/>
      <c r="P510" s="15" t="n"/>
    </row>
    <row r="511">
      <c r="A511" s="11" t="n">
        <v>24</v>
      </c>
      <c r="B511" s="11" t="inlineStr">
        <is>
          <t>24.10</t>
        </is>
      </c>
      <c r="C511" s="12" t="inlineStr">
        <is>
          <t>Floorplan to 3D Isometric</t>
        </is>
      </c>
      <c r="D511" s="12" t="inlineStr">
        <is>
          <t>Floorplan to 3D Isometric</t>
        </is>
      </c>
      <c r="E511" s="13" t="inlineStr">
        <is>
          <t>Take the HDB 4-Room sample to a dollhouse view</t>
        </is>
      </c>
      <c r="F511" s="14" t="inlineStr">
        <is>
          <t>1. Press "HDB 4-Room" under "Or try a sample plan"
2. Read "Your plan, straightened" and "We found"
3. Press "Generate dollhouse view"</t>
        </is>
      </c>
      <c r="G511" s="14" t="inlineStr">
        <is>
          <t>"Reading your floor plan…" with the steps Read the plan · Confirm the rooms · 3D render. The photo of the printed plan sits square: "Straightened by 7.0° and cleaned", with "Turn a quarter" and "Square it by its corners". "We found": 3 bedrooms … 11 rooms in all, "The sample’s own rooms, as its plan has them." "Opening the HDB 4-Room’s dollhouse view…" then the view — the flat's rooms where the plan has them — with "Sample · HDB 4-Room — its views were made ahead with the image model the live app uses."</t>
        </is>
      </c>
      <c r="H511" s="12" t="inlineStr">
        <is>
          <t>Same as 1.0, with a sample plan: the prototype has no image model</t>
        </is>
      </c>
      <c r="I511" s="11" t="inlineStr">
        <is>
          <t>Dane</t>
        </is>
      </c>
      <c r="J511" s="15" t="n"/>
      <c r="K511" s="15" t="n"/>
      <c r="L511" s="15" t="n"/>
      <c r="M511" s="16" t="n"/>
      <c r="N511" s="17" t="n"/>
      <c r="O511" s="17" t="n"/>
      <c r="P511" s="15" t="n"/>
    </row>
    <row r="512">
      <c r="A512" s="11" t="n">
        <v>24</v>
      </c>
      <c r="B512" s="11" t="inlineStr">
        <is>
          <t>24.11</t>
        </is>
      </c>
      <c r="C512" s="12" t="inlineStr">
        <is>
          <t>Floorplan to 3D Isometric</t>
        </is>
      </c>
      <c r="D512" s="12" t="inlineStr">
        <is>
          <t>Floorplan to 3D Isometric</t>
        </is>
      </c>
      <c r="E512" s="13" t="inlineStr">
        <is>
          <t>Regenerate and download</t>
        </is>
      </c>
      <c r="F512" s="14" t="inlineStr">
        <is>
          <t>1. Press "Regenerate", then again
2. Press "Download"
3. Press "Start a new plan"</t>
        </is>
      </c>
      <c r="G512" s="14" t="inlineStr">
        <is>
          <t>Regenerate shows the sample’s other take, then the first again. The file saves as "HDB 4-Room — Dollhouse.jpg" with the message "Dollhouse view downloaded". "Start a new plan" returns to the first page.</t>
        </is>
      </c>
      <c r="H512" s="12" t="inlineStr">
        <is>
          <t>Same as 1.0 (1.0 saved every view as 3d-floor-plan.png; its Switch style waits here for the sample’s top-down views)</t>
        </is>
      </c>
      <c r="I512" s="11" t="inlineStr">
        <is>
          <t>Dane</t>
        </is>
      </c>
      <c r="J512" s="15" t="n"/>
      <c r="K512" s="15" t="n"/>
      <c r="L512" s="15" t="n"/>
      <c r="M512" s="16" t="n"/>
      <c r="N512" s="17" t="n"/>
      <c r="O512" s="17" t="n"/>
      <c r="P512" s="15" t="n"/>
    </row>
    <row r="513">
      <c r="A513" s="11" t="n">
        <v>24</v>
      </c>
      <c r="B513" s="11" t="inlineStr">
        <is>
          <t>24.12</t>
        </is>
      </c>
      <c r="C513" s="12" t="inlineStr">
        <is>
          <t>Floorplan to 3D Isometric</t>
        </is>
      </c>
      <c r="D513" s="12" t="inlineStr">
        <is>
          <t>Floorplan to 3D Isometric</t>
        </is>
      </c>
      <c r="E513" s="13" t="inlineStr">
        <is>
          <t>Upload a floor plan of your own</t>
        </is>
      </c>
      <c r="F513" s="14" t="inlineStr">
        <is>
          <t>1. Press "Drop the floor plan here or browse" and pick sophia-floor-plan.pdf
2. Read "We found"
3. Press "HDB 4-Room" in its list</t>
        </is>
      </c>
      <c r="G513" s="14" t="inlineStr">
        <is>
          <t>The plan is read and straightened as with the sample, then: "This is the prototype, so your own plan isn’t read or drawn in 3D — in the live app, the image model lists its rooms and draws it in about half a minute. Try a sample plan to see the whole way through." No Generate button; the HDB 4-Room is listed instead and opens with its own rooms.</t>
        </is>
      </c>
      <c r="H513" s="12" t="inlineStr">
        <is>
          <t>Different from 1.0: on the prototype your own plan stops after it is straightened</t>
        </is>
      </c>
      <c r="I513" s="11" t="inlineStr">
        <is>
          <t>Dane</t>
        </is>
      </c>
      <c r="J513" s="15" t="n"/>
      <c r="K513" s="15" t="n"/>
      <c r="L513" s="15" t="n"/>
      <c r="M513" s="16" t="n"/>
      <c r="N513" s="17" t="n"/>
      <c r="O513" s="17" t="n"/>
      <c r="P513" s="15" t="n"/>
    </row>
    <row r="514" ht="22" customHeight="1">
      <c r="A514" s="9" t="inlineStr">
        <is>
          <t>Chapter 25 · Outside the studio — Market Insights, the studio’s Qanvast lead credits and reviews, and the privacy link at the foot of the client portal.</t>
        </is>
      </c>
      <c r="M514" s="10" t="n"/>
    </row>
    <row r="515">
      <c r="A515" s="11" t="n">
        <v>25</v>
      </c>
      <c r="B515" s="11" t="inlineStr">
        <is>
          <t>25.01</t>
        </is>
      </c>
      <c r="C515" s="12" t="inlineStr">
        <is>
          <t>What the industry is reading</t>
        </is>
      </c>
      <c r="D515" s="12" t="inlineStr">
        <is>
          <t>Market Insights</t>
        </is>
      </c>
      <c r="E515" s="13" t="inlineStr">
        <is>
          <t>Open Market Insights and find the reports</t>
        </is>
      </c>
      <c r="F515" s="14" t="inlineStr">
        <is>
          <t>1. "Tools" in the side navigation › "Market Insights"
2. Read the chips, the line above the list and the wide card
3. Press "Reports · 2", then "All · 6"
4. Type resale in "Search articles"</t>
        </is>
      </c>
      <c r="G515"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5" s="12" t="inlineStr">
        <is>
          <t>Same as 1.0</t>
        </is>
      </c>
      <c r="I515" s="11" t="inlineStr">
        <is>
          <t>Dane</t>
        </is>
      </c>
      <c r="J515" s="15" t="n"/>
      <c r="K515" s="15" t="n"/>
      <c r="L515" s="15" t="n"/>
      <c r="M515" s="16" t="n"/>
      <c r="N515" s="17" t="n"/>
      <c r="O515" s="17" t="n"/>
      <c r="P515" s="15" t="n"/>
    </row>
    <row r="516">
      <c r="A516" s="11" t="n">
        <v>25</v>
      </c>
      <c r="B516" s="11" t="inlineStr">
        <is>
          <t>25.02</t>
        </is>
      </c>
      <c r="C516" s="12" t="inlineStr">
        <is>
          <t>What the industry is reading</t>
        </is>
      </c>
      <c r="D516" s="12" t="inlineStr">
        <is>
          <t>Market Insights</t>
        </is>
      </c>
      <c r="E516" s="13" t="inlineStr">
        <is>
          <t>Read the featured article and see the numbers behind its chart</t>
        </is>
      </c>
      <c r="F516" s="14" t="inlineStr">
        <is>
          <t>1. Clear the search and open "Resale flats are reshaping the renovation brief"
2. Point at the chart’s line
3. Press "Show the numbers", then "Hide the numbers"
4. Press Back (top left)</t>
        </is>
      </c>
      <c r="G516"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6" s="12" t="inlineStr">
        <is>
          <t>Different from 1.0: every chart can show its numbers</t>
        </is>
      </c>
      <c r="I516" s="11" t="inlineStr">
        <is>
          <t>Dane</t>
        </is>
      </c>
      <c r="J516" s="15" t="n"/>
      <c r="K516" s="15" t="n"/>
      <c r="L516" s="15" t="n"/>
      <c r="M516" s="16" t="n"/>
      <c r="N516" s="17" t="n"/>
      <c r="O516" s="17" t="n"/>
      <c r="P516" s="15" t="n"/>
    </row>
    <row r="517">
      <c r="A517" s="11" t="n">
        <v>25</v>
      </c>
      <c r="B517" s="11" t="inlineStr">
        <is>
          <t>25.03</t>
        </is>
      </c>
      <c r="C517" s="12" t="inlineStr">
        <is>
          <t>Your account with Qanvast</t>
        </is>
      </c>
      <c r="D517" s="12" t="inlineStr">
        <is>
          <t>Qanvast Ops</t>
        </is>
      </c>
      <c r="E517" s="13" t="inlineStr">
        <is>
          <t>Check the studio’s Qanvast lead credits</t>
        </is>
      </c>
      <c r="F517" s="14" t="inlineStr">
        <is>
          <t>1. Click "Qanvast Ops" in the side navigation, then the tab "Lead credits"
2. Read the tiles and the charts
3. Press "Transactions", then "Contracts"</t>
        </is>
      </c>
      <c r="G517"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7" s="12" t="inlineStr">
        <is>
          <t>Different from 1.0: named Lead credits, apart from AI credits</t>
        </is>
      </c>
      <c r="I517" s="11" t="inlineStr">
        <is>
          <t>Dane</t>
        </is>
      </c>
      <c r="J517" s="15" t="n"/>
      <c r="K517" s="15" t="n"/>
      <c r="L517" s="15" t="n"/>
      <c r="M517" s="16" t="n"/>
      <c r="N517" s="17" t="n"/>
      <c r="O517" s="17" t="n"/>
      <c r="P517" s="15" t="n"/>
    </row>
    <row r="518">
      <c r="A518" s="11" t="n">
        <v>25</v>
      </c>
      <c r="B518" s="11" t="inlineStr">
        <is>
          <t>25.04</t>
        </is>
      </c>
      <c r="C518" s="12" t="inlineStr">
        <is>
          <t>Your account with Qanvast</t>
        </is>
      </c>
      <c r="D518" s="12" t="inlineStr">
        <is>
          <t>Qanvast Ops</t>
        </is>
      </c>
      <c r="E518" s="13" t="inlineStr">
        <is>
          <t>Reply to a homeowner’s review</t>
        </is>
      </c>
      <c r="F518" s="14" t="inlineStr">
        <is>
          <t>1. Click the tab "Reviews"; read the overview on the left
2. Press "Waiting for a reply · 2"
3. On the first review press "Reply", type Thank you — it was a joy to work on your home., press "Post reply"</t>
        </is>
      </c>
      <c r="G518"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8" s="12" t="inlineStr">
        <is>
          <t>Same as 1.0</t>
        </is>
      </c>
      <c r="I518" s="11" t="inlineStr">
        <is>
          <t>Dane</t>
        </is>
      </c>
      <c r="J518" s="15" t="n"/>
      <c r="K518" s="15" t="n"/>
      <c r="L518" s="15" t="n"/>
      <c r="M518" s="16" t="n"/>
      <c r="N518" s="17" t="n"/>
      <c r="O518" s="17" t="n"/>
      <c r="P518" s="15" t="n"/>
    </row>
    <row r="519">
      <c r="A519" s="11" t="n">
        <v>25</v>
      </c>
      <c r="B519" s="11" t="inlineStr">
        <is>
          <t>25.05</t>
        </is>
      </c>
      <c r="C519" s="12" t="inlineStr">
        <is>
          <t>Your account with Qanvast</t>
        </is>
      </c>
      <c r="D519" s="12" t="inlineStr">
        <is>
          <t>Qanvast Ops</t>
        </is>
      </c>
      <c r="E519" s="13" t="inlineStr">
        <is>
          <t>See what Hui Min, the Admin, may open in Qanvast Ops</t>
        </is>
      </c>
      <c r="F519" s="14" t="inlineStr">
        <is>
          <t>1. "Demo Studio" block › "View as" › "Hui Min"
2. "Qanvast Ops" › "Reviews", then "Lead credits"
3. "Demo Studio" block › "View as" › "Dane"</t>
        </is>
      </c>
      <c r="G519" s="14" t="inlineStr">
        <is>
          <t>Hui Min reads Reviews and can Reply. Lead credits shows a lock: "Lead credits are for the studio’s Owner" — "What Qanvast charges for each lead, the studio’s contracts with Qanvast and its statement are the Owner’s to see." The block reads Dane again.</t>
        </is>
      </c>
      <c r="H519" s="12" t="inlineStr">
        <is>
          <t>Different from 1.0: Admins read and answer reviews too</t>
        </is>
      </c>
      <c r="I519" s="18" t="inlineStr">
        <is>
          <t>Hui Min</t>
        </is>
      </c>
      <c r="J519" s="15" t="n"/>
      <c r="K519" s="15" t="n"/>
      <c r="L519" s="15" t="n"/>
      <c r="M519" s="16" t="n"/>
      <c r="N519" s="17" t="n"/>
      <c r="O519" s="17" t="n"/>
      <c r="P519" s="15" t="n"/>
    </row>
    <row r="520">
      <c r="A520" s="11" t="n">
        <v>25</v>
      </c>
      <c r="B520" s="11" t="inlineStr">
        <is>
          <t>25.06</t>
        </is>
      </c>
      <c r="C520" s="12" t="inlineStr">
        <is>
          <t>The fine print on the portal</t>
        </is>
      </c>
      <c r="D520" s="12" t="inlineStr">
        <is>
          <t>Client portal</t>
        </is>
      </c>
      <c r="E520" s="13" t="inlineStr">
        <is>
          <t>Link your privacy notice at the foot of the client portal</t>
        </is>
      </c>
      <c r="F520" s="14" t="inlineStr">
        <is>
          <t>1. "Company" › "Client portal"; in "Getting it live" read "Privacy notice", press "Add the link"
2. In "Privacy notice link" type not a link, press "Save"
3. Replace it with demostudio.sg/privacy, press "Save"
4. Read the "Privacy notice" row again</t>
        </is>
      </c>
      <c r="G520"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20" s="12" t="inlineStr">
        <is>
          <t>Different from 1.0: set on Company › Client portal</t>
        </is>
      </c>
      <c r="I520" s="11" t="inlineStr">
        <is>
          <t>Dane</t>
        </is>
      </c>
      <c r="J520" s="15" t="n"/>
      <c r="K520" s="15" t="n"/>
      <c r="L520" s="15" t="n"/>
      <c r="M520" s="16" t="n"/>
      <c r="N520" s="17" t="n"/>
      <c r="O520" s="17" t="n"/>
      <c r="P520" s="15" t="n"/>
    </row>
    <row r="521">
      <c r="A521" s="11" t="n">
        <v>25</v>
      </c>
      <c r="B521" s="11" t="inlineStr">
        <is>
          <t>25.07</t>
        </is>
      </c>
      <c r="C521" s="12" t="inlineStr">
        <is>
          <t>The fine print on the portal</t>
        </is>
      </c>
      <c r="D521" s="12" t="inlineStr">
        <is>
          <t>Client portal</t>
        </is>
      </c>
      <c r="E521" s="13" t="inlineStr">
        <is>
          <t>See the privacy link as Benjamin, on his portal</t>
        </is>
      </c>
      <c r="F521"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21" s="14" t="inlineStr">
        <is>
          <t>"Privacy" sits at the foot of the sign-in page and of every portal page — never Terms or Contact, which are not linked. It opens demostudio.sg/privacy in a new tab (not a real page in the demo — close it).</t>
        </is>
      </c>
      <c r="H521" s="12" t="inlineStr">
        <is>
          <t>Same as 1.0</t>
        </is>
      </c>
      <c r="I521" s="18" t="inlineStr">
        <is>
          <t>Benjamin Han (client)</t>
        </is>
      </c>
      <c r="J521" s="15" t="n"/>
      <c r="K521" s="15" t="n"/>
      <c r="L521" s="15" t="n"/>
      <c r="M521" s="16" t="n"/>
      <c r="N521" s="17" t="n"/>
      <c r="O521" s="17" t="n"/>
      <c r="P521" s="15" t="n"/>
    </row>
    <row r="522" ht="22" customHeight="1">
      <c r="A522" s="9" t="inlineStr">
        <is>
          <t>Chapter 26 · Quotes on the move — A quote on a phone and a tablet: it opens as the document, Edit is one section at a time, Items and payments are cards, the paper is a viewer, the lists and Create Quote as cards and rows, the client’s page with Confirm in reach.</t>
        </is>
      </c>
      <c r="M522" s="10" t="n"/>
    </row>
    <row r="523">
      <c r="A523" s="11" t="n">
        <v>26</v>
      </c>
      <c r="B523" s="11" t="inlineStr">
        <is>
          <t>26.01</t>
        </is>
      </c>
      <c r="C523" s="12" t="inlineStr">
        <is>
          <t>A quote on your phone</t>
        </is>
      </c>
      <c r="D523" s="12" t="inlineStr">
        <is>
          <t>Phone</t>
        </is>
      </c>
      <c r="E523" s="13" t="inlineStr">
        <is>
          <t>Open a quote on your phone: it opens as the document, not the editor</t>
        </is>
      </c>
      <c r="F523" s="14" t="inlineStr">
        <is>
          <t>1. On your phone (the Network address from chapter 12), tap "Tools" in the bottom bar › "Quotes"
2. Tap the card "Olivia Martinez" (OM-10001, Draft)
3. Read the top of the screen, then scroll to the end</t>
        </is>
      </c>
      <c r="G523" s="14" t="inlineStr">
        <is>
          <t>The quote opens as a screen, not the editor: a back arrow, "Olivia Martinez" with "OM-10001 · Whole-home renovation" under it, ⋮ at the right. Under that a hero: the Draft chip, the amount large, the number of lines, "Valid until …", the GST line, and Olivia with Call and WhatsApp buttons. One "Next" line says what this quote needs. Then the quote's sections as cards (each folds on a tap), then rows for Payment schedule, Files, Terms and conditions and Signature, each with a one-line summary. A foot stays at the bottom with "Edit" and "Send ▾". Nothing scrolls sideways.</t>
        </is>
      </c>
      <c r="H523" s="12" t="inlineStr">
        <is>
          <t>Different from 1.0: a quote on a phone opens as the document; the editor comes on Edit</t>
        </is>
      </c>
      <c r="I523" s="11" t="inlineStr">
        <is>
          <t>Dane</t>
        </is>
      </c>
      <c r="J523" s="15" t="n"/>
      <c r="K523" s="15" t="n"/>
      <c r="L523" s="15" t="n"/>
      <c r="M523" s="16" t="n"/>
      <c r="N523" s="17" t="n"/>
      <c r="O523" s="17" t="n"/>
      <c r="P523" s="15" t="n"/>
    </row>
    <row r="524">
      <c r="A524" s="11" t="n">
        <v>26</v>
      </c>
      <c r="B524" s="11" t="inlineStr">
        <is>
          <t>26.02</t>
        </is>
      </c>
      <c r="C524" s="12" t="inlineStr">
        <is>
          <t>A quote on your phone</t>
        </is>
      </c>
      <c r="D524" s="12" t="inlineStr">
        <is>
          <t>Phone</t>
        </is>
      </c>
      <c r="E524" s="13" t="inlineStr">
        <is>
          <t>Edit is a list of sections, one at a time</t>
        </is>
      </c>
      <c r="F524" s="14" t="inlineStr">
        <is>
          <t>1. Tap "Edit" in the foot
2. Read the list
3. Tap "Items"
4. Tap the back arrow at the top left
5. Tap "Done"
6. Tap "Edit" again, then press your phone's own Back</t>
        </is>
      </c>
      <c r="G524" s="14" t="inlineStr">
        <is>
          <t>Edit opens a list: General info, Items (with the count), Payment schedule, Files (with the count), Terms and conditions, Additional notes, Signature — each with a one-line summary of what it holds. Items opens as its own screen with a bar at the top (← · "Items" · "16 lines · S$…"). The arrow returns to the list; Done returns to the quote screen. The phone's Back goes back one step, never out of the quote (the address carries the step).</t>
        </is>
      </c>
      <c r="H524" s="12" t="inlineStr">
        <is>
          <t>Different from 1.0: one section at a time on a phone</t>
        </is>
      </c>
      <c r="I524" s="11" t="inlineStr">
        <is>
          <t>Dane</t>
        </is>
      </c>
      <c r="J524" s="15" t="n"/>
      <c r="K524" s="15" t="n"/>
      <c r="L524" s="15" t="n"/>
      <c r="M524" s="16" t="n"/>
      <c r="N524" s="17" t="n"/>
      <c r="O524" s="17" t="n"/>
      <c r="P524" s="15" t="n"/>
    </row>
    <row r="525">
      <c r="A525" s="11" t="n">
        <v>26</v>
      </c>
      <c r="B525" s="11" t="inlineStr">
        <is>
          <t>26.03</t>
        </is>
      </c>
      <c r="C525" s="12" t="inlineStr">
        <is>
          <t>A quote on your phone</t>
        </is>
      </c>
      <c r="D525" s="12" t="inlineStr">
        <is>
          <t>Phone</t>
        </is>
      </c>
      <c r="E525" s="13" t="inlineStr">
        <is>
          <t>Items are cards; a line opens as a sheet</t>
        </is>
      </c>
      <c r="F525" s="14" t="inlineStr">
        <is>
          <t>1. Edit › Items
2. Tap the "Bathrooms" section card, then tap it again
3. Scroll: the open section's card holds at the top
4. Tap a line
5. Change the quantity and watch the Total; tap "More"
6. Tap "Done"</t>
        </is>
      </c>
      <c r="G525" s="14" t="inlineStr">
        <is>
          <t>A section card folds and unfolds its lines. Each line is a card: the name, "44 sqft × S$102 · Purchase" and its total. A line opens as a sheet with Quantity, Unit, Unit price, a live Total, Kind and Description; the Total changes as you type; More shows cost, markup, discount, GST, room, category, section label, vendor, link and image. Done closes it and the card reads the new figures. A strip stays pinned at the bottom: Subtotal · GST · Total with "Adjust" (entity, discounts, GST, rounding) and "Breakdown" (by category). No Column settings, Row density or Expand on the phone.</t>
        </is>
      </c>
      <c r="H525" s="12" t="inlineStr">
        <is>
          <t>Different from 1.0: cards and a two-layer sheet instead of a twelve-column grid</t>
        </is>
      </c>
      <c r="I525" s="11" t="inlineStr">
        <is>
          <t>Dane</t>
        </is>
      </c>
      <c r="J525" s="15" t="n"/>
      <c r="K525" s="15" t="n"/>
      <c r="L525" s="15" t="n"/>
      <c r="M525" s="16" t="n"/>
      <c r="N525" s="17" t="n"/>
      <c r="O525" s="17" t="n"/>
      <c r="P525" s="15" t="n"/>
    </row>
    <row r="526">
      <c r="A526" s="11" t="n">
        <v>26</v>
      </c>
      <c r="B526" s="11" t="inlineStr">
        <is>
          <t>26.04</t>
        </is>
      </c>
      <c r="C526" s="12" t="inlineStr">
        <is>
          <t>A quote on your phone</t>
        </is>
      </c>
      <c r="D526" s="12" t="inlineStr">
        <is>
          <t>Phone</t>
        </is>
      </c>
      <c r="E526" s="13" t="inlineStr">
        <is>
          <t>A line's ⋮, Remove with Undo, two lines at once, and adding</t>
        </is>
      </c>
      <c r="F526" s="14" t="inlineStr">
        <is>
          <t>1. On a line card, tap ⋮
2. Tap "Remove", then "Undo" in the snackbar
3. Hold a card until it ticks, then tap a second card
4. Read the bar, then tap "Clear"
5. Tap "+ Add to Bathrooms" at the end of that section
6. Tap "Add item" at the top</t>
        </is>
      </c>
      <c r="G526" s="14" t="inlineStr">
        <is>
          <t>The ⋮ has five rows: Duplicate, Mark as optional, Move to section ›, Remove, More…. Remove takes the card away with a snackbar and Undo brings it back. Holding selects: the bar shows the count with Clear, then Move to section, Delete and ⋯; the pinned total lifts above the bar. "+ Add to Bathrooms" adds a line inside that section and opens its sheet; "Add item" adds one at the end and opens its sheet. Both appear in place when Done is tapped.</t>
        </is>
      </c>
      <c r="H526" s="12" t="inlineStr">
        <is>
          <t>Different from 1.0: every remove has Undo; a long press selects</t>
        </is>
      </c>
      <c r="I526" s="11" t="inlineStr">
        <is>
          <t>Dane</t>
        </is>
      </c>
      <c r="J526" s="15" t="n"/>
      <c r="K526" s="15" t="n"/>
      <c r="L526" s="15" t="n"/>
      <c r="M526" s="16" t="n"/>
      <c r="N526" s="17" t="n"/>
      <c r="O526" s="17" t="n"/>
      <c r="P526" s="15" t="n"/>
    </row>
    <row r="527">
      <c r="A527" s="11" t="n">
        <v>26</v>
      </c>
      <c r="B527" s="11" t="inlineStr">
        <is>
          <t>26.05</t>
        </is>
      </c>
      <c r="C527" s="12" t="inlineStr">
        <is>
          <t>A quote on your phone</t>
        </is>
      </c>
      <c r="D527" s="12" t="inlineStr">
        <is>
          <t>Phone</t>
        </is>
      </c>
      <c r="E527" s="13" t="inlineStr">
        <is>
          <t>The payment schedule as cards</t>
        </is>
      </c>
      <c r="F527" s="14" t="inlineStr">
        <is>
          <t>1. Back to the list (← then the list) › "Payment schedule"
2. Tap the first payment
3. Type 15 in the share box and watch the amount
4. Tap "Done"
5. Tap the payment again › "Remove", then "Undo"</t>
        </is>
      </c>
      <c r="G527" s="14" t="inlineStr">
        <is>
          <t>Each payment is a card: its name over the description, the amount over "10% · On Approval". The card opens a sheet: name, description, share and amount side by side (typing 15% fills the amount of 15% of the quote's total), the due as "On approval · On a date", Remove at the foot's start and Done. Done writes the change and the card reads "15% · On Approval". Remove takes the card away with Undo; Undo brings it back.</t>
        </is>
      </c>
      <c r="H527" s="12" t="inlineStr">
        <is>
          <t>Different from 1.0: the schedule's row was a six-column grid that cut its words on a phone</t>
        </is>
      </c>
      <c r="I527" s="11" t="inlineStr">
        <is>
          <t>Dane</t>
        </is>
      </c>
      <c r="J527" s="15" t="n"/>
      <c r="K527" s="15" t="n"/>
      <c r="L527" s="15" t="n"/>
      <c r="M527" s="16" t="n"/>
      <c r="N527" s="17" t="n"/>
      <c r="O527" s="17" t="n"/>
      <c r="P527" s="15" t="n"/>
    </row>
    <row r="528">
      <c r="A528" s="11" t="n">
        <v>26</v>
      </c>
      <c r="B528" s="11" t="inlineStr">
        <is>
          <t>26.06</t>
        </is>
      </c>
      <c r="C528" s="12" t="inlineStr">
        <is>
          <t>A quote on your phone</t>
        </is>
      </c>
      <c r="D528" s="12" t="inlineStr">
        <is>
          <t>Phone</t>
        </is>
      </c>
      <c r="E528" s="13" t="inlineStr">
        <is>
          <t>Terms and conditions open full screen</t>
        </is>
      </c>
      <c r="F528" s="14" t="inlineStr">
        <is>
          <t>1. The list › "Terms and conditions"
2. Read the row, then tap it
3. Tap into the text, type a word, tap "B" (Bold)
4. Tap "Done"</t>
        </is>
      </c>
      <c r="G528" s="14" t="inlineStr">
        <is>
          <t>The section is one row: "n clauses · shown to the client" over the first lines of the text. Tapping it opens a full-screen editor with the tools as big buttons in two rows (each easy to hit, no scrolling toolbar), Write with AI at the foot's start and Done. What you type saves by itself. Done returns to the row, which now shows your word.</t>
        </is>
      </c>
      <c r="H528" s="12" t="inlineStr">
        <is>
          <t>Different from 1.0: the text is not an open editor in the middle of a long page</t>
        </is>
      </c>
      <c r="I528" s="11" t="inlineStr">
        <is>
          <t>Dane</t>
        </is>
      </c>
      <c r="J528" s="15" t="n"/>
      <c r="K528" s="15" t="n"/>
      <c r="L528" s="15" t="n"/>
      <c r="M528" s="16" t="n"/>
      <c r="N528" s="17" t="n"/>
      <c r="O528" s="17" t="n"/>
      <c r="P528" s="15" t="n"/>
    </row>
    <row r="529">
      <c r="A529" s="11" t="n">
        <v>26</v>
      </c>
      <c r="B529" s="11" t="inlineStr">
        <is>
          <t>26.07</t>
        </is>
      </c>
      <c r="C529" s="12" t="inlineStr">
        <is>
          <t>A quote on your phone</t>
        </is>
      </c>
      <c r="D529" s="12" t="inlineStr">
        <is>
          <t>Phone</t>
        </is>
      </c>
      <c r="E529" s="13" t="inlineStr">
        <is>
          <t>The quote's ⋮, Version History as a sheet, and the snackbar over it</t>
        </is>
      </c>
      <c r="F529" s="14" t="inlineStr">
        <is>
          <t>1. Done, back on the quote screen tap ⋮ at the top right
2. Read the groups, then tap "Version History"
3. Tap "Revise — start version 2"
4. Tap "Close"</t>
        </is>
      </c>
      <c r="G529" s="14" t="inlineStr">
        <is>
          <t>The ⋮ is a sheet with its rows grouped under Look, Change, Share and Export — everything the desktop has, and no key hints. Version History opens as a bottom sheet with Close in its foot. On a never-sent Draft, Revise answers with a snackbar explaining that a draft is edited, not revised — and the snackbar sits above the sheet's foot, never over its Close. Close returns to the quote.</t>
        </is>
      </c>
      <c r="H529" s="12" t="inlineStr">
        <is>
          <t>Different from 1.0: menus are bottom sheets on a phone</t>
        </is>
      </c>
      <c r="I529" s="11" t="inlineStr">
        <is>
          <t>Dane</t>
        </is>
      </c>
      <c r="J529" s="15" t="n"/>
      <c r="K529" s="15" t="n"/>
      <c r="L529" s="15" t="n"/>
      <c r="M529" s="16" t="n"/>
      <c r="N529" s="17" t="n"/>
      <c r="O529" s="17" t="n"/>
      <c r="P529" s="15" t="n"/>
    </row>
    <row r="530">
      <c r="A530" s="11" t="n">
        <v>26</v>
      </c>
      <c r="B530" s="11" t="inlineStr">
        <is>
          <t>26.08</t>
        </is>
      </c>
      <c r="C530" s="12" t="inlineStr">
        <is>
          <t>A quote on your phone</t>
        </is>
      </c>
      <c r="D530" s="12" t="inlineStr">
        <is>
          <t>Phone</t>
        </is>
      </c>
      <c r="E530" s="13" t="inlineStr">
        <is>
          <t>Send for confirmation from your phone</t>
        </is>
      </c>
      <c r="F530" s="14" t="inlineStr">
        <is>
          <t>1. On the quote screen tap "Send ▾" › "Send for confirmation"
2. Read the sheet without scrolling
3. Tap "Copy link"
4. Tap "Send via WhatsApp"</t>
        </is>
      </c>
      <c r="G530" s="14" t="inlineStr">
        <is>
          <t>The sheet is built to fit the screen: "+65" and the number on one line, the message box tall enough for its whole message, no link row (on an iPhone the body may scroll a little, but the foot with its two buttons stays in reach). Copy link (in the foot) copies the confirmation link with a snackbar; Send via WhatsApp opens WhatsApp with the message and the link ready to send. Back in OpenMaison the quote reads Sent to Client and the foot's primary becomes "Remind".</t>
        </is>
      </c>
      <c r="H530" s="12" t="inlineStr">
        <is>
          <t>Same as 1.0: WhatsApp carries the link; the sheet now fits a phone</t>
        </is>
      </c>
      <c r="I530" s="11" t="inlineStr">
        <is>
          <t>Dane</t>
        </is>
      </c>
      <c r="J530" s="15" t="n"/>
      <c r="K530" s="15" t="n"/>
      <c r="L530" s="15" t="n"/>
      <c r="M530" s="16" t="n"/>
      <c r="N530" s="17" t="n"/>
      <c r="O530" s="17" t="n"/>
      <c r="P530" s="15" t="n"/>
    </row>
    <row r="531">
      <c r="A531" s="11" t="n">
        <v>26</v>
      </c>
      <c r="B531" s="11" t="inlineStr">
        <is>
          <t>26.09</t>
        </is>
      </c>
      <c r="C531" s="12" t="inlineStr">
        <is>
          <t>A quote on your phone</t>
        </is>
      </c>
      <c r="D531" s="12" t="inlineStr">
        <is>
          <t>Phone</t>
        </is>
      </c>
      <c r="E531" s="13" t="inlineStr">
        <is>
          <t>As printed is a viewer; the Preview is the client's reflowed quote</t>
        </is>
      </c>
      <c r="F531" s="14" t="inlineStr">
        <is>
          <t>1. On the quote screen scroll to the document and tap "As printed"
2. Swipe left for page 2; double-tap a page; pinch
3. Tap "Fit to width", then the back arrow
4. Open "/quotes/&lt;this quote&gt;/preview" (⋮ › Preview)
5. Tap "Paper" (the "n lines · As printed" row), then ⋮ in the bar</t>
        </is>
      </c>
      <c r="G531" s="14" t="inlineStr">
        <is>
          <t>As printed opens a viewer: the head "As printed · OM-10001 · n pages" with Download, the page fitted to the width, a dot per page that follows your swipe, double-tap zooms and "Fit to width" brings it back. The arrow returns to the quote. The Preview page shows the client's quote as cards under one bar (← · Preview · Send ▾); the paper row opens the same viewer. The bar's ⋮ holds Copy preview link, Share PDF, Internal copy, What your client sees and Change template.</t>
        </is>
      </c>
      <c r="H531" s="12" t="inlineStr">
        <is>
          <t>Different from 1.0: no A4 shrunk to a phone's width</t>
        </is>
      </c>
      <c r="I531" s="11" t="inlineStr">
        <is>
          <t>Dane</t>
        </is>
      </c>
      <c r="J531" s="15" t="n"/>
      <c r="K531" s="15" t="n"/>
      <c r="L531" s="15" t="n"/>
      <c r="M531" s="16" t="n"/>
      <c r="N531" s="17" t="n"/>
      <c r="O531" s="17" t="n"/>
      <c r="P531" s="15" t="n"/>
    </row>
    <row r="532">
      <c r="A532" s="11" t="n">
        <v>26</v>
      </c>
      <c r="B532" s="11" t="inlineStr">
        <is>
          <t>26.10</t>
        </is>
      </c>
      <c r="C532" s="12" t="inlineStr">
        <is>
          <t>A quote on your phone</t>
        </is>
      </c>
      <c r="D532" s="12" t="inlineStr">
        <is>
          <t>Phone</t>
        </is>
      </c>
      <c r="E532" s="13" t="inlineStr">
        <is>
          <t>One primary button per state</t>
        </is>
      </c>
      <c r="F532" s="14" t="inlineStr">
        <is>
          <t>1. As Germaine (View as), open OM-10001 on the phone: read the foot
2. Tap the primary, confirm, read the foot again
3. As Dane, open the same quote: tap "Approve", then read the foot
4. Open OM-10007 (Serena Koh, Sent to Client): read the foot; set a future "Valid until" in General info and read it again
5. Open OM-10004 (Ryan D’Souza, Signed): read the foot</t>
        </is>
      </c>
      <c r="G532" s="14" t="inlineStr">
        <is>
          <t>Germaine's Draft offers "Send" (for approval); once sent, only Edit stays. Dane sees "Approve", then "Send ▾". Serena's quote, past its validity, offers "Revise"; with a future date it offers "Remind", which opens the reminder sheet (a WhatsApp nudge with the confirmation link). Ryan's signed quote offers "Open contract". Every other action is under ⋮.</t>
        </is>
      </c>
      <c r="H532" s="12" t="inlineStr">
        <is>
          <t>New in 2.0: the state decides the one filled button</t>
        </is>
      </c>
      <c r="I532" s="11" t="inlineStr">
        <is>
          <t>Dane</t>
        </is>
      </c>
      <c r="J532" s="15" t="n"/>
      <c r="K532" s="15" t="n"/>
      <c r="L532" s="15" t="n"/>
      <c r="M532" s="16" t="n"/>
      <c r="N532" s="17" t="n"/>
      <c r="O532" s="17" t="n"/>
      <c r="P532" s="15" t="n"/>
    </row>
    <row r="533">
      <c r="A533" s="11" t="n">
        <v>26</v>
      </c>
      <c r="B533" s="11" t="inlineStr">
        <is>
          <t>26.11</t>
        </is>
      </c>
      <c r="C533" s="12" t="inlineStr">
        <is>
          <t>The lists on your phone</t>
        </is>
      </c>
      <c r="D533" s="12" t="inlineStr">
        <is>
          <t>Phone</t>
        </is>
      </c>
      <c r="E533" s="13" t="inlineStr">
        <is>
          <t>The Quotes list as cards</t>
        </is>
      </c>
      <c r="F533" s="14" t="inlineStr">
        <is>
          <t>1. Tools › Quotes on the phone
2. Read a card; tap its ⋮
3. Hold a card until it ticks
4. Tap "Filters"
5. Open Olivia's lead › "Quotes" tab</t>
        </is>
      </c>
      <c r="G533" s="14" t="inlineStr">
        <is>
          <t>Each card leads with the client's name (bold) and the amount at the right; under them the number and title; then a status chip with its "since" (sent · viewed · due · valid until) and a chevron. The ⋮ offers Open, Copy link, Remind (only while the client holds it), Preview, Change status ›, Archive and Delete. Holding a card selects it and shows the bar. Filters is one sheet of chips. The lead's Quotes tab shows the same cards with the title first.</t>
        </is>
      </c>
      <c r="H533" s="12" t="inlineStr">
        <is>
          <t>Different from 1.0: the client leads the card; no checkbox</t>
        </is>
      </c>
      <c r="I533" s="11" t="inlineStr">
        <is>
          <t>Dane</t>
        </is>
      </c>
      <c r="J533" s="15" t="n"/>
      <c r="K533" s="15" t="n"/>
      <c r="L533" s="15" t="n"/>
      <c r="M533" s="16" t="n"/>
      <c r="N533" s="17" t="n"/>
      <c r="O533" s="17" t="n"/>
      <c r="P533" s="15" t="n"/>
    </row>
    <row r="534">
      <c r="A534" s="11" t="n">
        <v>26</v>
      </c>
      <c r="B534" s="11" t="inlineStr">
        <is>
          <t>26.12</t>
        </is>
      </c>
      <c r="C534" s="12" t="inlineStr">
        <is>
          <t>The lists on your phone</t>
        </is>
      </c>
      <c r="D534" s="12" t="inlineStr">
        <is>
          <t>Phone</t>
        </is>
      </c>
      <c r="E534" s="13" t="inlineStr">
        <is>
          <t>Create a quote on your phone</t>
        </is>
      </c>
      <c r="F534" s="14" t="inlineStr">
        <is>
          <t>1. Tools › Quotes › "+"
2. Pick a lead under "Who is this quote for?"
3. Read the four rows; tap "Change" beside the default template, then Back
4. Tap "Blank quote"</t>
        </is>
      </c>
      <c r="G534" s="14" t="inlineStr">
        <is>
          <t>The first step asks "Who is this quote for?" with the recent leads first. Then four tall rows: the default template by name ("Starts with …" and Change), Blank quote, Upload a quote, Draft with Maison AI. Change opens the templates as a list (name over its details). Blank quote makes the quote and opens it as the quote screen. From a lead's Quotes tab the rows show at once (the lead is known).</t>
        </is>
      </c>
      <c r="H534" s="12" t="inlineStr">
        <is>
          <t>Different from 1.0: the lead first, then four rows</t>
        </is>
      </c>
      <c r="I534" s="11" t="inlineStr">
        <is>
          <t>Dane</t>
        </is>
      </c>
      <c r="J534" s="15" t="n"/>
      <c r="K534" s="15" t="n"/>
      <c r="L534" s="15" t="n"/>
      <c r="M534" s="16" t="n"/>
      <c r="N534" s="17" t="n"/>
      <c r="O534" s="17" t="n"/>
      <c r="P534" s="15" t="n"/>
    </row>
    <row r="535">
      <c r="A535" s="11" t="n">
        <v>26</v>
      </c>
      <c r="B535" s="11" t="inlineStr">
        <is>
          <t>26.13</t>
        </is>
      </c>
      <c r="C535" s="12" t="inlineStr">
        <is>
          <t>On a tablet</t>
        </is>
      </c>
      <c r="D535" s="12" t="inlineStr">
        <is>
          <t>Phone</t>
        </is>
      </c>
      <c r="E535" s="13" t="inlineStr">
        <is>
          <t>A tablet held upright reads like the phone, with more room</t>
        </is>
      </c>
      <c r="F535" s="14" t="inlineStr">
        <is>
          <t>1. On a tablet (or the laptop's browser made 768 wide with touch on), open Tools › Quotes
2. Read the table and its right edge
3. Open OM-10001; tap Edit › Items; tap a line
4. Open Olivia's lead › Quotes</t>
        </is>
      </c>
      <c r="G535" s="14" t="inlineStr">
        <is>
          <t>The list is a table with Title, Client, Status, Total and Due, the ⋮ frozen at the right (no View button: the title opens), Create Quote as a "+". The quote opens as the quote screen in a wide column; Items are cards and a tapped line opens in a panel at the right (Quantity and Unit price first), the list still scrolling beside it. The lead's Quotes tab hides the quick-links strip to keep the table's room.</t>
        </is>
      </c>
      <c r="H535" s="12" t="inlineStr">
        <is>
          <t>Different from 1.0: a default set of columns on a tablet</t>
        </is>
      </c>
      <c r="I535" s="11" t="inlineStr">
        <is>
          <t>Dane</t>
        </is>
      </c>
      <c r="J535" s="15" t="n"/>
      <c r="K535" s="15" t="n"/>
      <c r="L535" s="15" t="n"/>
      <c r="M535" s="16" t="n"/>
      <c r="N535" s="17" t="n"/>
      <c r="O535" s="17" t="n"/>
      <c r="P535" s="15" t="n"/>
    </row>
    <row r="536">
      <c r="A536" s="11" t="n">
        <v>26</v>
      </c>
      <c r="B536" s="11" t="inlineStr">
        <is>
          <t>26.14</t>
        </is>
      </c>
      <c r="C536" s="12" t="inlineStr">
        <is>
          <t>On a tablet</t>
        </is>
      </c>
      <c r="D536" s="12" t="inlineStr">
        <is>
          <t>Phone</t>
        </is>
      </c>
      <c r="E536" s="13" t="inlineStr">
        <is>
          <t>A tablet held sideways: the list beside the section, a working grid</t>
        </is>
      </c>
      <c r="F536" s="14" t="inlineStr">
        <is>
          <t>1. Turn the tablet sideways (1024 wide, touch)
2. Open OM-10001 › Edit
3. Tap "Items"; read the grid; tap a Total
4. Tap ⋮ › Column settings › turn "Cost" on; reload
5. Open ⋮ › Preview</t>
        </is>
      </c>
      <c r="G536" s="14" t="inlineStr">
        <is>
          <t>Edit keeps the section list as a pane at the left and the open section at the right; a row swaps the section. Items is a grid of Item, Qty, Unit, Unit price and Total that fits without panning; a tap on a Total opens the rest in the panel; Column settings adds Cost with an "internal" caption and remembers it for the tablet only. The Preview's A4 fits the width under one bar.</t>
        </is>
      </c>
      <c r="H536" s="12" t="inlineStr">
        <is>
          <t>Different from 1.0: five columns a finger can edit, the rest one tap away</t>
        </is>
      </c>
      <c r="I536" s="11" t="inlineStr">
        <is>
          <t>Dane</t>
        </is>
      </c>
      <c r="J536" s="15" t="n"/>
      <c r="K536" s="15" t="n"/>
      <c r="L536" s="15" t="n"/>
      <c r="M536" s="16" t="n"/>
      <c r="N536" s="17" t="n"/>
      <c r="O536" s="17" t="n"/>
      <c r="P536" s="15" t="n"/>
    </row>
    <row r="537">
      <c r="A537" s="11" t="n">
        <v>26</v>
      </c>
      <c r="B537" s="11" t="inlineStr">
        <is>
          <t>26.15</t>
        </is>
      </c>
      <c r="C537" s="12" t="inlineStr">
        <is>
          <t>The client's phone</t>
        </is>
      </c>
      <c r="D537" s="12" t="inlineStr">
        <is>
          <t>Phone</t>
        </is>
      </c>
      <c r="E537" s="13" t="inlineStr">
        <is>
          <t>The confirmation link on the client's phone</t>
        </is>
      </c>
      <c r="F537" s="14" t="inlineStr">
        <is>
          <t>1. Send Serena's quote for confirmation (26.08) and open the copied link on the phone
2. Scroll to the end
3. Tap "View as printed", pinch, then back
4. Tap "Confirm quote"
5. On a tablet held sideways, open the same link</t>
        </is>
      </c>
      <c r="G537" s="14" t="inlineStr">
        <is>
          <t>The page starts with a total card (the amount, the lines, valid until, View as printed), then the quote as cards, with a bar that stays at the bottom: "Confirm quote" (tall) and "Ask". View as printed opens the paper in a viewer with pinch. Confirm opens a short sheet: the name, the fine print, Confirm. Sideways on a tablet the card sits above the paper and Confirm keeps its size.</t>
        </is>
      </c>
      <c r="H537" s="12" t="inlineStr">
        <is>
          <t>Different from 1.0: Confirm is always within reach</t>
        </is>
      </c>
      <c r="I537" s="11" t="inlineStr">
        <is>
          <t>Dane</t>
        </is>
      </c>
      <c r="J537" s="15" t="n"/>
      <c r="K537" s="15" t="n"/>
      <c r="L537" s="15" t="n"/>
      <c r="M537" s="16" t="n"/>
      <c r="N537" s="17" t="n"/>
      <c r="O537" s="17" t="n"/>
      <c r="P537" s="15" t="n"/>
    </row>
    <row r="538">
      <c r="A538" s="11" t="n">
        <v>26</v>
      </c>
      <c r="B538" s="11" t="inlineStr">
        <is>
          <t>26.16</t>
        </is>
      </c>
      <c r="C538" s="12" t="inlineStr">
        <is>
          <t>The desktop</t>
        </is>
      </c>
      <c r="D538" s="12" t="inlineStr">
        <is>
          <t>Quotes</t>
        </is>
      </c>
      <c r="E538" s="13" t="inlineStr">
        <is>
          <t>Nothing changed on the desktop</t>
        </is>
      </c>
      <c r="F538" s="14" t="inlineStr">
        <is>
          <t>1. On the laptop at full width, open Tools › Quotes, a quote, its Preview and Serena's confirmation link</t>
        </is>
      </c>
      <c r="G538" s="14" t="inlineStr">
        <is>
          <t>The list, the editor (General Info, the Items grid, the Payment Schedule table, Files, Terms, Signature, Activity), the Preview with its bar and panel, and the client's page are exactly as they were in chapters 6 and 8.</t>
        </is>
      </c>
      <c r="H538" s="12" t="inlineStr">
        <is>
          <t>Same as 1.0</t>
        </is>
      </c>
      <c r="I538" s="11" t="inlineStr">
        <is>
          <t>Dane</t>
        </is>
      </c>
      <c r="J538" s="15" t="n"/>
      <c r="K538" s="15" t="n"/>
      <c r="L538" s="15" t="n"/>
      <c r="M538" s="16" t="n"/>
      <c r="N538" s="17" t="n"/>
      <c r="O538" s="17" t="n"/>
      <c r="P538" s="15" t="n"/>
    </row>
    <row r="539" ht="22" customHeight="1">
      <c r="A539" s="9" t="inlineStr">
        <is>
          <t>Chapter 27 · Contracts on the move — A contract on a phone and a tablet: it opens as the document, Edit is a short list with Details as one form, the paper full screen with one row of tools, a signature field placed by clause, the client reads first and signs in one hand, the lists and templates as cards and rows, a photo of the signed paper on the Won step.</t>
        </is>
      </c>
      <c r="M539" s="10" t="n"/>
    </row>
    <row r="540">
      <c r="A540" s="11" t="n">
        <v>27</v>
      </c>
      <c r="B540" s="11" t="inlineStr">
        <is>
          <t>27.01</t>
        </is>
      </c>
      <c r="C540" s="12" t="inlineStr">
        <is>
          <t>A contract on your phone</t>
        </is>
      </c>
      <c r="D540" s="12" t="inlineStr">
        <is>
          <t>Phone</t>
        </is>
      </c>
      <c r="E540" s="13" t="inlineStr">
        <is>
          <t>Open a contract on your phone: it opens as the document, not the editor</t>
        </is>
      </c>
      <c r="F540" s="14" t="inlineStr">
        <is>
          <t>1. On your phone (the Network address from chapter 12), tap "Tools" › "Contracts"
2. Tap the card "Olivia Martinez" (Interior Design Service Agreement, Draft)
3. Read the top of the screen, then scroll to the end</t>
        </is>
      </c>
      <c r="G540" s="14" t="inlineStr">
        <is>
          <t>The contract opens as a screen: a back arrow, "Olivia Martinez" with "Interior Design Service Agreement · from OM-10001" under it, ⋮ at the right. A card holds the Draft chip, From template, the contract date as a row, the quote row (OM-10001 · its amount · its status) and Olivia with Call, WhatsApp and a pencil. One "Next" line says what the contract needs. The clauses are cards split at the headings (the first open, the rest folded), the signature boxes a last card. Rows for Signature fields, Before the client signs, Automation, Files and Activity follow. A foot stays at the bottom with "Edit" and "Send". Nothing scrolls sideways.</t>
        </is>
      </c>
      <c r="H540" s="12" t="inlineStr">
        <is>
          <t>Different from 1.0: a contract on a phone opens as the document; the editor comes on Edit</t>
        </is>
      </c>
      <c r="I540" s="11" t="inlineStr">
        <is>
          <t>Dane</t>
        </is>
      </c>
      <c r="J540" s="15" t="n"/>
      <c r="K540" s="15" t="n"/>
      <c r="L540" s="15" t="n"/>
      <c r="M540" s="16" t="n"/>
      <c r="N540" s="17" t="n"/>
      <c r="O540" s="17" t="n"/>
      <c r="P540" s="15" t="n"/>
    </row>
    <row r="541">
      <c r="A541" s="11" t="n">
        <v>27</v>
      </c>
      <c r="B541" s="11" t="inlineStr">
        <is>
          <t>27.02</t>
        </is>
      </c>
      <c r="C541" s="12" t="inlineStr">
        <is>
          <t>A contract on your phone</t>
        </is>
      </c>
      <c r="D541" s="12" t="inlineStr">
        <is>
          <t>Phone</t>
        </is>
      </c>
      <c r="E541" s="13" t="inlineStr">
        <is>
          <t>Edit is a short list; Details is one form</t>
        </is>
      </c>
      <c r="F541" s="14" t="inlineStr">
        <is>
          <t>1. Tap "Edit"
2. Read the list
3. Tap "Details"; change the contract date (the calendar) and the recipient's number; tap the back arrow
4. Tap "Done"</t>
        </is>
      </c>
      <c r="G541" s="14" t="inlineStr">
        <is>
          <t>Edit opens a short list: Details, Document, Signature fields, Before the client signs, Automation, Files — each with a one-line summary. Details is one form (title, recipient and number, contract date, the quote, issued by) that types at 16 and saves by itself; the calendar's days are big enough for a finger. The arrow returns to the list; Done returns to the contract, whose card now reads the new date and number.</t>
        </is>
      </c>
      <c r="H541" s="12" t="inlineStr">
        <is>
          <t>Different from 1.0: the four things that change on site in one form</t>
        </is>
      </c>
      <c r="I541" s="11" t="inlineStr">
        <is>
          <t>Dane</t>
        </is>
      </c>
      <c r="J541" s="15" t="n"/>
      <c r="K541" s="15" t="n"/>
      <c r="L541" s="15" t="n"/>
      <c r="M541" s="16" t="n"/>
      <c r="N541" s="17" t="n"/>
      <c r="O541" s="17" t="n"/>
      <c r="P541" s="15" t="n"/>
    </row>
    <row r="542">
      <c r="A542" s="11" t="n">
        <v>27</v>
      </c>
      <c r="B542" s="11" t="inlineStr">
        <is>
          <t>27.03</t>
        </is>
      </c>
      <c r="C542" s="12" t="inlineStr">
        <is>
          <t>A contract on your phone</t>
        </is>
      </c>
      <c r="D542" s="12" t="inlineStr">
        <is>
          <t>Phone</t>
        </is>
      </c>
      <c r="E542" s="13" t="inlineStr">
        <is>
          <t>The Document screen: the paper full screen with one row of tools</t>
        </is>
      </c>
      <c r="F542" s="14" t="inlineStr">
        <is>
          <t>1. Edit › "Document"
2. Read the bar and the row of tools
3. Tap into clause 2, type a word, tap "B"
4. Tap "+" in the tool row › "Insert a field" › "Client phone"
5. Tap a lilac field chip in the text
6. Tap the outline (≡) and pick a clause; tap "Done"</t>
        </is>
      </c>
      <c r="G542" s="14" t="inlineStr">
        <is>
          <t>The paper fills the screen under a bar (← · Document · the clause · ≡ · Done) with one row of seven big tools: Undo, Text, B, I, U, List, +. Nothing scrolls sideways and nothing covers the text (no Maison AI button here). "+" opens a sheet: Add a signature field, Link, Image, Highlight, Numbered list, the alignments, then Insert a field with what each prints as; the chip lands where the caret was with "Client phone inserted · Undo". A tap on a chip says what it prints as, with Remove. The outline jumps to the clause; Done returns to the list.</t>
        </is>
      </c>
      <c r="H542" s="12" t="inlineStr">
        <is>
          <t>Different from 1.0: seven tools at a finger's size, the rest one tap further</t>
        </is>
      </c>
      <c r="I542" s="11" t="inlineStr">
        <is>
          <t>Dane</t>
        </is>
      </c>
      <c r="J542" s="15" t="n"/>
      <c r="K542" s="15" t="n"/>
      <c r="L542" s="15" t="n"/>
      <c r="M542" s="16" t="n"/>
      <c r="N542" s="17" t="n"/>
      <c r="O542" s="17" t="n"/>
      <c r="P542" s="15" t="n"/>
    </row>
    <row r="543">
      <c r="A543" s="11" t="n">
        <v>27</v>
      </c>
      <c r="B543" s="11" t="inlineStr">
        <is>
          <t>27.04</t>
        </is>
      </c>
      <c r="C543" s="12" t="inlineStr">
        <is>
          <t>A contract on your phone</t>
        </is>
      </c>
      <c r="D543" s="12" t="inlineStr">
        <is>
          <t>Phone</t>
        </is>
      </c>
      <c r="E543" s="13" t="inlineStr">
        <is>
          <t>A signature field is placed by choosing where, never by a thumb</t>
        </is>
      </c>
      <c r="F543" s="14" t="inlineStr">
        <is>
          <t>1. Edit › "Signature fields"
2. On "Client initial" tap "Add"
3. Pick "Under Signatures" (already picked) and tap "Add under Signatures"
4. Tap "Undo" in the snackbar
5. Edit › "Before the client signs": tap the words of "Read to the end"</t>
        </is>
      </c>
      <c r="G543" s="14" t="inlineStr">
        <is>
          <t>Signature fields lists Studio signature, Client signature, Studio initial, Client initial as placed / not placed. Add asks where: the clauses from the outline, "Under Signatures" picked for you, "At the end". The field lands as its own block under Signatures, the screen scrolls to it with a pulse and the snackbar says "Client initial added under Signatures · Undo"; Undo takes it away. Before the client signs: the whole row toggles the switch, not only its track; the help reads at 14.</t>
        </is>
      </c>
      <c r="H543" s="12" t="inlineStr">
        <is>
          <t>Different from 1.0: no caret needed; a field goes after a clause you choose</t>
        </is>
      </c>
      <c r="I543" s="11" t="inlineStr">
        <is>
          <t>Dane</t>
        </is>
      </c>
      <c r="J543" s="15" t="n"/>
      <c r="K543" s="15" t="n"/>
      <c r="L543" s="15" t="n"/>
      <c r="M543" s="16" t="n"/>
      <c r="N543" s="17" t="n"/>
      <c r="O543" s="17" t="n"/>
      <c r="P543" s="15" t="n"/>
    </row>
    <row r="544">
      <c r="A544" s="11" t="n">
        <v>27</v>
      </c>
      <c r="B544" s="11" t="inlineStr">
        <is>
          <t>27.05</t>
        </is>
      </c>
      <c r="C544" s="12" t="inlineStr">
        <is>
          <t>A contract on your phone</t>
        </is>
      </c>
      <c r="D544" s="12" t="inlineStr">
        <is>
          <t>Phone</t>
        </is>
      </c>
      <c r="E544" s="13" t="inlineStr">
        <is>
          <t>Send from the phone; the state's one button after</t>
        </is>
      </c>
      <c r="F544" s="14" t="inlineStr">
        <is>
          <t>1. Back on the contract tap "Send"
2. Read the sheet without scrolling; tap "How signing works"
3. Tap "Send via WhatsApp" (WhatsApp opens with the message; come back)
4. Read the Next line and the foot; tap "Remind"
5. Tap ⋮ at the top right</t>
        </is>
      </c>
      <c r="G544" s="14" t="inlineStr">
        <is>
          <t>The sheet fits the phone: a one-line head, the recipient and number, the message, Copy link and Send via WhatsApp in the foot; "How signing works" unfolds the explanation; no "Mark as signed" line here (it is in ⋮). After sending, the Next line reads "With Olivia for signature · sent just now · not opened yet · link open until …" and the foot's button is "Remind", which opens the reminder sheet. The ⋮ is grouped (Look · Change · Share · Export) with no key hints; a snackbar never covers its rows.</t>
        </is>
      </c>
      <c r="H544" s="12" t="inlineStr">
        <is>
          <t>Same as 1.0: WhatsApp carries the link; the state decides the one button</t>
        </is>
      </c>
      <c r="I544" s="11" t="inlineStr">
        <is>
          <t>Dane</t>
        </is>
      </c>
      <c r="J544" s="15" t="n"/>
      <c r="K544" s="15" t="n"/>
      <c r="L544" s="15" t="n"/>
      <c r="M544" s="16" t="n"/>
      <c r="N544" s="17" t="n"/>
      <c r="O544" s="17" t="n"/>
      <c r="P544" s="15" t="n"/>
    </row>
    <row r="545">
      <c r="A545" s="11" t="n">
        <v>27</v>
      </c>
      <c r="B545" s="11" t="inlineStr">
        <is>
          <t>27.06</t>
        </is>
      </c>
      <c r="C545" s="12" t="inlineStr">
        <is>
          <t>A contract on your phone</t>
        </is>
      </c>
      <c r="D545" s="12" t="inlineStr">
        <is>
          <t>Phone</t>
        </is>
      </c>
      <c r="E545" s="13" t="inlineStr">
        <is>
          <t>A signed contract reads only; the paper as a viewer</t>
        </is>
      </c>
      <c r="F545" s="14" t="inlineStr">
        <is>
          <t>1. Tools › Contracts › "Ryan D’Souza" (Signed)
2. Read the card and the foot; open the "Signed copy" row and ⋮ › "Signing record"
3. Tap "As printed" on the document; swipe, pinch, then back
4. ⋮ › "Preview": tap "Paper"</t>
        </is>
      </c>
      <c r="G545" s="14" t="inlineStr">
        <is>
          <t>A signed contract has no Edit: the card says "Signed 31 Jul ’26 · marked by the studio", the foot offers "Download signed copy" (and Move to Won while the lead is not Won). No toolbar, no greyed tools. As printed opens the viewer (fit to width, swipe, pinch, Download); the Preview page is the reflowed paper under one bar with Paper as a toggle to the same viewer.</t>
        </is>
      </c>
      <c r="H545" s="12" t="inlineStr">
        <is>
          <t>Different from 1.0: no dead toolbar over a frozen copy</t>
        </is>
      </c>
      <c r="I545" s="11" t="inlineStr">
        <is>
          <t>Dane</t>
        </is>
      </c>
      <c r="J545" s="15" t="n"/>
      <c r="K545" s="15" t="n"/>
      <c r="L545" s="15" t="n"/>
      <c r="M545" s="16" t="n"/>
      <c r="N545" s="17" t="n"/>
      <c r="O545" s="17" t="n"/>
      <c r="P545" s="15" t="n"/>
    </row>
    <row r="546">
      <c r="A546" s="11" t="n">
        <v>27</v>
      </c>
      <c r="B546" s="11" t="inlineStr">
        <is>
          <t>27.07</t>
        </is>
      </c>
      <c r="C546" s="12" t="inlineStr">
        <is>
          <t>The client signs on their phone</t>
        </is>
      </c>
      <c r="D546" s="12" t="inlineStr">
        <is>
          <t>Phone</t>
        </is>
      </c>
      <c r="E546" s="13" t="inlineStr">
        <is>
          <t>Read first, then one bar that walks to the signature</t>
        </is>
      </c>
      <c r="F546" s="14" t="inlineStr">
        <is>
          <t>1. Open the link you sent in 27.05 on the phone (or a phone-sized window)
2. Read the top; scroll and watch the bar
3. Tap "As cards" in the hero, then "View as printed", then Back
4. Scroll to the end</t>
        </is>
      </c>
      <c r="G546" s="14" t="inlineStr">
        <is>
          <t>A head with the studio's name, then a card: the agreement, "Signs quotation OM-10001 · S$… → As cards", "Hi Olivia, read it, then sign with a one-time code." The paper comes first, at a readable size. A bar stays at the bottom: "Read to the end to sign · 1 of 13 sections", counting as you scroll. As cards shows the quote as reading cards in place (View as printed opens the paper viewer); the phone's Back closes it without reloading. At the end the bar becomes one filled button: "Accept and sign".</t>
        </is>
      </c>
      <c r="H546" s="12" t="inlineStr">
        <is>
          <t>Different from 1.0: the paper first; the form was above it</t>
        </is>
      </c>
      <c r="I546" s="18" t="inlineStr">
        <is>
          <t>Sophia Wong (client)</t>
        </is>
      </c>
      <c r="J546" s="15" t="n"/>
      <c r="K546" s="15" t="n"/>
      <c r="L546" s="15" t="n"/>
      <c r="M546" s="16" t="n"/>
      <c r="N546" s="17" t="n"/>
      <c r="O546" s="17" t="n"/>
      <c r="P546" s="15" t="n"/>
    </row>
    <row r="547">
      <c r="A547" s="11" t="n">
        <v>27</v>
      </c>
      <c r="B547" s="11" t="inlineStr">
        <is>
          <t>27.08</t>
        </is>
      </c>
      <c r="C547" s="12" t="inlineStr">
        <is>
          <t>The client signs on their phone</t>
        </is>
      </c>
      <c r="D547" s="12" t="inlineStr">
        <is>
          <t>Phone</t>
        </is>
      </c>
      <c r="E547" s="13" t="inlineStr">
        <is>
          <t>Tick, code, sign — in one hand</t>
        </is>
      </c>
      <c r="F547" s="14" t="inlineStr">
        <is>
          <t>1. Tap "Accept and sign"
2. Tick the words (and the CaseTrust box), tap Continue
3. Type any six digits (the demo sends no text)
4. Read the Type screen; tap "Draw" and draw a square; tap "Clear"; go back to Type
5. Tap "Sign agreement"</t>
        </is>
      </c>
      <c r="G547" s="14" t="inlineStr">
        <is>
          <t>A sheet in three screens, one filled button each: the words to tick at a readable size; six code boxes (a real phone offers the SMS code); then your name typed in the signature face, with Draw one tap away — a square drawn stays a square, Clear sits under the pad, NRIC is folded. The consent sentence reads at 16. Sign closes the sheet and the page lands on the signature box.</t>
        </is>
      </c>
      <c r="H547" s="12" t="inlineStr">
        <is>
          <t>Different from 1.0: the code autofills; the drawn signature keeps its shape</t>
        </is>
      </c>
      <c r="I547" s="18" t="inlineStr">
        <is>
          <t>Sophia Wong (client)</t>
        </is>
      </c>
      <c r="J547" s="15" t="n"/>
      <c r="K547" s="15" t="n"/>
      <c r="L547" s="15" t="n"/>
      <c r="M547" s="16" t="n"/>
      <c r="N547" s="17" t="n"/>
      <c r="O547" s="17" t="n"/>
      <c r="P547" s="15" t="n"/>
    </row>
    <row r="548">
      <c r="A548" s="11" t="n">
        <v>27</v>
      </c>
      <c r="B548" s="11" t="inlineStr">
        <is>
          <t>27.09</t>
        </is>
      </c>
      <c r="C548" s="12" t="inlineStr">
        <is>
          <t>The client signs on their phone</t>
        </is>
      </c>
      <c r="D548" s="12" t="inlineStr">
        <is>
          <t>Phone</t>
        </is>
      </c>
      <c r="E548" s="13" t="inlineStr">
        <is>
          <t>Signed: keep a copy, see the record</t>
        </is>
      </c>
      <c r="F548" s="14" t="inlineStr">
        <is>
          <t>1. Read the Signed card and the bar
2. Tap "Save a copy"
3. Tap "Signing record"
4. Open a dead link: /sign/none</t>
        </is>
      </c>
      <c r="G548" s="14" t="inlineStr">
        <is>
          <t>The card reads Signed with the date; its rows are Save a copy, Pay the deposit and Signing record; the bar reads "Signed by Olivia · 22 Oct ’26". Save a copy opens the phone's share sheet with this page's address (where there is none, the link is copied and a snackbar says the page stays at it with the record and its fingerprint) — nothing prints. Signing record opens as a sheet, one tap away. A dead link's notice offers "Message Demo Studio Pte Ltd".</t>
        </is>
      </c>
      <c r="H548" s="12" t="inlineStr">
        <is>
          <t>Different from 1.0: a copy you can keep from a phone; the record one tap away</t>
        </is>
      </c>
      <c r="I548" s="18" t="inlineStr">
        <is>
          <t>Sophia Wong (client)</t>
        </is>
      </c>
      <c r="J548" s="15" t="n"/>
      <c r="K548" s="15" t="n"/>
      <c r="L548" s="15" t="n"/>
      <c r="M548" s="16" t="n"/>
      <c r="N548" s="17" t="n"/>
      <c r="O548" s="17" t="n"/>
      <c r="P548" s="15" t="n"/>
    </row>
    <row r="549">
      <c r="A549" s="11" t="n">
        <v>27</v>
      </c>
      <c r="B549" s="11" t="inlineStr">
        <is>
          <t>27.10</t>
        </is>
      </c>
      <c r="C549" s="12" t="inlineStr">
        <is>
          <t>The lists on your phone</t>
        </is>
      </c>
      <c r="D549" s="12" t="inlineStr">
        <is>
          <t>Phone</t>
        </is>
      </c>
      <c r="E549" s="13" t="inlineStr">
        <is>
          <t>The Contracts list as cards</t>
        </is>
      </c>
      <c r="F549" s="14" t="inlineStr">
        <is>
          <t>1. Tools › Contracts on the phone
2. Read a card; tap its ⋮
3. Hold a card until it ticks
4. Open Olivia's lead › "Contracts" tab</t>
        </is>
      </c>
      <c r="G549" s="14" t="inlineStr">
        <is>
          <t>Each card leads with the client's name and the amount of the quote it signs; under them "Signs OM-… · Interior Design Service Agreement"; then a status chip you cannot tap (the status changes on the contract) with its since (sent · not opened · link expired · signed) and a chevron. The whole card opens the contract; holding selects. The ⋮ offers Open, Send a reminder (or Send the link again), Copy link, Mark as signed…, Stop the signing link, Change status ›, Share PDF, Archive, Delete. The to-do chips keep their words. The lead's tab shows the same cards with the title first.</t>
        </is>
      </c>
      <c r="H549" s="12" t="inlineStr">
        <is>
          <t>Different from 1.0: the client leads the card; the status is read-only</t>
        </is>
      </c>
      <c r="I549" s="11" t="inlineStr">
        <is>
          <t>Dane</t>
        </is>
      </c>
      <c r="J549" s="15" t="n"/>
      <c r="K549" s="15" t="n"/>
      <c r="L549" s="15" t="n"/>
      <c r="M549" s="16" t="n"/>
      <c r="N549" s="17" t="n"/>
      <c r="O549" s="17" t="n"/>
      <c r="P549" s="15" t="n"/>
    </row>
    <row r="550">
      <c r="A550" s="11" t="n">
        <v>27</v>
      </c>
      <c r="B550" s="11" t="inlineStr">
        <is>
          <t>27.11</t>
        </is>
      </c>
      <c r="C550" s="12" t="inlineStr">
        <is>
          <t>The lists on your phone</t>
        </is>
      </c>
      <c r="D550" s="12" t="inlineStr">
        <is>
          <t>Phone</t>
        </is>
      </c>
      <c r="E550" s="13" t="inlineStr">
        <is>
          <t>A new contract on your phone: who first</t>
        </is>
      </c>
      <c r="F550" s="14" t="inlineStr">
        <is>
          <t>1. Tools › Contracts › "+"
2. Pick a lead under "Who is it for?"
3. Read the rows; tap "From a template"
4. Pick the agreement and tap "Use template"</t>
        </is>
      </c>
      <c r="G550" s="14" t="inlineStr">
        <is>
          <t>The first step asks who the contract is for, recent leads first with a search. Then rows: From the studio agreement, From a template, Import from file. From a template opens the templates as a list (the suggested one picked, one button named after the pick); the contract opens as the contract screen for that lead.</t>
        </is>
      </c>
      <c r="H550" s="12" t="inlineStr">
        <is>
          <t>Different from 1.0: the lead first, then the kind</t>
        </is>
      </c>
      <c r="I550" s="11" t="inlineStr">
        <is>
          <t>Dane</t>
        </is>
      </c>
      <c r="J550" s="15" t="n"/>
      <c r="K550" s="15" t="n"/>
      <c r="L550" s="15" t="n"/>
      <c r="M550" s="16" t="n"/>
      <c r="N550" s="17" t="n"/>
      <c r="O550" s="17" t="n"/>
      <c r="P550" s="15" t="n"/>
    </row>
    <row r="551">
      <c r="A551" s="11" t="n">
        <v>27</v>
      </c>
      <c r="B551" s="11" t="inlineStr">
        <is>
          <t>27.12</t>
        </is>
      </c>
      <c r="C551" s="12" t="inlineStr">
        <is>
          <t>Templates on your phone</t>
        </is>
      </c>
      <c r="D551" s="12" t="inlineStr">
        <is>
          <t>Phone</t>
        </is>
      </c>
      <c r="E551" s="13" t="inlineStr">
        <is>
          <t>A template is an outline you open one clause at a time</t>
        </is>
      </c>
      <c r="F551" s="14" t="inlineStr">
        <is>
          <t>1. More › Company › Templates › Contracts on the phone
2. Read the list; tap "Interior Design Service Agreement"
3. Tap clause 4 (Defects period), fix a word, tap Done
4. Open "Before the client signs"; tap a row's ⋮ back in the list</t>
        </is>
      </c>
      <c r="G551" s="14" t="inlineStr">
        <is>
          <t>The gallery is a list with Default and At handover on top: each row the name, "13 headings · used by 5 · edited 14 Aug" and a chevron. A template opens as a reading screen: a status row ("Default · used by 5 · fills 10 fields · client signs ✓") and the clauses as rows; a clause opens full screen to edit with the same one row of tools as a contract; the signing rules are switches in their own row. The row's ⋮ offers New contract from this template, Set as default, Use at handover, Rename, Move to folder, Duplicate, Delete.</t>
        </is>
      </c>
      <c r="H551" s="12" t="inlineStr">
        <is>
          <t>Different from 1.0: never a shrunk A4, never a 3,800px text box</t>
        </is>
      </c>
      <c r="I551" s="11" t="inlineStr">
        <is>
          <t>Dane</t>
        </is>
      </c>
      <c r="J551" s="15" t="n"/>
      <c r="K551" s="15" t="n"/>
      <c r="L551" s="15" t="n"/>
      <c r="M551" s="16" t="n"/>
      <c r="N551" s="17" t="n"/>
      <c r="O551" s="17" t="n"/>
      <c r="P551" s="15" t="n"/>
    </row>
    <row r="552">
      <c r="A552" s="11" t="n">
        <v>27</v>
      </c>
      <c r="B552" s="11" t="inlineStr">
        <is>
          <t>27.13</t>
        </is>
      </c>
      <c r="C552" s="12" t="inlineStr">
        <is>
          <t>The contract elsewhere</t>
        </is>
      </c>
      <c r="D552" s="12" t="inlineStr">
        <is>
          <t>Phone</t>
        </is>
      </c>
      <c r="E552" s="13" t="inlineStr">
        <is>
          <t>The contract inside the quote, the project and the Won step</t>
        </is>
      </c>
      <c r="F552" s="14" t="inlineStr">
        <is>
          <t>1. Tools › Quotes › Olivia's quote on the phone: read the hero
2. Projects › Ryan D’Souza's project › Overview: find "Documents"; open Money
3. Leads › a lead in Quote Sent › the stage pill › Won › "Attach client signed contract"</t>
        </is>
      </c>
      <c r="G552" s="14" t="inlineStr">
        <is>
          <t>The quote's hero has a row "Contract · Sent to Client ›" that opens the contract, and the Next line reads the contract's state. The project Overview has a Documents fold (the signed quote, the contract, each with its date and ↗); the To collect tile shows the contract total at a readable size. The Won step offers "Take a photo" (the camera) and "Choose a file": a photo of the signed paper is kept as the signed copy and the lead moves to Won.</t>
        </is>
      </c>
      <c r="H552" s="12" t="inlineStr">
        <is>
          <t>Different from 1.0: a phone's camera signs the lead off on site</t>
        </is>
      </c>
      <c r="I552" s="11" t="inlineStr">
        <is>
          <t>Dane</t>
        </is>
      </c>
      <c r="J552" s="15" t="n"/>
      <c r="K552" s="15" t="n"/>
      <c r="L552" s="15" t="n"/>
      <c r="M552" s="16" t="n"/>
      <c r="N552" s="17" t="n"/>
      <c r="O552" s="17" t="n"/>
      <c r="P552" s="15" t="n"/>
    </row>
    <row r="553">
      <c r="A553" s="11" t="n">
        <v>27</v>
      </c>
      <c r="B553" s="11" t="inlineStr">
        <is>
          <t>27.14</t>
        </is>
      </c>
      <c r="C553" s="12" t="inlineStr">
        <is>
          <t>On a tablet</t>
        </is>
      </c>
      <c r="D553" s="12" t="inlineStr">
        <is>
          <t>Phone</t>
        </is>
      </c>
      <c r="E553" s="13" t="inlineStr">
        <is>
          <t>A tablet held upright follows the phone; held sideways it holds the list beside the section</t>
        </is>
      </c>
      <c r="F553" s="14" t="inlineStr">
        <is>
          <t>1. On a tablet upright (768), open a contract and Edit
2. Turn it sideways (1024): Edit › Details; then Document; tap ≡
3. Tools › Contracts sideways: read the table's columns</t>
        </is>
      </c>
      <c r="G553" s="14" t="inlineStr">
        <is>
          <t>Upright: the contract screen in a wide column, the list and the Document screen full width, the + ▾ and Text ▾ as sheets. Sideways: the section list is a 300 pane beside the open section; Document is full width with the Outline as a pane (never a drawer over the paper); Add a signature field is a centred dialog. The list is a table with Title, Lead, Status and Sent, Title and ⋮ frozen, the title opening the contract; Column settings adds the rest, remembered for the tablet.</t>
        </is>
      </c>
      <c r="H553" s="12" t="inlineStr">
        <is>
          <t>Different from 1.0: a default set of columns on a tablet</t>
        </is>
      </c>
      <c r="I553" s="11" t="inlineStr">
        <is>
          <t>Dane</t>
        </is>
      </c>
      <c r="J553" s="15" t="n"/>
      <c r="K553" s="15" t="n"/>
      <c r="L553" s="15" t="n"/>
      <c r="M553" s="16" t="n"/>
      <c r="N553" s="17" t="n"/>
      <c r="O553" s="17" t="n"/>
      <c r="P553" s="15" t="n"/>
    </row>
    <row r="554">
      <c r="A554" s="11" t="n">
        <v>27</v>
      </c>
      <c r="B554" s="11" t="inlineStr">
        <is>
          <t>27.15</t>
        </is>
      </c>
      <c r="C554" s="12" t="inlineStr">
        <is>
          <t>The desktop</t>
        </is>
      </c>
      <c r="D554" s="12" t="inlineStr">
        <is>
          <t>Contracts</t>
        </is>
      </c>
      <c r="E554" s="13" t="inlineStr">
        <is>
          <t>Nothing changed on the desktop</t>
        </is>
      </c>
      <c r="F554" s="14" t="inlineStr">
        <is>
          <t>1. On the laptop at full width, open Tools › Contracts, a contract, its Preview, a template and a signing link</t>
        </is>
      </c>
      <c r="G554" s="14" t="inlineStr">
        <is>
          <t>The list, the editor (the meta row, the tool bar, the paper, eSignatures as a drawer, Insert at the caret), the Preview, the template editor and the client's signing page are as they were in chapter 8 — only the dead-link notices now offer "Message Demo Studio Pte Ltd", and the gate rows toggle on their words too.</t>
        </is>
      </c>
      <c r="H554" s="12" t="inlineStr">
        <is>
          <t>Same as 1.0</t>
        </is>
      </c>
      <c r="I554" s="11" t="inlineStr">
        <is>
          <t>Dane</t>
        </is>
      </c>
      <c r="J554" s="15" t="n"/>
      <c r="K554" s="15" t="n"/>
      <c r="L554" s="15" t="n"/>
      <c r="M554" s="16" t="n"/>
      <c r="N554" s="17" t="n"/>
      <c r="O554" s="17" t="n"/>
      <c r="P554" s="15" t="n"/>
    </row>
    <row r="555" ht="22" customHeight="1">
      <c r="A555" s="9" t="inlineStr">
        <is>
          <t>Chapter 28 · Leads on the move — A lead on a phone and a tablet: the listing says who to call now, a lead keeps its page and tab strip, a call is logged in the log sheet, the Move stage window one step at a time, Won as a checklist, On Hold and Lost as one sheet, the tabs’ contents as cards.</t>
        </is>
      </c>
      <c r="M555" s="10" t="n"/>
    </row>
    <row r="556">
      <c r="A556" s="11" t="n">
        <v>28</v>
      </c>
      <c r="B556" s="11" t="inlineStr">
        <is>
          <t>28.01</t>
        </is>
      </c>
      <c r="C556" s="12" t="inlineStr">
        <is>
          <t>The leads on your phone</t>
        </is>
      </c>
      <c r="D556" s="12" t="inlineStr">
        <is>
          <t>Phone</t>
        </is>
      </c>
      <c r="E556" s="13" t="inlineStr">
        <is>
          <t>The listing on a phone says who to call now</t>
        </is>
      </c>
      <c r="F556" s="14" t="inlineStr">
        <is>
          <t>1. On your phone (the Network address from chapter 12), tap "Leads"
2. Look at Chloe Tan's card, then Farah Ahmad's
3. Tap "n to call today" at the top</t>
        </is>
      </c>
      <c r="G556" s="14" t="inlineStr">
        <is>
          <t>Each card carries a "Last" line (how and when the client was last reached) and a "Next" line (the next follow-up). Chloe Tan, whom nobody has opened yet, has a coloured band and a "New" tag. Farah Ahmad's Next line is red and says how many days late. A WhatsApp button sits beside each number, and the stage pill is at the left of the card's foot, clear of the Maison AI button. "n to call today" narrows the list to leads with a follow-up due today or late, and the pill names it; going into a lead and back keeps it.</t>
        </is>
      </c>
      <c r="H556" s="12" t="inlineStr">
        <is>
          <t>Different from 1.0: the card says when you last spoke and what comes next</t>
        </is>
      </c>
      <c r="I556" s="11" t="inlineStr">
        <is>
          <t>Dane</t>
        </is>
      </c>
      <c r="J556" s="15" t="n"/>
      <c r="K556" s="15" t="n"/>
      <c r="L556" s="15" t="n"/>
      <c r="M556" s="16" t="n"/>
      <c r="N556" s="17" t="n"/>
      <c r="O556" s="17" t="n"/>
      <c r="P556" s="15" t="n"/>
    </row>
    <row r="557">
      <c r="A557" s="11" t="n">
        <v>28</v>
      </c>
      <c r="B557" s="11" t="inlineStr">
        <is>
          <t>28.02</t>
        </is>
      </c>
      <c r="C557" s="12" t="inlineStr">
        <is>
          <t>The leads on your phone</t>
        </is>
      </c>
      <c r="D557" s="12" t="inlineStr">
        <is>
          <t>Phone</t>
        </is>
      </c>
      <c r="E557" s="13" t="inlineStr">
        <is>
          <t>Move a lead nobody owns from its card</t>
        </is>
      </c>
      <c r="F557" s="14" t="inlineStr">
        <is>
          <t>1. On the listing, tap Olivia Martinez's stage pill
2. Read the first row, then tap "Assign"
3. Tick a member and tap "Assign"</t>
        </is>
      </c>
      <c r="G557" s="14" t="inlineStr">
        <is>
          <t>The sheet names Olivia. Its first row is the next move, "Move to Contacted", and it says a member must be assigned first, with "Assign" beside it. After you assign someone, the Move stage window opens at Contacted, so the move carries on where you were. Close it without saving.</t>
        </is>
      </c>
      <c r="H557" s="12" t="inlineStr"/>
      <c r="I557" s="11" t="inlineStr">
        <is>
          <t>Dane</t>
        </is>
      </c>
      <c r="J557" s="15" t="n"/>
      <c r="K557" s="15" t="n"/>
      <c r="L557" s="15" t="n"/>
      <c r="M557" s="16" t="n"/>
      <c r="N557" s="17" t="n"/>
      <c r="O557" s="17" t="n"/>
      <c r="P557" s="15" t="n"/>
    </row>
    <row r="558">
      <c r="A558" s="11" t="n">
        <v>28</v>
      </c>
      <c r="B558" s="11" t="inlineStr">
        <is>
          <t>28.03</t>
        </is>
      </c>
      <c r="C558" s="12" t="inlineStr">
        <is>
          <t>The leads on your phone</t>
        </is>
      </c>
      <c r="D558" s="12" t="inlineStr">
        <is>
          <t>Phone</t>
        </is>
      </c>
      <c r="E558" s="13" t="inlineStr">
        <is>
          <t>Add a lead by pasting the client's WhatsApp message</t>
        </is>
      </c>
      <c r="F558" s="14" t="inlineStr">
        <is>
          <t>1. On the listing, tap + › "Create New Lead"
2. Copy this text and tap "Paste the WhatsApp message": Hi, I'm Rachel Ong, we just got our keys at Blk 123 Bedok North Ave 1 #08-12, my number is 9334 1209
3. Tap ✕, then "Keep editing"; then tap "Add lead"</t>
        </is>
      </c>
      <c r="G558" s="14" t="inlineStr">
        <is>
          <t>The form starts with just Name and Mobile; everything else sits under "More details". Pasting fills the name, the mobile (shown as "9334 1209") and the address. ✕ asks before throwing away what you typed. "Add lead" opens Rachel's new lead.</t>
        </is>
      </c>
      <c r="H558" s="12" t="inlineStr">
        <is>
          <t>Different from 1.0: a new lead is a name and a mobile, and a pasted chat fills the rest</t>
        </is>
      </c>
      <c r="I558" s="11" t="inlineStr">
        <is>
          <t>Dane</t>
        </is>
      </c>
      <c r="J558" s="15" t="n"/>
      <c r="K558" s="15" t="n"/>
      <c r="L558" s="15" t="n"/>
      <c r="M558" s="16" t="n"/>
      <c r="N558" s="17" t="n"/>
      <c r="O558" s="17" t="n"/>
      <c r="P558" s="15" t="n"/>
    </row>
    <row r="559">
      <c r="A559" s="11" t="n">
        <v>28</v>
      </c>
      <c r="B559" s="11" t="inlineStr">
        <is>
          <t>28.04</t>
        </is>
      </c>
      <c r="C559" s="12" t="inlineStr">
        <is>
          <t>A lead on your phone</t>
        </is>
      </c>
      <c r="D559" s="12" t="inlineStr">
        <is>
          <t>Phone</t>
        </is>
      </c>
      <c r="E559" s="13" t="inlineStr">
        <is>
          <t>A lead on a phone is one page with its tabs</t>
        </is>
      </c>
      <c r="F559" s="14" t="inlineStr">
        <is>
          <t>1. On the listing, tap Farah Ahmad
2. Scroll the tab strip under the header and tap "Tasks", then "Overview"</t>
        </is>
      </c>
      <c r="G559" s="14" t="inlineStr">
        <is>
          <t>Farah opens on her page as before: the header with her name, "Stage: Contacted" and "Move to Met", the tab strip under it, then the Overview's cards. Tapping a tab changes the page below the strip in place; there is no extra screen to go back from. Nothing scrolls sideways.</t>
        </is>
      </c>
      <c r="H559" s="12" t="inlineStr"/>
      <c r="I559" s="11" t="inlineStr">
        <is>
          <t>Dane</t>
        </is>
      </c>
      <c r="J559" s="15" t="n"/>
      <c r="K559" s="15" t="n"/>
      <c r="L559" s="15" t="n"/>
      <c r="M559" s="16" t="n"/>
      <c r="N559" s="17" t="n"/>
      <c r="O559" s="17" t="n"/>
      <c r="P559" s="15" t="n"/>
    </row>
    <row r="560">
      <c r="A560" s="11" t="n">
        <v>28</v>
      </c>
      <c r="B560" s="11" t="inlineStr">
        <is>
          <t>28.05</t>
        </is>
      </c>
      <c r="C560" s="12" t="inlineStr">
        <is>
          <t>A call from your phone</t>
        </is>
      </c>
      <c r="D560" s="12" t="inlineStr">
        <is>
          <t>Phone</t>
        </is>
      </c>
      <c r="E560" s="13" t="inlineStr">
        <is>
          <t>Log a call in the log sheet</t>
        </is>
      </c>
      <c r="F560" s="14" t="inlineStr">
        <is>
          <t>1. Open Kelvin Goh (New) › "Notes &amp; Logs"
2. Tap "New" › "Contact Log"
3. Tap "Callback requested", tap "Tomorrow 10:00", tap "Save log"</t>
        </is>
      </c>
      <c r="G560" s="14" t="inlineStr">
        <is>
          <t>The log opens as a sheet with Call already chosen and the time set to now; the outcomes are chips and "Callback requested" shows the call-back presets. Saving logs the call and moves Kelvin to Contacted in the same step; the snackbar says so and names the call-back in Tasks. The header's button now reads "Move to Met".</t>
        </is>
      </c>
      <c r="H560" s="12" t="inlineStr">
        <is>
          <t>Different from 1.0: logging a call is one sheet, and on a new lead it also moves the lead to Contacted</t>
        </is>
      </c>
      <c r="I560" s="11" t="inlineStr">
        <is>
          <t>Dane</t>
        </is>
      </c>
      <c r="J560" s="15" t="n"/>
      <c r="K560" s="15" t="n"/>
      <c r="L560" s="15" t="n"/>
      <c r="M560" s="16" t="n"/>
      <c r="N560" s="17" t="n"/>
      <c r="O560" s="17" t="n"/>
      <c r="P560" s="15" t="n"/>
    </row>
    <row r="561">
      <c r="A561" s="11" t="n">
        <v>28</v>
      </c>
      <c r="B561" s="11" t="inlineStr">
        <is>
          <t>28.06</t>
        </is>
      </c>
      <c r="C561" s="12" t="inlineStr">
        <is>
          <t>A call from your phone</t>
        </is>
      </c>
      <c r="D561" s="12" t="inlineStr">
        <is>
          <t>Phone</t>
        </is>
      </c>
      <c r="E561" s="13" t="inlineStr">
        <is>
          <t>Log a call on a lead nobody owns</t>
        </is>
      </c>
      <c r="F561" s="14" t="inlineStr">
        <is>
          <t>1. Open Olivia Martinez › "Notes &amp; Logs"
2. Tap "New" › "Contact Log"
3. Pick the suggested member, choose "Connected" and save</t>
        </is>
      </c>
      <c r="G561" s="14" t="inlineStr">
        <is>
          <t>Before anything else the sheet asks "Who owns Olivia?" with a suggested member. Picking one assigns them and the call is logged and moves Olivia to Contacted. If you pick nobody, the call is logged and Olivia stays in New.</t>
        </is>
      </c>
      <c r="H561" s="12" t="inlineStr"/>
      <c r="I561" s="11" t="inlineStr">
        <is>
          <t>Dane</t>
        </is>
      </c>
      <c r="J561" s="15" t="n"/>
      <c r="K561" s="15" t="n"/>
      <c r="L561" s="15" t="n"/>
      <c r="M561" s="16" t="n"/>
      <c r="N561" s="17" t="n"/>
      <c r="O561" s="17" t="n"/>
      <c r="P561" s="15" t="n"/>
    </row>
    <row r="562">
      <c r="A562" s="11" t="n">
        <v>28</v>
      </c>
      <c r="B562" s="11" t="inlineStr">
        <is>
          <t>28.07</t>
        </is>
      </c>
      <c r="C562" s="12" t="inlineStr">
        <is>
          <t>A visit from your phone</t>
        </is>
      </c>
      <c r="D562" s="12" t="inlineStr">
        <is>
          <t>Phone</t>
        </is>
      </c>
      <c r="E562" s="13" t="inlineStr">
        <is>
          <t>Log a site visit with a photo and move to Met</t>
        </is>
      </c>
      <c r="F562" s="14" t="inlineStr">
        <is>
          <t>1. Open Farah Ahmad (Contacted) › "Notes &amp; Logs" › "New" › "Contact Log"
2. Tap the "Site visit" chip
3. Tap "Take a photo" (or "Choose a file"), then "Save &amp; move to Met"</t>
        </is>
      </c>
      <c r="G562" s="14" t="inlineStr">
        <is>
          <t>With Site visit chosen the button reads "Save &amp; move to Met"; a photo is optional. Saving logs the visit and moves Farah to Met.</t>
        </is>
      </c>
      <c r="H562" s="12" t="inlineStr"/>
      <c r="I562" s="11" t="inlineStr">
        <is>
          <t>Dane</t>
        </is>
      </c>
      <c r="J562" s="15" t="n"/>
      <c r="K562" s="15" t="n"/>
      <c r="L562" s="15" t="n"/>
      <c r="M562" s="16" t="n"/>
      <c r="N562" s="17" t="n"/>
      <c r="O562" s="17" t="n"/>
      <c r="P562" s="15" t="n"/>
    </row>
    <row r="563">
      <c r="A563" s="11" t="n">
        <v>28</v>
      </c>
      <c r="B563" s="11" t="inlineStr">
        <is>
          <t>28.08</t>
        </is>
      </c>
      <c r="C563" s="12" t="inlineStr">
        <is>
          <t>Moving a stage on your phone</t>
        </is>
      </c>
      <c r="D563" s="12" t="inlineStr">
        <is>
          <t>Phone</t>
        </is>
      </c>
      <c r="E563" s="13" t="inlineStr">
        <is>
          <t>The Move stage window is one step at a time</t>
        </is>
      </c>
      <c r="F563" s="14" t="inlineStr">
        <is>
          <t>1. Open Jasmine (Contacted) and tap "Move to Met" in the header
2. Tap "Save &amp; move" with nothing filled in
3. Fill the fields (pick Showroom) and tap "Save &amp; move"</t>
        </is>
      </c>
      <c r="G563" s="14" t="inlineStr">
        <is>
          <t>The window is one screen: a bar "Move to Met" over "Jasmine … · step 3 of 5", only this step's fields, and one "Save &amp; move" at the bottom. Saving with nothing filled keeps the window open and says what is missing at the foot; nothing typed is lost. Filled in, the lead moves to Met.</t>
        </is>
      </c>
      <c r="H563" s="12" t="inlineStr"/>
      <c r="I563" s="11" t="inlineStr">
        <is>
          <t>Dane</t>
        </is>
      </c>
      <c r="J563" s="15" t="n"/>
      <c r="K563" s="15" t="n"/>
      <c r="L563" s="15" t="n"/>
      <c r="M563" s="16" t="n"/>
      <c r="N563" s="17" t="n"/>
      <c r="O563" s="17" t="n"/>
      <c r="P563" s="15" t="n"/>
    </row>
    <row r="564">
      <c r="A564" s="11" t="n">
        <v>28</v>
      </c>
      <c r="B564" s="11" t="inlineStr">
        <is>
          <t>28.09</t>
        </is>
      </c>
      <c r="C564" s="12" t="inlineStr">
        <is>
          <t>Moving a stage on your phone</t>
        </is>
      </c>
      <c r="D564" s="12" t="inlineStr">
        <is>
          <t>Phone</t>
        </is>
      </c>
      <c r="E564" s="13" t="inlineStr">
        <is>
          <t>Win a lead with a photo of the signed quote</t>
        </is>
      </c>
      <c r="F564" s="14" t="inlineStr">
        <is>
          <t>1. Open Vivien and tap "Convert to Project" in the header
2. Under Signed quote open the "Upload" tab and tap "Take a photo", type the amount
3. Check the payment split, choose a project type and tap "Create project"</t>
        </is>
      </c>
      <c r="G564" s="14" t="inlineStr">
        <is>
          <t>Won is a checklist: Signed quote, Signed contract, Payments and Project type. The photo is kept as the signed quote. The payments show the studio's usual 10 · 30 · 30 · 30, not 0%. "Create project" makes the project and opens it.</t>
        </is>
      </c>
      <c r="H564" s="12" t="inlineStr">
        <is>
          <t>Different from 1.0: on a phone, Won is a short checklist and a photo of the paper counts as the signed quote</t>
        </is>
      </c>
      <c r="I564" s="11" t="inlineStr">
        <is>
          <t>Dane</t>
        </is>
      </c>
      <c r="J564" s="15" t="n"/>
      <c r="K564" s="15" t="n"/>
      <c r="L564" s="15" t="n"/>
      <c r="M564" s="16" t="n"/>
      <c r="N564" s="17" t="n"/>
      <c r="O564" s="17" t="n"/>
      <c r="P564" s="15" t="n"/>
    </row>
    <row r="565">
      <c r="A565" s="11" t="n">
        <v>28</v>
      </c>
      <c r="B565" s="11" t="inlineStr">
        <is>
          <t>28.10</t>
        </is>
      </c>
      <c r="C565" s="12" t="inlineStr">
        <is>
          <t>Moving a stage on your phone</t>
        </is>
      </c>
      <c r="D565" s="12" t="inlineStr">
        <is>
          <t>Phone</t>
        </is>
      </c>
      <c r="E565" s="13" t="inlineStr">
        <is>
          <t>Put a lead on hold and undo it</t>
        </is>
      </c>
      <c r="F565" s="14" t="inlineStr">
        <is>
          <t>1. Open Priya, tap "Stage: Contacted" › "On Hold"
2. Pick a reason and "3 months", tap "Save &amp; move"
3. Tap "Undo" in the snackbar</t>
        </is>
      </c>
      <c r="G565" s="14" t="inlineStr">
        <is>
          <t>On Hold is one sheet: the studio's reasons as chips, the duration chips, one button. After saving, the snackbar offers Undo, and Undo puts Priya back where she was. Only one snackbar shows at a time.</t>
        </is>
      </c>
      <c r="H565" s="12" t="inlineStr"/>
      <c r="I565" s="11" t="inlineStr">
        <is>
          <t>Dane</t>
        </is>
      </c>
      <c r="J565" s="15" t="n"/>
      <c r="K565" s="15" t="n"/>
      <c r="L565" s="15" t="n"/>
      <c r="M565" s="16" t="n"/>
      <c r="N565" s="17" t="n"/>
      <c r="O565" s="17" t="n"/>
      <c r="P565" s="15" t="n"/>
    </row>
    <row r="566">
      <c r="A566" s="11" t="n">
        <v>28</v>
      </c>
      <c r="B566" s="11" t="inlineStr">
        <is>
          <t>28.11</t>
        </is>
      </c>
      <c r="C566" s="12" t="inlineStr">
        <is>
          <t>The lead's tabs on your phone</t>
        </is>
      </c>
      <c r="D566" s="12" t="inlineStr">
        <is>
          <t>Phone</t>
        </is>
      </c>
      <c r="E566" s="13" t="inlineStr">
        <is>
          <t>Tasks as cards</t>
        </is>
      </c>
      <c r="F566" s="14" t="inlineStr">
        <is>
          <t>1. Open Olivia Martinez › the "Tasks" tab
2. Tick a task's ring, then tap "Undo"
3. Hold a task, then tap a second one
4. Type a new task in the bar at the bottom, tap "Tomorrow 10:00" and add it</t>
        </is>
      </c>
      <c r="G566" s="14" t="inlineStr">
        <is>
          <t>Each task is a card with a round tick, its whole name and a due chip (late ones in red). Holding a card selects it, with no checkboxes, and the bar offers "Mark done", "Assign" and "More…". The quick add at the bottom takes a title, a due preset and who it is for. The same cards are on Tasks in the rail and a project's Tasks.</t>
        </is>
      </c>
      <c r="H566" s="12" t="inlineStr"/>
      <c r="I566" s="11" t="inlineStr">
        <is>
          <t>Dane</t>
        </is>
      </c>
      <c r="J566" s="15" t="n"/>
      <c r="K566" s="15" t="n"/>
      <c r="L566" s="15" t="n"/>
      <c r="M566" s="16" t="n"/>
      <c r="N566" s="17" t="n"/>
      <c r="O566" s="17" t="n"/>
      <c r="P566" s="15" t="n"/>
    </row>
    <row r="567">
      <c r="A567" s="11" t="n">
        <v>28</v>
      </c>
      <c r="B567" s="11" t="inlineStr">
        <is>
          <t>28.12</t>
        </is>
      </c>
      <c r="C567" s="12" t="inlineStr">
        <is>
          <t>The lead's tabs on your phone</t>
        </is>
      </c>
      <c r="D567" s="12" t="inlineStr">
        <is>
          <t>Phone</t>
        </is>
      </c>
      <c r="E567" s="13" t="inlineStr">
        <is>
          <t>Files: take a photo straight into a folder</t>
        </is>
      </c>
      <c r="F567" s="14" t="inlineStr">
        <is>
          <t>1. Open Olivia Martinez › the "Files" tab, open the Kitchen folder
2. Tap "Take a photo", take one
3. Open a picture, pinch to zoom, double-tap, swipe to the next</t>
        </is>
      </c>
      <c r="G567" s="14" t="inlineStr">
        <is>
          <t>The toolbar is one row: "Take a photo", search and ⋮. The camera opens at once; the photo lands in the open folder and the snackbar offers "Take another". The viewer pinches, pans, double-taps and swipes to the next file; Information opens as a short sheet.</t>
        </is>
      </c>
      <c r="H567" s="12" t="inlineStr"/>
      <c r="I567" s="11" t="inlineStr">
        <is>
          <t>Dane</t>
        </is>
      </c>
      <c r="J567" s="15" t="n"/>
      <c r="K567" s="15" t="n"/>
      <c r="L567" s="15" t="n"/>
      <c r="M567" s="16" t="n"/>
      <c r="N567" s="17" t="n"/>
      <c r="O567" s="17" t="n"/>
      <c r="P567" s="15" t="n"/>
    </row>
    <row r="568">
      <c r="A568" s="11" t="n">
        <v>28</v>
      </c>
      <c r="B568" s="11" t="inlineStr">
        <is>
          <t>28.13</t>
        </is>
      </c>
      <c r="C568" s="12" t="inlineStr">
        <is>
          <t>A lead on a tablet</t>
        </is>
      </c>
      <c r="D568" s="12" t="inlineStr">
        <is>
          <t>Tablet</t>
        </is>
      </c>
      <c r="E568" s="13" t="inlineStr">
        <is>
          <t>A lead on a tablet is the same page</t>
        </is>
      </c>
      <c r="F568" s="14" t="inlineStr">
        <is>
          <t>1. On a tablet, open Farah Ahmad, held upright and then sideways
2. Scroll to the end of the Overview</t>
        </is>
      </c>
      <c r="G568" s="14" t="inlineStr">
        <is>
          <t>The page is the lead's page with its header, tab strip and cards at both orientations; tabs change in place. On a touch tablet the Maison AI button stays out of the way while there is page below and shows at the end.</t>
        </is>
      </c>
      <c r="H568" s="12" t="inlineStr"/>
      <c r="I568" s="11" t="inlineStr">
        <is>
          <t>Dane</t>
        </is>
      </c>
      <c r="J568" s="15" t="n"/>
      <c r="K568" s="15" t="n"/>
      <c r="L568" s="15" t="n"/>
      <c r="M568" s="16" t="n"/>
      <c r="N568" s="17" t="n"/>
      <c r="O568" s="17" t="n"/>
      <c r="P568" s="15" t="n"/>
    </row>
    <row r="569">
      <c r="A569" s="11" t="n">
        <v>28</v>
      </c>
      <c r="B569" s="11" t="inlineStr">
        <is>
          <t>28.14</t>
        </is>
      </c>
      <c r="C569" s="12" t="inlineStr">
        <is>
          <t>The leads on a tablet</t>
        </is>
      </c>
      <c r="D569" s="12" t="inlineStr">
        <is>
          <t>Tablet</t>
        </is>
      </c>
      <c r="E569" s="13" t="inlineStr">
        <is>
          <t>The tablet's listing table</t>
        </is>
      </c>
      <c r="F569" s="14" t="inlineStr">
        <is>
          <t>1. On a tablet, open "Leads" in the table view
2. Open Column settings, hide a column and close it
3. Switch to the kanban and open a card's ⋮</t>
        </is>
      </c>
      <c r="G569" s="14" t="inlineStr">
        <is>
          <t>The table opens on Name · Stage · Last contact · Next follow-up · Members, with Edit and ⋮ held at the right edge. Column settings' handles are finger-sized, and what you change is kept for the tablet only. A kanban card carries its stage pill, and its ⋮ offers "Move to {next stage}" and "Move stage…".</t>
        </is>
      </c>
      <c r="H569" s="12" t="inlineStr"/>
      <c r="I569" s="11" t="inlineStr">
        <is>
          <t>Dane</t>
        </is>
      </c>
      <c r="J569" s="15" t="n"/>
      <c r="K569" s="15" t="n"/>
      <c r="L569" s="15" t="n"/>
      <c r="M569" s="16" t="n"/>
      <c r="N569" s="17" t="n"/>
      <c r="O569" s="17" t="n"/>
      <c r="P569" s="15" t="n"/>
    </row>
    <row r="570">
      <c r="A570" s="11" t="n">
        <v>28</v>
      </c>
      <c r="B570" s="11" t="inlineStr">
        <is>
          <t>28.15</t>
        </is>
      </c>
      <c r="C570" s="12" t="inlineStr">
        <is>
          <t>A call from your phone</t>
        </is>
      </c>
      <c r="D570" s="12" t="inlineStr">
        <is>
          <t>Phone</t>
        </is>
      </c>
      <c r="E570" s="13" t="inlineStr">
        <is>
          <t>A Designer logs a call on a lead nobody owns</t>
        </is>
      </c>
      <c r="F570" s="14" t="inlineStr">
        <is>
          <t>1. Switch to Germaine (Designer) with View as
2. Open a New lead nobody owns › "Notes &amp; Logs" › "New" › "Contact Log"</t>
        </is>
      </c>
      <c r="G570" s="14" t="inlineStr">
        <is>
          <t>Germaine sees the log sheet without the owner row; its line says the lead stays in New until someone owns it, and saving logs the call without moving the lead.</t>
        </is>
      </c>
      <c r="H570" s="12" t="inlineStr"/>
      <c r="I570" s="18" t="inlineStr">
        <is>
          <t>Germaine</t>
        </is>
      </c>
      <c r="J570" s="15" t="n"/>
      <c r="K570" s="15" t="n"/>
      <c r="L570" s="15" t="n"/>
      <c r="M570" s="16" t="n"/>
      <c r="N570" s="17" t="n"/>
      <c r="O570" s="17" t="n"/>
      <c r="P570" s="15" t="n"/>
    </row>
  </sheetData>
  <mergeCells count="29">
    <mergeCell ref="A331:P331"/>
    <mergeCell ref="A269:P269"/>
    <mergeCell ref="A234:P234"/>
    <mergeCell ref="A374:P374"/>
    <mergeCell ref="A483:P483"/>
    <mergeCell ref="A514:P514"/>
    <mergeCell ref="A4:P4"/>
    <mergeCell ref="A494:P494"/>
    <mergeCell ref="A392:P392"/>
    <mergeCell ref="A348:P348"/>
    <mergeCell ref="A412:P412"/>
    <mergeCell ref="A437:P437"/>
    <mergeCell ref="A142:P142"/>
    <mergeCell ref="A539:P539"/>
    <mergeCell ref="A555:P555"/>
    <mergeCell ref="A462:P462"/>
    <mergeCell ref="A207:P207"/>
    <mergeCell ref="A250:P250"/>
    <mergeCell ref="A94:P94"/>
    <mergeCell ref="A359:P359"/>
    <mergeCell ref="A16:P16"/>
    <mergeCell ref="A501:P501"/>
    <mergeCell ref="A283:P283"/>
    <mergeCell ref="A522:P522"/>
    <mergeCell ref="A118:P118"/>
    <mergeCell ref="A192:P192"/>
    <mergeCell ref="A55:P55"/>
    <mergeCell ref="A297:P297"/>
    <mergeCell ref="A2:P2"/>
  </mergeCells>
  <conditionalFormatting sqref="J4:J57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70">
    <cfRule type="expression" priority="6" dxfId="5">
      <formula>$O4="Fixed – please re-test"</formula>
    </cfRule>
  </conditionalFormatting>
  <dataValidations count="4">
    <dataValidation sqref="J4:J570" showDropDown="0" showInputMessage="0" showErrorMessage="1" allowBlank="1" errorTitle="Pick from the list" error="Pick one of the answers in the list." type="list">
      <formula1>='UAT · Lists'!$A$2:$A$6</formula1>
    </dataValidation>
    <dataValidation sqref="O4:O570" showDropDown="0" showInputMessage="0" showErrorMessage="1" allowBlank="1" errorTitle="Pick from the list" error="Pick one of the answers in the list." type="list">
      <formula1>='UAT · Lists'!$B$2:$B$6</formula1>
    </dataValidation>
    <dataValidation sqref="P4:P570" showDropDown="0" showInputMessage="0" showErrorMessage="1" allowBlank="1" errorTitle="Pick from the list" error="Pick one of the answers in the list." type="list">
      <formula1>='UAT · Lists'!$C$2:$C$3</formula1>
    </dataValidation>
    <dataValidation sqref="M4:M570" showDropDown="0" showInputMessage="0" showErrorMessage="0" allowBlank="1" type="date"/>
  </dataValidations>
  <pageMargins left="0.75" right="0.75" top="1" bottom="1" header="0.5" footer="0.5"/>
</worksheet>
</file>

<file path=xl/worksheets/sheet3.xml><?xml version="1.0" encoding="utf-8"?>
<worksheet xmlns="http://schemas.openxmlformats.org/spreadsheetml/2006/main">
  <sheetPr>
    <tabColor rgb="005500FF"/>
    <outlinePr summaryBelow="1" summaryRight="1"/>
    <pageSetUpPr/>
  </sheetPr>
  <dimension ref="A1:P57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Oliva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c r="A510" s="11" t="n">
        <v>24</v>
      </c>
      <c r="B510" s="11" t="inlineStr">
        <is>
          <t>24.09</t>
        </is>
      </c>
      <c r="C510" s="12" t="inlineStr">
        <is>
          <t>Floorplan to 3D Isometric</t>
        </is>
      </c>
      <c r="D510" s="12" t="inlineStr">
        <is>
          <t>Floorplan to 3D Isometric</t>
        </is>
      </c>
      <c r="E510" s="13" t="inlineStr">
        <is>
          <t>Open Floorplan to 3D Isometric from Tools</t>
        </is>
      </c>
      <c r="F510" s="14" t="inlineStr">
        <is>
          <t>1. "Tools" in the side navigation — find "Floorplan to 3D Isometric" (it wears "Beta")
2. Press it and read the page</t>
        </is>
      </c>
      <c r="G510" s="14" t="inlineStr">
        <is>
          <t>Its own page, "Floorplan to 3D Isometric" with BETA beside the title: "Turn any floor plan photo into a marketing-ready 3D view", the three steps, the box "Drop the floor plan here or browse", "What you’ll get" (Dollhouse · Top-down) and "Or try a sample plan" with the HDB 4-Room. Tools is lit in the side navigation.</t>
        </is>
      </c>
      <c r="H510" s="12" t="inlineStr">
        <is>
          <t>Same as 1.0: its own page in Tools, marked Beta</t>
        </is>
      </c>
      <c r="I510" s="11" t="inlineStr">
        <is>
          <t>Dane</t>
        </is>
      </c>
      <c r="J510" s="15" t="n"/>
      <c r="K510" s="15" t="n"/>
      <c r="L510" s="15" t="n"/>
      <c r="M510" s="16" t="n"/>
      <c r="N510" s="17" t="n"/>
      <c r="O510" s="17" t="n"/>
      <c r="P510" s="15" t="n"/>
    </row>
    <row r="511">
      <c r="A511" s="11" t="n">
        <v>24</v>
      </c>
      <c r="B511" s="11" t="inlineStr">
        <is>
          <t>24.10</t>
        </is>
      </c>
      <c r="C511" s="12" t="inlineStr">
        <is>
          <t>Floorplan to 3D Isometric</t>
        </is>
      </c>
      <c r="D511" s="12" t="inlineStr">
        <is>
          <t>Floorplan to 3D Isometric</t>
        </is>
      </c>
      <c r="E511" s="13" t="inlineStr">
        <is>
          <t>Take the HDB 4-Room sample to a dollhouse view</t>
        </is>
      </c>
      <c r="F511" s="14" t="inlineStr">
        <is>
          <t>1. Press "HDB 4-Room" under "Or try a sample plan"
2. Read "Your plan, straightened" and "We found"
3. Press "Generate dollhouse view"</t>
        </is>
      </c>
      <c r="G511" s="14" t="inlineStr">
        <is>
          <t>"Reading your floor plan…" with the steps Read the plan · Confirm the rooms · 3D render. The photo of the printed plan sits square: "Straightened by 7.0° and cleaned", with "Turn a quarter" and "Square it by its corners". "We found": 3 bedrooms … 11 rooms in all, "The sample’s own rooms, as its plan has them." "Opening the HDB 4-Room’s dollhouse view…" then the view — the flat's rooms where the plan has them — with "Sample · HDB 4-Room — its views were made ahead with the image model the live app uses."</t>
        </is>
      </c>
      <c r="H511" s="12" t="inlineStr">
        <is>
          <t>Same as 1.0, with a sample plan: the prototype has no image model</t>
        </is>
      </c>
      <c r="I511" s="11" t="inlineStr">
        <is>
          <t>Dane</t>
        </is>
      </c>
      <c r="J511" s="15" t="n"/>
      <c r="K511" s="15" t="n"/>
      <c r="L511" s="15" t="n"/>
      <c r="M511" s="16" t="n"/>
      <c r="N511" s="17" t="n"/>
      <c r="O511" s="17" t="n"/>
      <c r="P511" s="15" t="n"/>
    </row>
    <row r="512">
      <c r="A512" s="11" t="n">
        <v>24</v>
      </c>
      <c r="B512" s="11" t="inlineStr">
        <is>
          <t>24.11</t>
        </is>
      </c>
      <c r="C512" s="12" t="inlineStr">
        <is>
          <t>Floorplan to 3D Isometric</t>
        </is>
      </c>
      <c r="D512" s="12" t="inlineStr">
        <is>
          <t>Floorplan to 3D Isometric</t>
        </is>
      </c>
      <c r="E512" s="13" t="inlineStr">
        <is>
          <t>Regenerate and download</t>
        </is>
      </c>
      <c r="F512" s="14" t="inlineStr">
        <is>
          <t>1. Press "Regenerate", then again
2. Press "Download"
3. Press "Start a new plan"</t>
        </is>
      </c>
      <c r="G512" s="14" t="inlineStr">
        <is>
          <t>Regenerate shows the sample’s other take, then the first again. The file saves as "HDB 4-Room — Dollhouse.jpg" with the message "Dollhouse view downloaded". "Start a new plan" returns to the first page.</t>
        </is>
      </c>
      <c r="H512" s="12" t="inlineStr">
        <is>
          <t>Same as 1.0 (1.0 saved every view as 3d-floor-plan.png; its Switch style waits here for the sample’s top-down views)</t>
        </is>
      </c>
      <c r="I512" s="11" t="inlineStr">
        <is>
          <t>Dane</t>
        </is>
      </c>
      <c r="J512" s="15" t="n"/>
      <c r="K512" s="15" t="n"/>
      <c r="L512" s="15" t="n"/>
      <c r="M512" s="16" t="n"/>
      <c r="N512" s="17" t="n"/>
      <c r="O512" s="17" t="n"/>
      <c r="P512" s="15" t="n"/>
    </row>
    <row r="513">
      <c r="A513" s="11" t="n">
        <v>24</v>
      </c>
      <c r="B513" s="11" t="inlineStr">
        <is>
          <t>24.12</t>
        </is>
      </c>
      <c r="C513" s="12" t="inlineStr">
        <is>
          <t>Floorplan to 3D Isometric</t>
        </is>
      </c>
      <c r="D513" s="12" t="inlineStr">
        <is>
          <t>Floorplan to 3D Isometric</t>
        </is>
      </c>
      <c r="E513" s="13" t="inlineStr">
        <is>
          <t>Upload a floor plan of your own</t>
        </is>
      </c>
      <c r="F513" s="14" t="inlineStr">
        <is>
          <t>1. Press "Drop the floor plan here or browse" and pick sophia-floor-plan.pdf
2. Read "We found"
3. Press "HDB 4-Room" in its list</t>
        </is>
      </c>
      <c r="G513" s="14" t="inlineStr">
        <is>
          <t>The plan is read and straightened as with the sample, then: "This is the prototype, so your own plan isn’t read or drawn in 3D — in the live app, the image model lists its rooms and draws it in about half a minute. Try a sample plan to see the whole way through." No Generate button; the HDB 4-Room is listed instead and opens with its own rooms.</t>
        </is>
      </c>
      <c r="H513" s="12" t="inlineStr">
        <is>
          <t>Different from 1.0: on the prototype your own plan stops after it is straightened</t>
        </is>
      </c>
      <c r="I513" s="11" t="inlineStr">
        <is>
          <t>Dane</t>
        </is>
      </c>
      <c r="J513" s="15" t="n"/>
      <c r="K513" s="15" t="n"/>
      <c r="L513" s="15" t="n"/>
      <c r="M513" s="16" t="n"/>
      <c r="N513" s="17" t="n"/>
      <c r="O513" s="17" t="n"/>
      <c r="P513" s="15" t="n"/>
    </row>
    <row r="514" ht="22" customHeight="1">
      <c r="A514" s="9" t="inlineStr">
        <is>
          <t>Chapter 25 · Outside the studio — Market Insights, the studio’s Qanvast lead credits and reviews, and the privacy link at the foot of the client portal.</t>
        </is>
      </c>
      <c r="M514" s="10" t="n"/>
    </row>
    <row r="515">
      <c r="A515" s="11" t="n">
        <v>25</v>
      </c>
      <c r="B515" s="11" t="inlineStr">
        <is>
          <t>25.01</t>
        </is>
      </c>
      <c r="C515" s="12" t="inlineStr">
        <is>
          <t>What the industry is reading</t>
        </is>
      </c>
      <c r="D515" s="12" t="inlineStr">
        <is>
          <t>Market Insights</t>
        </is>
      </c>
      <c r="E515" s="13" t="inlineStr">
        <is>
          <t>Open Market Insights and find the reports</t>
        </is>
      </c>
      <c r="F515" s="14" t="inlineStr">
        <is>
          <t>1. "Tools" in the side navigation › "Market Insights"
2. Read the chips, the line above the list and the wide card
3. Press "Reports · 2", then "All · 6"
4. Type resale in "Search articles"</t>
        </is>
      </c>
      <c r="G515"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5" s="12" t="inlineStr">
        <is>
          <t>Same as 1.0</t>
        </is>
      </c>
      <c r="I515" s="11" t="inlineStr">
        <is>
          <t>Dane</t>
        </is>
      </c>
      <c r="J515" s="15" t="n"/>
      <c r="K515" s="15" t="n"/>
      <c r="L515" s="15" t="n"/>
      <c r="M515" s="16" t="n"/>
      <c r="N515" s="17" t="n"/>
      <c r="O515" s="17" t="n"/>
      <c r="P515" s="15" t="n"/>
    </row>
    <row r="516">
      <c r="A516" s="11" t="n">
        <v>25</v>
      </c>
      <c r="B516" s="11" t="inlineStr">
        <is>
          <t>25.02</t>
        </is>
      </c>
      <c r="C516" s="12" t="inlineStr">
        <is>
          <t>What the industry is reading</t>
        </is>
      </c>
      <c r="D516" s="12" t="inlineStr">
        <is>
          <t>Market Insights</t>
        </is>
      </c>
      <c r="E516" s="13" t="inlineStr">
        <is>
          <t>Read the featured article and see the numbers behind its chart</t>
        </is>
      </c>
      <c r="F516" s="14" t="inlineStr">
        <is>
          <t>1. Clear the search and open "Resale flats are reshaping the renovation brief"
2. Point at the chart’s line
3. Press "Show the numbers", then "Hide the numbers"
4. Press Back (top left)</t>
        </is>
      </c>
      <c r="G516"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6" s="12" t="inlineStr">
        <is>
          <t>Different from 1.0: every chart can show its numbers</t>
        </is>
      </c>
      <c r="I516" s="11" t="inlineStr">
        <is>
          <t>Dane</t>
        </is>
      </c>
      <c r="J516" s="15" t="n"/>
      <c r="K516" s="15" t="n"/>
      <c r="L516" s="15" t="n"/>
      <c r="M516" s="16" t="n"/>
      <c r="N516" s="17" t="n"/>
      <c r="O516" s="17" t="n"/>
      <c r="P516" s="15" t="n"/>
    </row>
    <row r="517">
      <c r="A517" s="11" t="n">
        <v>25</v>
      </c>
      <c r="B517" s="11" t="inlineStr">
        <is>
          <t>25.03</t>
        </is>
      </c>
      <c r="C517" s="12" t="inlineStr">
        <is>
          <t>Your account with Qanvast</t>
        </is>
      </c>
      <c r="D517" s="12" t="inlineStr">
        <is>
          <t>Qanvast Ops</t>
        </is>
      </c>
      <c r="E517" s="13" t="inlineStr">
        <is>
          <t>Check the studio’s Qanvast lead credits</t>
        </is>
      </c>
      <c r="F517" s="14" t="inlineStr">
        <is>
          <t>1. Click "Qanvast Ops" in the side navigation, then the tab "Lead credits"
2. Read the tiles and the charts
3. Press "Transactions", then "Contracts"</t>
        </is>
      </c>
      <c r="G517"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7" s="12" t="inlineStr">
        <is>
          <t>Different from 1.0: named Lead credits, apart from AI credits</t>
        </is>
      </c>
      <c r="I517" s="11" t="inlineStr">
        <is>
          <t>Dane</t>
        </is>
      </c>
      <c r="J517" s="15" t="n"/>
      <c r="K517" s="15" t="n"/>
      <c r="L517" s="15" t="n"/>
      <c r="M517" s="16" t="n"/>
      <c r="N517" s="17" t="n"/>
      <c r="O517" s="17" t="n"/>
      <c r="P517" s="15" t="n"/>
    </row>
    <row r="518">
      <c r="A518" s="11" t="n">
        <v>25</v>
      </c>
      <c r="B518" s="11" t="inlineStr">
        <is>
          <t>25.04</t>
        </is>
      </c>
      <c r="C518" s="12" t="inlineStr">
        <is>
          <t>Your account with Qanvast</t>
        </is>
      </c>
      <c r="D518" s="12" t="inlineStr">
        <is>
          <t>Qanvast Ops</t>
        </is>
      </c>
      <c r="E518" s="13" t="inlineStr">
        <is>
          <t>Reply to a homeowner’s review</t>
        </is>
      </c>
      <c r="F518" s="14" t="inlineStr">
        <is>
          <t>1. Click the tab "Reviews"; read the overview on the left
2. Press "Waiting for a reply · 2"
3. On the first review press "Reply", type Thank you — it was a joy to work on your home., press "Post reply"</t>
        </is>
      </c>
      <c r="G518"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8" s="12" t="inlineStr">
        <is>
          <t>Same as 1.0</t>
        </is>
      </c>
      <c r="I518" s="11" t="inlineStr">
        <is>
          <t>Dane</t>
        </is>
      </c>
      <c r="J518" s="15" t="n"/>
      <c r="K518" s="15" t="n"/>
      <c r="L518" s="15" t="n"/>
      <c r="M518" s="16" t="n"/>
      <c r="N518" s="17" t="n"/>
      <c r="O518" s="17" t="n"/>
      <c r="P518" s="15" t="n"/>
    </row>
    <row r="519">
      <c r="A519" s="11" t="n">
        <v>25</v>
      </c>
      <c r="B519" s="11" t="inlineStr">
        <is>
          <t>25.05</t>
        </is>
      </c>
      <c r="C519" s="12" t="inlineStr">
        <is>
          <t>Your account with Qanvast</t>
        </is>
      </c>
      <c r="D519" s="12" t="inlineStr">
        <is>
          <t>Qanvast Ops</t>
        </is>
      </c>
      <c r="E519" s="13" t="inlineStr">
        <is>
          <t>See what Hui Min, the Admin, may open in Qanvast Ops</t>
        </is>
      </c>
      <c r="F519" s="14" t="inlineStr">
        <is>
          <t>1. "Demo Studio" block › "View as" › "Hui Min"
2. "Qanvast Ops" › "Reviews", then "Lead credits"
3. "Demo Studio" block › "View as" › "Dane"</t>
        </is>
      </c>
      <c r="G519" s="14" t="inlineStr">
        <is>
          <t>Hui Min reads Reviews and can Reply. Lead credits shows a lock: "Lead credits are for the studio’s Owner" — "What Qanvast charges for each lead, the studio’s contracts with Qanvast and its statement are the Owner’s to see." The block reads Dane again.</t>
        </is>
      </c>
      <c r="H519" s="12" t="inlineStr">
        <is>
          <t>Different from 1.0: Admins read and answer reviews too</t>
        </is>
      </c>
      <c r="I519" s="18" t="inlineStr">
        <is>
          <t>Hui Min</t>
        </is>
      </c>
      <c r="J519" s="15" t="n"/>
      <c r="K519" s="15" t="n"/>
      <c r="L519" s="15" t="n"/>
      <c r="M519" s="16" t="n"/>
      <c r="N519" s="17" t="n"/>
      <c r="O519" s="17" t="n"/>
      <c r="P519" s="15" t="n"/>
    </row>
    <row r="520">
      <c r="A520" s="11" t="n">
        <v>25</v>
      </c>
      <c r="B520" s="11" t="inlineStr">
        <is>
          <t>25.06</t>
        </is>
      </c>
      <c r="C520" s="12" t="inlineStr">
        <is>
          <t>The fine print on the portal</t>
        </is>
      </c>
      <c r="D520" s="12" t="inlineStr">
        <is>
          <t>Client portal</t>
        </is>
      </c>
      <c r="E520" s="13" t="inlineStr">
        <is>
          <t>Link your privacy notice at the foot of the client portal</t>
        </is>
      </c>
      <c r="F520" s="14" t="inlineStr">
        <is>
          <t>1. "Company" › "Client portal"; in "Getting it live" read "Privacy notice", press "Add the link"
2. In "Privacy notice link" type not a link, press "Save"
3. Replace it with demostudio.sg/privacy, press "Save"
4. Read the "Privacy notice" row again</t>
        </is>
      </c>
      <c r="G520"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20" s="12" t="inlineStr">
        <is>
          <t>Different from 1.0: set on Company › Client portal</t>
        </is>
      </c>
      <c r="I520" s="11" t="inlineStr">
        <is>
          <t>Dane</t>
        </is>
      </c>
      <c r="J520" s="15" t="n"/>
      <c r="K520" s="15" t="n"/>
      <c r="L520" s="15" t="n"/>
      <c r="M520" s="16" t="n"/>
      <c r="N520" s="17" t="n"/>
      <c r="O520" s="17" t="n"/>
      <c r="P520" s="15" t="n"/>
    </row>
    <row r="521">
      <c r="A521" s="11" t="n">
        <v>25</v>
      </c>
      <c r="B521" s="11" t="inlineStr">
        <is>
          <t>25.07</t>
        </is>
      </c>
      <c r="C521" s="12" t="inlineStr">
        <is>
          <t>The fine print on the portal</t>
        </is>
      </c>
      <c r="D521" s="12" t="inlineStr">
        <is>
          <t>Client portal</t>
        </is>
      </c>
      <c r="E521" s="13" t="inlineStr">
        <is>
          <t>See the privacy link as Benjamin, on his portal</t>
        </is>
      </c>
      <c r="F521"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21" s="14" t="inlineStr">
        <is>
          <t>"Privacy" sits at the foot of the sign-in page and of every portal page — never Terms or Contact, which are not linked. It opens demostudio.sg/privacy in a new tab (not a real page in the demo — close it).</t>
        </is>
      </c>
      <c r="H521" s="12" t="inlineStr">
        <is>
          <t>Same as 1.0</t>
        </is>
      </c>
      <c r="I521" s="18" t="inlineStr">
        <is>
          <t>Benjamin Han (client)</t>
        </is>
      </c>
      <c r="J521" s="15" t="n"/>
      <c r="K521" s="15" t="n"/>
      <c r="L521" s="15" t="n"/>
      <c r="M521" s="16" t="n"/>
      <c r="N521" s="17" t="n"/>
      <c r="O521" s="17" t="n"/>
      <c r="P521" s="15" t="n"/>
    </row>
    <row r="522" ht="22" customHeight="1">
      <c r="A522" s="9" t="inlineStr">
        <is>
          <t>Chapter 26 · Quotes on the move — A quote on a phone and a tablet: it opens as the document, Edit is one section at a time, Items and payments are cards, the paper is a viewer, the lists and Create Quote as cards and rows, the client’s page with Confirm in reach.</t>
        </is>
      </c>
      <c r="M522" s="10" t="n"/>
    </row>
    <row r="523">
      <c r="A523" s="11" t="n">
        <v>26</v>
      </c>
      <c r="B523" s="11" t="inlineStr">
        <is>
          <t>26.01</t>
        </is>
      </c>
      <c r="C523" s="12" t="inlineStr">
        <is>
          <t>A quote on your phone</t>
        </is>
      </c>
      <c r="D523" s="12" t="inlineStr">
        <is>
          <t>Phone</t>
        </is>
      </c>
      <c r="E523" s="13" t="inlineStr">
        <is>
          <t>Open a quote on your phone: it opens as the document, not the editor</t>
        </is>
      </c>
      <c r="F523" s="14" t="inlineStr">
        <is>
          <t>1. On your phone (the Network address from chapter 12), tap "Tools" in the bottom bar › "Quotes"
2. Tap the card "Olivia Martinez" (OM-10001, Draft)
3. Read the top of the screen, then scroll to the end</t>
        </is>
      </c>
      <c r="G523" s="14" t="inlineStr">
        <is>
          <t>The quote opens as a screen, not the editor: a back arrow, "Olivia Martinez" with "OM-10001 · Whole-home renovation" under it, ⋮ at the right. Under that a hero: the Draft chip, the amount large, the number of lines, "Valid until …", the GST line, and Olivia with Call and WhatsApp buttons. One "Next" line says what this quote needs. Then the quote's sections as cards (each folds on a tap), then rows for Payment schedule, Files, Terms and conditions and Signature, each with a one-line summary. A foot stays at the bottom with "Edit" and "Send ▾". Nothing scrolls sideways.</t>
        </is>
      </c>
      <c r="H523" s="12" t="inlineStr">
        <is>
          <t>Different from 1.0: a quote on a phone opens as the document; the editor comes on Edit</t>
        </is>
      </c>
      <c r="I523" s="11" t="inlineStr">
        <is>
          <t>Dane</t>
        </is>
      </c>
      <c r="J523" s="15" t="n"/>
      <c r="K523" s="15" t="n"/>
      <c r="L523" s="15" t="n"/>
      <c r="M523" s="16" t="n"/>
      <c r="N523" s="17" t="n"/>
      <c r="O523" s="17" t="n"/>
      <c r="P523" s="15" t="n"/>
    </row>
    <row r="524">
      <c r="A524" s="11" t="n">
        <v>26</v>
      </c>
      <c r="B524" s="11" t="inlineStr">
        <is>
          <t>26.02</t>
        </is>
      </c>
      <c r="C524" s="12" t="inlineStr">
        <is>
          <t>A quote on your phone</t>
        </is>
      </c>
      <c r="D524" s="12" t="inlineStr">
        <is>
          <t>Phone</t>
        </is>
      </c>
      <c r="E524" s="13" t="inlineStr">
        <is>
          <t>Edit is a list of sections, one at a time</t>
        </is>
      </c>
      <c r="F524" s="14" t="inlineStr">
        <is>
          <t>1. Tap "Edit" in the foot
2. Read the list
3. Tap "Items"
4. Tap the back arrow at the top left
5. Tap "Done"
6. Tap "Edit" again, then press your phone's own Back</t>
        </is>
      </c>
      <c r="G524" s="14" t="inlineStr">
        <is>
          <t>Edit opens a list: General info, Items (with the count), Payment schedule, Files (with the count), Terms and conditions, Additional notes, Signature — each with a one-line summary of what it holds. Items opens as its own screen with a bar at the top (← · "Items" · "16 lines · S$…"). The arrow returns to the list; Done returns to the quote screen. The phone's Back goes back one step, never out of the quote (the address carries the step).</t>
        </is>
      </c>
      <c r="H524" s="12" t="inlineStr">
        <is>
          <t>Different from 1.0: one section at a time on a phone</t>
        </is>
      </c>
      <c r="I524" s="11" t="inlineStr">
        <is>
          <t>Dane</t>
        </is>
      </c>
      <c r="J524" s="15" t="n"/>
      <c r="K524" s="15" t="n"/>
      <c r="L524" s="15" t="n"/>
      <c r="M524" s="16" t="n"/>
      <c r="N524" s="17" t="n"/>
      <c r="O524" s="17" t="n"/>
      <c r="P524" s="15" t="n"/>
    </row>
    <row r="525">
      <c r="A525" s="11" t="n">
        <v>26</v>
      </c>
      <c r="B525" s="11" t="inlineStr">
        <is>
          <t>26.03</t>
        </is>
      </c>
      <c r="C525" s="12" t="inlineStr">
        <is>
          <t>A quote on your phone</t>
        </is>
      </c>
      <c r="D525" s="12" t="inlineStr">
        <is>
          <t>Phone</t>
        </is>
      </c>
      <c r="E525" s="13" t="inlineStr">
        <is>
          <t>Items are cards; a line opens as a sheet</t>
        </is>
      </c>
      <c r="F525" s="14" t="inlineStr">
        <is>
          <t>1. Edit › Items
2. Tap the "Bathrooms" section card, then tap it again
3. Scroll: the open section's card holds at the top
4. Tap a line
5. Change the quantity and watch the Total; tap "More"
6. Tap "Done"</t>
        </is>
      </c>
      <c r="G525" s="14" t="inlineStr">
        <is>
          <t>A section card folds and unfolds its lines. Each line is a card: the name, "44 sqft × S$102 · Purchase" and its total. A line opens as a sheet with Quantity, Unit, Unit price, a live Total, Kind and Description; the Total changes as you type; More shows cost, markup, discount, GST, room, category, section label, vendor, link and image. Done closes it and the card reads the new figures. A strip stays pinned at the bottom: Subtotal · GST · Total with "Adjust" (entity, discounts, GST, rounding) and "Breakdown" (by category). No Column settings, Row density or Expand on the phone.</t>
        </is>
      </c>
      <c r="H525" s="12" t="inlineStr">
        <is>
          <t>Different from 1.0: cards and a two-layer sheet instead of a twelve-column grid</t>
        </is>
      </c>
      <c r="I525" s="11" t="inlineStr">
        <is>
          <t>Dane</t>
        </is>
      </c>
      <c r="J525" s="15" t="n"/>
      <c r="K525" s="15" t="n"/>
      <c r="L525" s="15" t="n"/>
      <c r="M525" s="16" t="n"/>
      <c r="N525" s="17" t="n"/>
      <c r="O525" s="17" t="n"/>
      <c r="P525" s="15" t="n"/>
    </row>
    <row r="526">
      <c r="A526" s="11" t="n">
        <v>26</v>
      </c>
      <c r="B526" s="11" t="inlineStr">
        <is>
          <t>26.04</t>
        </is>
      </c>
      <c r="C526" s="12" t="inlineStr">
        <is>
          <t>A quote on your phone</t>
        </is>
      </c>
      <c r="D526" s="12" t="inlineStr">
        <is>
          <t>Phone</t>
        </is>
      </c>
      <c r="E526" s="13" t="inlineStr">
        <is>
          <t>A line's ⋮, Remove with Undo, two lines at once, and adding</t>
        </is>
      </c>
      <c r="F526" s="14" t="inlineStr">
        <is>
          <t>1. On a line card, tap ⋮
2. Tap "Remove", then "Undo" in the snackbar
3. Hold a card until it ticks, then tap a second card
4. Read the bar, then tap "Clear"
5. Tap "+ Add to Bathrooms" at the end of that section
6. Tap "Add item" at the top</t>
        </is>
      </c>
      <c r="G526" s="14" t="inlineStr">
        <is>
          <t>The ⋮ has five rows: Duplicate, Mark as optional, Move to section ›, Remove, More…. Remove takes the card away with a snackbar and Undo brings it back. Holding selects: the bar shows the count with Clear, then Move to section, Delete and ⋯; the pinned total lifts above the bar. "+ Add to Bathrooms" adds a line inside that section and opens its sheet; "Add item" adds one at the end and opens its sheet. Both appear in place when Done is tapped.</t>
        </is>
      </c>
      <c r="H526" s="12" t="inlineStr">
        <is>
          <t>Different from 1.0: every remove has Undo; a long press selects</t>
        </is>
      </c>
      <c r="I526" s="11" t="inlineStr">
        <is>
          <t>Dane</t>
        </is>
      </c>
      <c r="J526" s="15" t="n"/>
      <c r="K526" s="15" t="n"/>
      <c r="L526" s="15" t="n"/>
      <c r="M526" s="16" t="n"/>
      <c r="N526" s="17" t="n"/>
      <c r="O526" s="17" t="n"/>
      <c r="P526" s="15" t="n"/>
    </row>
    <row r="527">
      <c r="A527" s="11" t="n">
        <v>26</v>
      </c>
      <c r="B527" s="11" t="inlineStr">
        <is>
          <t>26.05</t>
        </is>
      </c>
      <c r="C527" s="12" t="inlineStr">
        <is>
          <t>A quote on your phone</t>
        </is>
      </c>
      <c r="D527" s="12" t="inlineStr">
        <is>
          <t>Phone</t>
        </is>
      </c>
      <c r="E527" s="13" t="inlineStr">
        <is>
          <t>The payment schedule as cards</t>
        </is>
      </c>
      <c r="F527" s="14" t="inlineStr">
        <is>
          <t>1. Back to the list (← then the list) › "Payment schedule"
2. Tap the first payment
3. Type 15 in the share box and watch the amount
4. Tap "Done"
5. Tap the payment again › "Remove", then "Undo"</t>
        </is>
      </c>
      <c r="G527" s="14" t="inlineStr">
        <is>
          <t>Each payment is a card: its name over the description, the amount over "10% · On Approval". The card opens a sheet: name, description, share and amount side by side (typing 15% fills the amount of 15% of the quote's total), the due as "On approval · On a date", Remove at the foot's start and Done. Done writes the change and the card reads "15% · On Approval". Remove takes the card away with Undo; Undo brings it back.</t>
        </is>
      </c>
      <c r="H527" s="12" t="inlineStr">
        <is>
          <t>Different from 1.0: the schedule's row was a six-column grid that cut its words on a phone</t>
        </is>
      </c>
      <c r="I527" s="11" t="inlineStr">
        <is>
          <t>Dane</t>
        </is>
      </c>
      <c r="J527" s="15" t="n"/>
      <c r="K527" s="15" t="n"/>
      <c r="L527" s="15" t="n"/>
      <c r="M527" s="16" t="n"/>
      <c r="N527" s="17" t="n"/>
      <c r="O527" s="17" t="n"/>
      <c r="P527" s="15" t="n"/>
    </row>
    <row r="528">
      <c r="A528" s="11" t="n">
        <v>26</v>
      </c>
      <c r="B528" s="11" t="inlineStr">
        <is>
          <t>26.06</t>
        </is>
      </c>
      <c r="C528" s="12" t="inlineStr">
        <is>
          <t>A quote on your phone</t>
        </is>
      </c>
      <c r="D528" s="12" t="inlineStr">
        <is>
          <t>Phone</t>
        </is>
      </c>
      <c r="E528" s="13" t="inlineStr">
        <is>
          <t>Terms and conditions open full screen</t>
        </is>
      </c>
      <c r="F528" s="14" t="inlineStr">
        <is>
          <t>1. The list › "Terms and conditions"
2. Read the row, then tap it
3. Tap into the text, type a word, tap "B" (Bold)
4. Tap "Done"</t>
        </is>
      </c>
      <c r="G528" s="14" t="inlineStr">
        <is>
          <t>The section is one row: "n clauses · shown to the client" over the first lines of the text. Tapping it opens a full-screen editor with the tools as big buttons in two rows (each easy to hit, no scrolling toolbar), Write with AI at the foot's start and Done. What you type saves by itself. Done returns to the row, which now shows your word.</t>
        </is>
      </c>
      <c r="H528" s="12" t="inlineStr">
        <is>
          <t>Different from 1.0: the text is not an open editor in the middle of a long page</t>
        </is>
      </c>
      <c r="I528" s="11" t="inlineStr">
        <is>
          <t>Dane</t>
        </is>
      </c>
      <c r="J528" s="15" t="n"/>
      <c r="K528" s="15" t="n"/>
      <c r="L528" s="15" t="n"/>
      <c r="M528" s="16" t="n"/>
      <c r="N528" s="17" t="n"/>
      <c r="O528" s="17" t="n"/>
      <c r="P528" s="15" t="n"/>
    </row>
    <row r="529">
      <c r="A529" s="11" t="n">
        <v>26</v>
      </c>
      <c r="B529" s="11" t="inlineStr">
        <is>
          <t>26.07</t>
        </is>
      </c>
      <c r="C529" s="12" t="inlineStr">
        <is>
          <t>A quote on your phone</t>
        </is>
      </c>
      <c r="D529" s="12" t="inlineStr">
        <is>
          <t>Phone</t>
        </is>
      </c>
      <c r="E529" s="13" t="inlineStr">
        <is>
          <t>The quote's ⋮, Version History as a sheet, and the snackbar over it</t>
        </is>
      </c>
      <c r="F529" s="14" t="inlineStr">
        <is>
          <t>1. Done, back on the quote screen tap ⋮ at the top right
2. Read the groups, then tap "Version History"
3. Tap "Revise — start version 2"
4. Tap "Close"</t>
        </is>
      </c>
      <c r="G529" s="14" t="inlineStr">
        <is>
          <t>The ⋮ is a sheet with its rows grouped under Look, Change, Share and Export — everything the desktop has, and no key hints. Version History opens as a bottom sheet with Close in its foot. On a never-sent Draft, Revise answers with a snackbar explaining that a draft is edited, not revised — and the snackbar sits above the sheet's foot, never over its Close. Close returns to the quote.</t>
        </is>
      </c>
      <c r="H529" s="12" t="inlineStr">
        <is>
          <t>Different from 1.0: menus are bottom sheets on a phone</t>
        </is>
      </c>
      <c r="I529" s="11" t="inlineStr">
        <is>
          <t>Dane</t>
        </is>
      </c>
      <c r="J529" s="15" t="n"/>
      <c r="K529" s="15" t="n"/>
      <c r="L529" s="15" t="n"/>
      <c r="M529" s="16" t="n"/>
      <c r="N529" s="17" t="n"/>
      <c r="O529" s="17" t="n"/>
      <c r="P529" s="15" t="n"/>
    </row>
    <row r="530">
      <c r="A530" s="11" t="n">
        <v>26</v>
      </c>
      <c r="B530" s="11" t="inlineStr">
        <is>
          <t>26.08</t>
        </is>
      </c>
      <c r="C530" s="12" t="inlineStr">
        <is>
          <t>A quote on your phone</t>
        </is>
      </c>
      <c r="D530" s="12" t="inlineStr">
        <is>
          <t>Phone</t>
        </is>
      </c>
      <c r="E530" s="13" t="inlineStr">
        <is>
          <t>Send for confirmation from your phone</t>
        </is>
      </c>
      <c r="F530" s="14" t="inlineStr">
        <is>
          <t>1. On the quote screen tap "Send ▾" › "Send for confirmation"
2. Read the sheet without scrolling
3. Tap "Copy link"
4. Tap "Send via WhatsApp"</t>
        </is>
      </c>
      <c r="G530" s="14" t="inlineStr">
        <is>
          <t>The sheet is built to fit the screen: "+65" and the number on one line, the message box tall enough for its whole message, no link row (on an iPhone the body may scroll a little, but the foot with its two buttons stays in reach). Copy link (in the foot) copies the confirmation link with a snackbar; Send via WhatsApp opens WhatsApp with the message and the link ready to send. Back in OpenMaison the quote reads Sent to Client and the foot's primary becomes "Remind".</t>
        </is>
      </c>
      <c r="H530" s="12" t="inlineStr">
        <is>
          <t>Same as 1.0: WhatsApp carries the link; the sheet now fits a phone</t>
        </is>
      </c>
      <c r="I530" s="11" t="inlineStr">
        <is>
          <t>Dane</t>
        </is>
      </c>
      <c r="J530" s="15" t="n"/>
      <c r="K530" s="15" t="n"/>
      <c r="L530" s="15" t="n"/>
      <c r="M530" s="16" t="n"/>
      <c r="N530" s="17" t="n"/>
      <c r="O530" s="17" t="n"/>
      <c r="P530" s="15" t="n"/>
    </row>
    <row r="531">
      <c r="A531" s="11" t="n">
        <v>26</v>
      </c>
      <c r="B531" s="11" t="inlineStr">
        <is>
          <t>26.09</t>
        </is>
      </c>
      <c r="C531" s="12" t="inlineStr">
        <is>
          <t>A quote on your phone</t>
        </is>
      </c>
      <c r="D531" s="12" t="inlineStr">
        <is>
          <t>Phone</t>
        </is>
      </c>
      <c r="E531" s="13" t="inlineStr">
        <is>
          <t>As printed is a viewer; the Preview is the client's reflowed quote</t>
        </is>
      </c>
      <c r="F531" s="14" t="inlineStr">
        <is>
          <t>1. On the quote screen scroll to the document and tap "As printed"
2. Swipe left for page 2; double-tap a page; pinch
3. Tap "Fit to width", then the back arrow
4. Open "/quotes/&lt;this quote&gt;/preview" (⋮ › Preview)
5. Tap "Paper" (the "n lines · As printed" row), then ⋮ in the bar</t>
        </is>
      </c>
      <c r="G531" s="14" t="inlineStr">
        <is>
          <t>As printed opens a viewer: the head "As printed · OM-10001 · n pages" with Download, the page fitted to the width, a dot per page that follows your swipe, double-tap zooms and "Fit to width" brings it back. The arrow returns to the quote. The Preview page shows the client's quote as cards under one bar (← · Preview · Send ▾); the paper row opens the same viewer. The bar's ⋮ holds Copy preview link, Share PDF, Internal copy, What your client sees and Change template.</t>
        </is>
      </c>
      <c r="H531" s="12" t="inlineStr">
        <is>
          <t>Different from 1.0: no A4 shrunk to a phone's width</t>
        </is>
      </c>
      <c r="I531" s="11" t="inlineStr">
        <is>
          <t>Dane</t>
        </is>
      </c>
      <c r="J531" s="15" t="n"/>
      <c r="K531" s="15" t="n"/>
      <c r="L531" s="15" t="n"/>
      <c r="M531" s="16" t="n"/>
      <c r="N531" s="17" t="n"/>
      <c r="O531" s="17" t="n"/>
      <c r="P531" s="15" t="n"/>
    </row>
    <row r="532">
      <c r="A532" s="11" t="n">
        <v>26</v>
      </c>
      <c r="B532" s="11" t="inlineStr">
        <is>
          <t>26.10</t>
        </is>
      </c>
      <c r="C532" s="12" t="inlineStr">
        <is>
          <t>A quote on your phone</t>
        </is>
      </c>
      <c r="D532" s="12" t="inlineStr">
        <is>
          <t>Phone</t>
        </is>
      </c>
      <c r="E532" s="13" t="inlineStr">
        <is>
          <t>One primary button per state</t>
        </is>
      </c>
      <c r="F532" s="14" t="inlineStr">
        <is>
          <t>1. As Germaine (View as), open OM-10001 on the phone: read the foot
2. Tap the primary, confirm, read the foot again
3. As Dane, open the same quote: tap "Approve", then read the foot
4. Open OM-10007 (Serena Koh, Sent to Client): read the foot; set a future "Valid until" in General info and read it again
5. Open OM-10004 (Ryan D’Souza, Signed): read the foot</t>
        </is>
      </c>
      <c r="G532" s="14" t="inlineStr">
        <is>
          <t>Germaine's Draft offers "Send" (for approval); once sent, only Edit stays. Dane sees "Approve", then "Send ▾". Serena's quote, past its validity, offers "Revise"; with a future date it offers "Remind", which opens the reminder sheet (a WhatsApp nudge with the confirmation link). Ryan's signed quote offers "Open contract". Every other action is under ⋮.</t>
        </is>
      </c>
      <c r="H532" s="12" t="inlineStr">
        <is>
          <t>New in 2.0: the state decides the one filled button</t>
        </is>
      </c>
      <c r="I532" s="11" t="inlineStr">
        <is>
          <t>Dane</t>
        </is>
      </c>
      <c r="J532" s="15" t="n"/>
      <c r="K532" s="15" t="n"/>
      <c r="L532" s="15" t="n"/>
      <c r="M532" s="16" t="n"/>
      <c r="N532" s="17" t="n"/>
      <c r="O532" s="17" t="n"/>
      <c r="P532" s="15" t="n"/>
    </row>
    <row r="533">
      <c r="A533" s="11" t="n">
        <v>26</v>
      </c>
      <c r="B533" s="11" t="inlineStr">
        <is>
          <t>26.11</t>
        </is>
      </c>
      <c r="C533" s="12" t="inlineStr">
        <is>
          <t>The lists on your phone</t>
        </is>
      </c>
      <c r="D533" s="12" t="inlineStr">
        <is>
          <t>Phone</t>
        </is>
      </c>
      <c r="E533" s="13" t="inlineStr">
        <is>
          <t>The Quotes list as cards</t>
        </is>
      </c>
      <c r="F533" s="14" t="inlineStr">
        <is>
          <t>1. Tools › Quotes on the phone
2. Read a card; tap its ⋮
3. Hold a card until it ticks
4. Tap "Filters"
5. Open Olivia's lead › "Quotes" tab</t>
        </is>
      </c>
      <c r="G533" s="14" t="inlineStr">
        <is>
          <t>Each card leads with the client's name (bold) and the amount at the right; under them the number and title; then a status chip with its "since" (sent · viewed · due · valid until) and a chevron. The ⋮ offers Open, Copy link, Remind (only while the client holds it), Preview, Change status ›, Archive and Delete. Holding a card selects it and shows the bar. Filters is one sheet of chips. The lead's Quotes tab shows the same cards with the title first.</t>
        </is>
      </c>
      <c r="H533" s="12" t="inlineStr">
        <is>
          <t>Different from 1.0: the client leads the card; no checkbox</t>
        </is>
      </c>
      <c r="I533" s="11" t="inlineStr">
        <is>
          <t>Dane</t>
        </is>
      </c>
      <c r="J533" s="15" t="n"/>
      <c r="K533" s="15" t="n"/>
      <c r="L533" s="15" t="n"/>
      <c r="M533" s="16" t="n"/>
      <c r="N533" s="17" t="n"/>
      <c r="O533" s="17" t="n"/>
      <c r="P533" s="15" t="n"/>
    </row>
    <row r="534">
      <c r="A534" s="11" t="n">
        <v>26</v>
      </c>
      <c r="B534" s="11" t="inlineStr">
        <is>
          <t>26.12</t>
        </is>
      </c>
      <c r="C534" s="12" t="inlineStr">
        <is>
          <t>The lists on your phone</t>
        </is>
      </c>
      <c r="D534" s="12" t="inlineStr">
        <is>
          <t>Phone</t>
        </is>
      </c>
      <c r="E534" s="13" t="inlineStr">
        <is>
          <t>Create a quote on your phone</t>
        </is>
      </c>
      <c r="F534" s="14" t="inlineStr">
        <is>
          <t>1. Tools › Quotes › "+"
2. Pick a lead under "Who is this quote for?"
3. Read the four rows; tap "Change" beside the default template, then Back
4. Tap "Blank quote"</t>
        </is>
      </c>
      <c r="G534" s="14" t="inlineStr">
        <is>
          <t>The first step asks "Who is this quote for?" with the recent leads first. Then four tall rows: the default template by name ("Starts with …" and Change), Blank quote, Upload a quote, Draft with Maison AI. Change opens the templates as a list (name over its details). Blank quote makes the quote and opens it as the quote screen. From a lead's Quotes tab the rows show at once (the lead is known).</t>
        </is>
      </c>
      <c r="H534" s="12" t="inlineStr">
        <is>
          <t>Different from 1.0: the lead first, then four rows</t>
        </is>
      </c>
      <c r="I534" s="11" t="inlineStr">
        <is>
          <t>Dane</t>
        </is>
      </c>
      <c r="J534" s="15" t="n"/>
      <c r="K534" s="15" t="n"/>
      <c r="L534" s="15" t="n"/>
      <c r="M534" s="16" t="n"/>
      <c r="N534" s="17" t="n"/>
      <c r="O534" s="17" t="n"/>
      <c r="P534" s="15" t="n"/>
    </row>
    <row r="535">
      <c r="A535" s="11" t="n">
        <v>26</v>
      </c>
      <c r="B535" s="11" t="inlineStr">
        <is>
          <t>26.13</t>
        </is>
      </c>
      <c r="C535" s="12" t="inlineStr">
        <is>
          <t>On a tablet</t>
        </is>
      </c>
      <c r="D535" s="12" t="inlineStr">
        <is>
          <t>Phone</t>
        </is>
      </c>
      <c r="E535" s="13" t="inlineStr">
        <is>
          <t>A tablet held upright reads like the phone, with more room</t>
        </is>
      </c>
      <c r="F535" s="14" t="inlineStr">
        <is>
          <t>1. On a tablet (or the laptop's browser made 768 wide with touch on), open Tools › Quotes
2. Read the table and its right edge
3. Open OM-10001; tap Edit › Items; tap a line
4. Open Olivia's lead › Quotes</t>
        </is>
      </c>
      <c r="G535" s="14" t="inlineStr">
        <is>
          <t>The list is a table with Title, Client, Status, Total and Due, the ⋮ frozen at the right (no View button: the title opens), Create Quote as a "+". The quote opens as the quote screen in a wide column; Items are cards and a tapped line opens in a panel at the right (Quantity and Unit price first), the list still scrolling beside it. The lead's Quotes tab hides the quick-links strip to keep the table's room.</t>
        </is>
      </c>
      <c r="H535" s="12" t="inlineStr">
        <is>
          <t>Different from 1.0: a default set of columns on a tablet</t>
        </is>
      </c>
      <c r="I535" s="11" t="inlineStr">
        <is>
          <t>Dane</t>
        </is>
      </c>
      <c r="J535" s="15" t="n"/>
      <c r="K535" s="15" t="n"/>
      <c r="L535" s="15" t="n"/>
      <c r="M535" s="16" t="n"/>
      <c r="N535" s="17" t="n"/>
      <c r="O535" s="17" t="n"/>
      <c r="P535" s="15" t="n"/>
    </row>
    <row r="536">
      <c r="A536" s="11" t="n">
        <v>26</v>
      </c>
      <c r="B536" s="11" t="inlineStr">
        <is>
          <t>26.14</t>
        </is>
      </c>
      <c r="C536" s="12" t="inlineStr">
        <is>
          <t>On a tablet</t>
        </is>
      </c>
      <c r="D536" s="12" t="inlineStr">
        <is>
          <t>Phone</t>
        </is>
      </c>
      <c r="E536" s="13" t="inlineStr">
        <is>
          <t>A tablet held sideways: the list beside the section, a working grid</t>
        </is>
      </c>
      <c r="F536" s="14" t="inlineStr">
        <is>
          <t>1. Turn the tablet sideways (1024 wide, touch)
2. Open OM-10001 › Edit
3. Tap "Items"; read the grid; tap a Total
4. Tap ⋮ › Column settings › turn "Cost" on; reload
5. Open ⋮ › Preview</t>
        </is>
      </c>
      <c r="G536" s="14" t="inlineStr">
        <is>
          <t>Edit keeps the section list as a pane at the left and the open section at the right; a row swaps the section. Items is a grid of Item, Qty, Unit, Unit price and Total that fits without panning; a tap on a Total opens the rest in the panel; Column settings adds Cost with an "internal" caption and remembers it for the tablet only. The Preview's A4 fits the width under one bar.</t>
        </is>
      </c>
      <c r="H536" s="12" t="inlineStr">
        <is>
          <t>Different from 1.0: five columns a finger can edit, the rest one tap away</t>
        </is>
      </c>
      <c r="I536" s="11" t="inlineStr">
        <is>
          <t>Dane</t>
        </is>
      </c>
      <c r="J536" s="15" t="n"/>
      <c r="K536" s="15" t="n"/>
      <c r="L536" s="15" t="n"/>
      <c r="M536" s="16" t="n"/>
      <c r="N536" s="17" t="n"/>
      <c r="O536" s="17" t="n"/>
      <c r="P536" s="15" t="n"/>
    </row>
    <row r="537">
      <c r="A537" s="11" t="n">
        <v>26</v>
      </c>
      <c r="B537" s="11" t="inlineStr">
        <is>
          <t>26.15</t>
        </is>
      </c>
      <c r="C537" s="12" t="inlineStr">
        <is>
          <t>The client's phone</t>
        </is>
      </c>
      <c r="D537" s="12" t="inlineStr">
        <is>
          <t>Phone</t>
        </is>
      </c>
      <c r="E537" s="13" t="inlineStr">
        <is>
          <t>The confirmation link on the client's phone</t>
        </is>
      </c>
      <c r="F537" s="14" t="inlineStr">
        <is>
          <t>1. Send Serena's quote for confirmation (26.08) and open the copied link on the phone
2. Scroll to the end
3. Tap "View as printed", pinch, then back
4. Tap "Confirm quote"
5. On a tablet held sideways, open the same link</t>
        </is>
      </c>
      <c r="G537" s="14" t="inlineStr">
        <is>
          <t>The page starts with a total card (the amount, the lines, valid until, View as printed), then the quote as cards, with a bar that stays at the bottom: "Confirm quote" (tall) and "Ask". View as printed opens the paper in a viewer with pinch. Confirm opens a short sheet: the name, the fine print, Confirm. Sideways on a tablet the card sits above the paper and Confirm keeps its size.</t>
        </is>
      </c>
      <c r="H537" s="12" t="inlineStr">
        <is>
          <t>Different from 1.0: Confirm is always within reach</t>
        </is>
      </c>
      <c r="I537" s="11" t="inlineStr">
        <is>
          <t>Dane</t>
        </is>
      </c>
      <c r="J537" s="15" t="n"/>
      <c r="K537" s="15" t="n"/>
      <c r="L537" s="15" t="n"/>
      <c r="M537" s="16" t="n"/>
      <c r="N537" s="17" t="n"/>
      <c r="O537" s="17" t="n"/>
      <c r="P537" s="15" t="n"/>
    </row>
    <row r="538">
      <c r="A538" s="11" t="n">
        <v>26</v>
      </c>
      <c r="B538" s="11" t="inlineStr">
        <is>
          <t>26.16</t>
        </is>
      </c>
      <c r="C538" s="12" t="inlineStr">
        <is>
          <t>The desktop</t>
        </is>
      </c>
      <c r="D538" s="12" t="inlineStr">
        <is>
          <t>Quotes</t>
        </is>
      </c>
      <c r="E538" s="13" t="inlineStr">
        <is>
          <t>Nothing changed on the desktop</t>
        </is>
      </c>
      <c r="F538" s="14" t="inlineStr">
        <is>
          <t>1. On the laptop at full width, open Tools › Quotes, a quote, its Preview and Serena's confirmation link</t>
        </is>
      </c>
      <c r="G538" s="14" t="inlineStr">
        <is>
          <t>The list, the editor (General Info, the Items grid, the Payment Schedule table, Files, Terms, Signature, Activity), the Preview with its bar and panel, and the client's page are exactly as they were in chapters 6 and 8.</t>
        </is>
      </c>
      <c r="H538" s="12" t="inlineStr">
        <is>
          <t>Same as 1.0</t>
        </is>
      </c>
      <c r="I538" s="11" t="inlineStr">
        <is>
          <t>Dane</t>
        </is>
      </c>
      <c r="J538" s="15" t="n"/>
      <c r="K538" s="15" t="n"/>
      <c r="L538" s="15" t="n"/>
      <c r="M538" s="16" t="n"/>
      <c r="N538" s="17" t="n"/>
      <c r="O538" s="17" t="n"/>
      <c r="P538" s="15" t="n"/>
    </row>
    <row r="539" ht="22" customHeight="1">
      <c r="A539" s="9" t="inlineStr">
        <is>
          <t>Chapter 27 · Contracts on the move — A contract on a phone and a tablet: it opens as the document, Edit is a short list with Details as one form, the paper full screen with one row of tools, a signature field placed by clause, the client reads first and signs in one hand, the lists and templates as cards and rows, a photo of the signed paper on the Won step.</t>
        </is>
      </c>
      <c r="M539" s="10" t="n"/>
    </row>
    <row r="540">
      <c r="A540" s="11" t="n">
        <v>27</v>
      </c>
      <c r="B540" s="11" t="inlineStr">
        <is>
          <t>27.01</t>
        </is>
      </c>
      <c r="C540" s="12" t="inlineStr">
        <is>
          <t>A contract on your phone</t>
        </is>
      </c>
      <c r="D540" s="12" t="inlineStr">
        <is>
          <t>Phone</t>
        </is>
      </c>
      <c r="E540" s="13" t="inlineStr">
        <is>
          <t>Open a contract on your phone: it opens as the document, not the editor</t>
        </is>
      </c>
      <c r="F540" s="14" t="inlineStr">
        <is>
          <t>1. On your phone (the Network address from chapter 12), tap "Tools" › "Contracts"
2. Tap the card "Olivia Martinez" (Interior Design Service Agreement, Draft)
3. Read the top of the screen, then scroll to the end</t>
        </is>
      </c>
      <c r="G540" s="14" t="inlineStr">
        <is>
          <t>The contract opens as a screen: a back arrow, "Olivia Martinez" with "Interior Design Service Agreement · from OM-10001" under it, ⋮ at the right. A card holds the Draft chip, From template, the contract date as a row, the quote row (OM-10001 · its amount · its status) and Olivia with Call, WhatsApp and a pencil. One "Next" line says what the contract needs. The clauses are cards split at the headings (the first open, the rest folded), the signature boxes a last card. Rows for Signature fields, Before the client signs, Automation, Files and Activity follow. A foot stays at the bottom with "Edit" and "Send". Nothing scrolls sideways.</t>
        </is>
      </c>
      <c r="H540" s="12" t="inlineStr">
        <is>
          <t>Different from 1.0: a contract on a phone opens as the document; the editor comes on Edit</t>
        </is>
      </c>
      <c r="I540" s="11" t="inlineStr">
        <is>
          <t>Dane</t>
        </is>
      </c>
      <c r="J540" s="15" t="n"/>
      <c r="K540" s="15" t="n"/>
      <c r="L540" s="15" t="n"/>
      <c r="M540" s="16" t="n"/>
      <c r="N540" s="17" t="n"/>
      <c r="O540" s="17" t="n"/>
      <c r="P540" s="15" t="n"/>
    </row>
    <row r="541">
      <c r="A541" s="11" t="n">
        <v>27</v>
      </c>
      <c r="B541" s="11" t="inlineStr">
        <is>
          <t>27.02</t>
        </is>
      </c>
      <c r="C541" s="12" t="inlineStr">
        <is>
          <t>A contract on your phone</t>
        </is>
      </c>
      <c r="D541" s="12" t="inlineStr">
        <is>
          <t>Phone</t>
        </is>
      </c>
      <c r="E541" s="13" t="inlineStr">
        <is>
          <t>Edit is a short list; Details is one form</t>
        </is>
      </c>
      <c r="F541" s="14" t="inlineStr">
        <is>
          <t>1. Tap "Edit"
2. Read the list
3. Tap "Details"; change the contract date (the calendar) and the recipient's number; tap the back arrow
4. Tap "Done"</t>
        </is>
      </c>
      <c r="G541" s="14" t="inlineStr">
        <is>
          <t>Edit opens a short list: Details, Document, Signature fields, Before the client signs, Automation, Files — each with a one-line summary. Details is one form (title, recipient and number, contract date, the quote, issued by) that types at 16 and saves by itself; the calendar's days are big enough for a finger. The arrow returns to the list; Done returns to the contract, whose card now reads the new date and number.</t>
        </is>
      </c>
      <c r="H541" s="12" t="inlineStr">
        <is>
          <t>Different from 1.0: the four things that change on site in one form</t>
        </is>
      </c>
      <c r="I541" s="11" t="inlineStr">
        <is>
          <t>Dane</t>
        </is>
      </c>
      <c r="J541" s="15" t="n"/>
      <c r="K541" s="15" t="n"/>
      <c r="L541" s="15" t="n"/>
      <c r="M541" s="16" t="n"/>
      <c r="N541" s="17" t="n"/>
      <c r="O541" s="17" t="n"/>
      <c r="P541" s="15" t="n"/>
    </row>
    <row r="542">
      <c r="A542" s="11" t="n">
        <v>27</v>
      </c>
      <c r="B542" s="11" t="inlineStr">
        <is>
          <t>27.03</t>
        </is>
      </c>
      <c r="C542" s="12" t="inlineStr">
        <is>
          <t>A contract on your phone</t>
        </is>
      </c>
      <c r="D542" s="12" t="inlineStr">
        <is>
          <t>Phone</t>
        </is>
      </c>
      <c r="E542" s="13" t="inlineStr">
        <is>
          <t>The Document screen: the paper full screen with one row of tools</t>
        </is>
      </c>
      <c r="F542" s="14" t="inlineStr">
        <is>
          <t>1. Edit › "Document"
2. Read the bar and the row of tools
3. Tap into clause 2, type a word, tap "B"
4. Tap "+" in the tool row › "Insert a field" › "Client phone"
5. Tap a lilac field chip in the text
6. Tap the outline (≡) and pick a clause; tap "Done"</t>
        </is>
      </c>
      <c r="G542" s="14" t="inlineStr">
        <is>
          <t>The paper fills the screen under a bar (← · Document · the clause · ≡ · Done) with one row of seven big tools: Undo, Text, B, I, U, List, +. Nothing scrolls sideways and nothing covers the text (no Maison AI button here). "+" opens a sheet: Add a signature field, Link, Image, Highlight, Numbered list, the alignments, then Insert a field with what each prints as; the chip lands where the caret was with "Client phone inserted · Undo". A tap on a chip says what it prints as, with Remove. The outline jumps to the clause; Done returns to the list.</t>
        </is>
      </c>
      <c r="H542" s="12" t="inlineStr">
        <is>
          <t>Different from 1.0: seven tools at a finger's size, the rest one tap further</t>
        </is>
      </c>
      <c r="I542" s="11" t="inlineStr">
        <is>
          <t>Dane</t>
        </is>
      </c>
      <c r="J542" s="15" t="n"/>
      <c r="K542" s="15" t="n"/>
      <c r="L542" s="15" t="n"/>
      <c r="M542" s="16" t="n"/>
      <c r="N542" s="17" t="n"/>
      <c r="O542" s="17" t="n"/>
      <c r="P542" s="15" t="n"/>
    </row>
    <row r="543">
      <c r="A543" s="11" t="n">
        <v>27</v>
      </c>
      <c r="B543" s="11" t="inlineStr">
        <is>
          <t>27.04</t>
        </is>
      </c>
      <c r="C543" s="12" t="inlineStr">
        <is>
          <t>A contract on your phone</t>
        </is>
      </c>
      <c r="D543" s="12" t="inlineStr">
        <is>
          <t>Phone</t>
        </is>
      </c>
      <c r="E543" s="13" t="inlineStr">
        <is>
          <t>A signature field is placed by choosing where, never by a thumb</t>
        </is>
      </c>
      <c r="F543" s="14" t="inlineStr">
        <is>
          <t>1. Edit › "Signature fields"
2. On "Client initial" tap "Add"
3. Pick "Under Signatures" (already picked) and tap "Add under Signatures"
4. Tap "Undo" in the snackbar
5. Edit › "Before the client signs": tap the words of "Read to the end"</t>
        </is>
      </c>
      <c r="G543" s="14" t="inlineStr">
        <is>
          <t>Signature fields lists Studio signature, Client signature, Studio initial, Client initial as placed / not placed. Add asks where: the clauses from the outline, "Under Signatures" picked for you, "At the end". The field lands as its own block under Signatures, the screen scrolls to it with a pulse and the snackbar says "Client initial added under Signatures · Undo"; Undo takes it away. Before the client signs: the whole row toggles the switch, not only its track; the help reads at 14.</t>
        </is>
      </c>
      <c r="H543" s="12" t="inlineStr">
        <is>
          <t>Different from 1.0: no caret needed; a field goes after a clause you choose</t>
        </is>
      </c>
      <c r="I543" s="11" t="inlineStr">
        <is>
          <t>Dane</t>
        </is>
      </c>
      <c r="J543" s="15" t="n"/>
      <c r="K543" s="15" t="n"/>
      <c r="L543" s="15" t="n"/>
      <c r="M543" s="16" t="n"/>
      <c r="N543" s="17" t="n"/>
      <c r="O543" s="17" t="n"/>
      <c r="P543" s="15" t="n"/>
    </row>
    <row r="544">
      <c r="A544" s="11" t="n">
        <v>27</v>
      </c>
      <c r="B544" s="11" t="inlineStr">
        <is>
          <t>27.05</t>
        </is>
      </c>
      <c r="C544" s="12" t="inlineStr">
        <is>
          <t>A contract on your phone</t>
        </is>
      </c>
      <c r="D544" s="12" t="inlineStr">
        <is>
          <t>Phone</t>
        </is>
      </c>
      <c r="E544" s="13" t="inlineStr">
        <is>
          <t>Send from the phone; the state's one button after</t>
        </is>
      </c>
      <c r="F544" s="14" t="inlineStr">
        <is>
          <t>1. Back on the contract tap "Send"
2. Read the sheet without scrolling; tap "How signing works"
3. Tap "Send via WhatsApp" (WhatsApp opens with the message; come back)
4. Read the Next line and the foot; tap "Remind"
5. Tap ⋮ at the top right</t>
        </is>
      </c>
      <c r="G544" s="14" t="inlineStr">
        <is>
          <t>The sheet fits the phone: a one-line head, the recipient and number, the message, Copy link and Send via WhatsApp in the foot; "How signing works" unfolds the explanation; no "Mark as signed" line here (it is in ⋮). After sending, the Next line reads "With Olivia for signature · sent just now · not opened yet · link open until …" and the foot's button is "Remind", which opens the reminder sheet. The ⋮ is grouped (Look · Change · Share · Export) with no key hints; a snackbar never covers its rows.</t>
        </is>
      </c>
      <c r="H544" s="12" t="inlineStr">
        <is>
          <t>Same as 1.0: WhatsApp carries the link; the state decides the one button</t>
        </is>
      </c>
      <c r="I544" s="11" t="inlineStr">
        <is>
          <t>Dane</t>
        </is>
      </c>
      <c r="J544" s="15" t="n"/>
      <c r="K544" s="15" t="n"/>
      <c r="L544" s="15" t="n"/>
      <c r="M544" s="16" t="n"/>
      <c r="N544" s="17" t="n"/>
      <c r="O544" s="17" t="n"/>
      <c r="P544" s="15" t="n"/>
    </row>
    <row r="545">
      <c r="A545" s="11" t="n">
        <v>27</v>
      </c>
      <c r="B545" s="11" t="inlineStr">
        <is>
          <t>27.06</t>
        </is>
      </c>
      <c r="C545" s="12" t="inlineStr">
        <is>
          <t>A contract on your phone</t>
        </is>
      </c>
      <c r="D545" s="12" t="inlineStr">
        <is>
          <t>Phone</t>
        </is>
      </c>
      <c r="E545" s="13" t="inlineStr">
        <is>
          <t>A signed contract reads only; the paper as a viewer</t>
        </is>
      </c>
      <c r="F545" s="14" t="inlineStr">
        <is>
          <t>1. Tools › Contracts › "Ryan D’Souza" (Signed)
2. Read the card and the foot; open the "Signed copy" row and ⋮ › "Signing record"
3. Tap "As printed" on the document; swipe, pinch, then back
4. ⋮ › "Preview": tap "Paper"</t>
        </is>
      </c>
      <c r="G545" s="14" t="inlineStr">
        <is>
          <t>A signed contract has no Edit: the card says "Signed 31 Jul ’26 · marked by the studio", the foot offers "Download signed copy" (and Move to Won while the lead is not Won). No toolbar, no greyed tools. As printed opens the viewer (fit to width, swipe, pinch, Download); the Preview page is the reflowed paper under one bar with Paper as a toggle to the same viewer.</t>
        </is>
      </c>
      <c r="H545" s="12" t="inlineStr">
        <is>
          <t>Different from 1.0: no dead toolbar over a frozen copy</t>
        </is>
      </c>
      <c r="I545" s="11" t="inlineStr">
        <is>
          <t>Dane</t>
        </is>
      </c>
      <c r="J545" s="15" t="n"/>
      <c r="K545" s="15" t="n"/>
      <c r="L545" s="15" t="n"/>
      <c r="M545" s="16" t="n"/>
      <c r="N545" s="17" t="n"/>
      <c r="O545" s="17" t="n"/>
      <c r="P545" s="15" t="n"/>
    </row>
    <row r="546">
      <c r="A546" s="11" t="n">
        <v>27</v>
      </c>
      <c r="B546" s="11" t="inlineStr">
        <is>
          <t>27.07</t>
        </is>
      </c>
      <c r="C546" s="12" t="inlineStr">
        <is>
          <t>The client signs on their phone</t>
        </is>
      </c>
      <c r="D546" s="12" t="inlineStr">
        <is>
          <t>Phone</t>
        </is>
      </c>
      <c r="E546" s="13" t="inlineStr">
        <is>
          <t>Read first, then one bar that walks to the signature</t>
        </is>
      </c>
      <c r="F546" s="14" t="inlineStr">
        <is>
          <t>1. Open the link you sent in 27.05 on the phone (or a phone-sized window)
2. Read the top; scroll and watch the bar
3. Tap "As cards" in the hero, then "View as printed", then Back
4. Scroll to the end</t>
        </is>
      </c>
      <c r="G546" s="14" t="inlineStr">
        <is>
          <t>A head with the studio's name, then a card: the agreement, "Signs quotation OM-10001 · S$… → As cards", "Hi Olivia, read it, then sign with a one-time code." The paper comes first, at a readable size. A bar stays at the bottom: "Read to the end to sign · 1 of 13 sections", counting as you scroll. As cards shows the quote as reading cards in place (View as printed opens the paper viewer); the phone's Back closes it without reloading. At the end the bar becomes one filled button: "Accept and sign".</t>
        </is>
      </c>
      <c r="H546" s="12" t="inlineStr">
        <is>
          <t>Different from 1.0: the paper first; the form was above it</t>
        </is>
      </c>
      <c r="I546" s="18" t="inlineStr">
        <is>
          <t>Sophia Wong (client)</t>
        </is>
      </c>
      <c r="J546" s="15" t="n"/>
      <c r="K546" s="15" t="n"/>
      <c r="L546" s="15" t="n"/>
      <c r="M546" s="16" t="n"/>
      <c r="N546" s="17" t="n"/>
      <c r="O546" s="17" t="n"/>
      <c r="P546" s="15" t="n"/>
    </row>
    <row r="547">
      <c r="A547" s="11" t="n">
        <v>27</v>
      </c>
      <c r="B547" s="11" t="inlineStr">
        <is>
          <t>27.08</t>
        </is>
      </c>
      <c r="C547" s="12" t="inlineStr">
        <is>
          <t>The client signs on their phone</t>
        </is>
      </c>
      <c r="D547" s="12" t="inlineStr">
        <is>
          <t>Phone</t>
        </is>
      </c>
      <c r="E547" s="13" t="inlineStr">
        <is>
          <t>Tick, code, sign — in one hand</t>
        </is>
      </c>
      <c r="F547" s="14" t="inlineStr">
        <is>
          <t>1. Tap "Accept and sign"
2. Tick the words (and the CaseTrust box), tap Continue
3. Type any six digits (the demo sends no text)
4. Read the Type screen; tap "Draw" and draw a square; tap "Clear"; go back to Type
5. Tap "Sign agreement"</t>
        </is>
      </c>
      <c r="G547" s="14" t="inlineStr">
        <is>
          <t>A sheet in three screens, one filled button each: the words to tick at a readable size; six code boxes (a real phone offers the SMS code); then your name typed in the signature face, with Draw one tap away — a square drawn stays a square, Clear sits under the pad, NRIC is folded. The consent sentence reads at 16. Sign closes the sheet and the page lands on the signature box.</t>
        </is>
      </c>
      <c r="H547" s="12" t="inlineStr">
        <is>
          <t>Different from 1.0: the code autofills; the drawn signature keeps its shape</t>
        </is>
      </c>
      <c r="I547" s="18" t="inlineStr">
        <is>
          <t>Sophia Wong (client)</t>
        </is>
      </c>
      <c r="J547" s="15" t="n"/>
      <c r="K547" s="15" t="n"/>
      <c r="L547" s="15" t="n"/>
      <c r="M547" s="16" t="n"/>
      <c r="N547" s="17" t="n"/>
      <c r="O547" s="17" t="n"/>
      <c r="P547" s="15" t="n"/>
    </row>
    <row r="548">
      <c r="A548" s="11" t="n">
        <v>27</v>
      </c>
      <c r="B548" s="11" t="inlineStr">
        <is>
          <t>27.09</t>
        </is>
      </c>
      <c r="C548" s="12" t="inlineStr">
        <is>
          <t>The client signs on their phone</t>
        </is>
      </c>
      <c r="D548" s="12" t="inlineStr">
        <is>
          <t>Phone</t>
        </is>
      </c>
      <c r="E548" s="13" t="inlineStr">
        <is>
          <t>Signed: keep a copy, see the record</t>
        </is>
      </c>
      <c r="F548" s="14" t="inlineStr">
        <is>
          <t>1. Read the Signed card and the bar
2. Tap "Save a copy"
3. Tap "Signing record"
4. Open a dead link: /sign/none</t>
        </is>
      </c>
      <c r="G548" s="14" t="inlineStr">
        <is>
          <t>The card reads Signed with the date; its rows are Save a copy, Pay the deposit and Signing record; the bar reads "Signed by Olivia · 22 Oct ’26". Save a copy opens the phone's share sheet with this page's address (where there is none, the link is copied and a snackbar says the page stays at it with the record and its fingerprint) — nothing prints. Signing record opens as a sheet, one tap away. A dead link's notice offers "Message Demo Studio Pte Ltd".</t>
        </is>
      </c>
      <c r="H548" s="12" t="inlineStr">
        <is>
          <t>Different from 1.0: a copy you can keep from a phone; the record one tap away</t>
        </is>
      </c>
      <c r="I548" s="18" t="inlineStr">
        <is>
          <t>Sophia Wong (client)</t>
        </is>
      </c>
      <c r="J548" s="15" t="n"/>
      <c r="K548" s="15" t="n"/>
      <c r="L548" s="15" t="n"/>
      <c r="M548" s="16" t="n"/>
      <c r="N548" s="17" t="n"/>
      <c r="O548" s="17" t="n"/>
      <c r="P548" s="15" t="n"/>
    </row>
    <row r="549">
      <c r="A549" s="11" t="n">
        <v>27</v>
      </c>
      <c r="B549" s="11" t="inlineStr">
        <is>
          <t>27.10</t>
        </is>
      </c>
      <c r="C549" s="12" t="inlineStr">
        <is>
          <t>The lists on your phone</t>
        </is>
      </c>
      <c r="D549" s="12" t="inlineStr">
        <is>
          <t>Phone</t>
        </is>
      </c>
      <c r="E549" s="13" t="inlineStr">
        <is>
          <t>The Contracts list as cards</t>
        </is>
      </c>
      <c r="F549" s="14" t="inlineStr">
        <is>
          <t>1. Tools › Contracts on the phone
2. Read a card; tap its ⋮
3. Hold a card until it ticks
4. Open Olivia's lead › "Contracts" tab</t>
        </is>
      </c>
      <c r="G549" s="14" t="inlineStr">
        <is>
          <t>Each card leads with the client's name and the amount of the quote it signs; under them "Signs OM-… · Interior Design Service Agreement"; then a status chip you cannot tap (the status changes on the contract) with its since (sent · not opened · link expired · signed) and a chevron. The whole card opens the contract; holding selects. The ⋮ offers Open, Send a reminder (or Send the link again), Copy link, Mark as signed…, Stop the signing link, Change status ›, Share PDF, Archive, Delete. The to-do chips keep their words. The lead's tab shows the same cards with the title first.</t>
        </is>
      </c>
      <c r="H549" s="12" t="inlineStr">
        <is>
          <t>Different from 1.0: the client leads the card; the status is read-only</t>
        </is>
      </c>
      <c r="I549" s="11" t="inlineStr">
        <is>
          <t>Dane</t>
        </is>
      </c>
      <c r="J549" s="15" t="n"/>
      <c r="K549" s="15" t="n"/>
      <c r="L549" s="15" t="n"/>
      <c r="M549" s="16" t="n"/>
      <c r="N549" s="17" t="n"/>
      <c r="O549" s="17" t="n"/>
      <c r="P549" s="15" t="n"/>
    </row>
    <row r="550">
      <c r="A550" s="11" t="n">
        <v>27</v>
      </c>
      <c r="B550" s="11" t="inlineStr">
        <is>
          <t>27.11</t>
        </is>
      </c>
      <c r="C550" s="12" t="inlineStr">
        <is>
          <t>The lists on your phone</t>
        </is>
      </c>
      <c r="D550" s="12" t="inlineStr">
        <is>
          <t>Phone</t>
        </is>
      </c>
      <c r="E550" s="13" t="inlineStr">
        <is>
          <t>A new contract on your phone: who first</t>
        </is>
      </c>
      <c r="F550" s="14" t="inlineStr">
        <is>
          <t>1. Tools › Contracts › "+"
2. Pick a lead under "Who is it for?"
3. Read the rows; tap "From a template"
4. Pick the agreement and tap "Use template"</t>
        </is>
      </c>
      <c r="G550" s="14" t="inlineStr">
        <is>
          <t>The first step asks who the contract is for, recent leads first with a search. Then rows: From the studio agreement, From a template, Import from file. From a template opens the templates as a list (the suggested one picked, one button named after the pick); the contract opens as the contract screen for that lead.</t>
        </is>
      </c>
      <c r="H550" s="12" t="inlineStr">
        <is>
          <t>Different from 1.0: the lead first, then the kind</t>
        </is>
      </c>
      <c r="I550" s="11" t="inlineStr">
        <is>
          <t>Dane</t>
        </is>
      </c>
      <c r="J550" s="15" t="n"/>
      <c r="K550" s="15" t="n"/>
      <c r="L550" s="15" t="n"/>
      <c r="M550" s="16" t="n"/>
      <c r="N550" s="17" t="n"/>
      <c r="O550" s="17" t="n"/>
      <c r="P550" s="15" t="n"/>
    </row>
    <row r="551">
      <c r="A551" s="11" t="n">
        <v>27</v>
      </c>
      <c r="B551" s="11" t="inlineStr">
        <is>
          <t>27.12</t>
        </is>
      </c>
      <c r="C551" s="12" t="inlineStr">
        <is>
          <t>Templates on your phone</t>
        </is>
      </c>
      <c r="D551" s="12" t="inlineStr">
        <is>
          <t>Phone</t>
        </is>
      </c>
      <c r="E551" s="13" t="inlineStr">
        <is>
          <t>A template is an outline you open one clause at a time</t>
        </is>
      </c>
      <c r="F551" s="14" t="inlineStr">
        <is>
          <t>1. More › Company › Templates › Contracts on the phone
2. Read the list; tap "Interior Design Service Agreement"
3. Tap clause 4 (Defects period), fix a word, tap Done
4. Open "Before the client signs"; tap a row's ⋮ back in the list</t>
        </is>
      </c>
      <c r="G551" s="14" t="inlineStr">
        <is>
          <t>The gallery is a list with Default and At handover on top: each row the name, "13 headings · used by 5 · edited 14 Aug" and a chevron. A template opens as a reading screen: a status row ("Default · used by 5 · fills 10 fields · client signs ✓") and the clauses as rows; a clause opens full screen to edit with the same one row of tools as a contract; the signing rules are switches in their own row. The row's ⋮ offers New contract from this template, Set as default, Use at handover, Rename, Move to folder, Duplicate, Delete.</t>
        </is>
      </c>
      <c r="H551" s="12" t="inlineStr">
        <is>
          <t>Different from 1.0: never a shrunk A4, never a 3,800px text box</t>
        </is>
      </c>
      <c r="I551" s="11" t="inlineStr">
        <is>
          <t>Dane</t>
        </is>
      </c>
      <c r="J551" s="15" t="n"/>
      <c r="K551" s="15" t="n"/>
      <c r="L551" s="15" t="n"/>
      <c r="M551" s="16" t="n"/>
      <c r="N551" s="17" t="n"/>
      <c r="O551" s="17" t="n"/>
      <c r="P551" s="15" t="n"/>
    </row>
    <row r="552">
      <c r="A552" s="11" t="n">
        <v>27</v>
      </c>
      <c r="B552" s="11" t="inlineStr">
        <is>
          <t>27.13</t>
        </is>
      </c>
      <c r="C552" s="12" t="inlineStr">
        <is>
          <t>The contract elsewhere</t>
        </is>
      </c>
      <c r="D552" s="12" t="inlineStr">
        <is>
          <t>Phone</t>
        </is>
      </c>
      <c r="E552" s="13" t="inlineStr">
        <is>
          <t>The contract inside the quote, the project and the Won step</t>
        </is>
      </c>
      <c r="F552" s="14" t="inlineStr">
        <is>
          <t>1. Tools › Quotes › Olivia's quote on the phone: read the hero
2. Projects › Ryan D’Souza's project › Overview: find "Documents"; open Money
3. Leads › a lead in Quote Sent › the stage pill › Won › "Attach client signed contract"</t>
        </is>
      </c>
      <c r="G552" s="14" t="inlineStr">
        <is>
          <t>The quote's hero has a row "Contract · Sent to Client ›" that opens the contract, and the Next line reads the contract's state. The project Overview has a Documents fold (the signed quote, the contract, each with its date and ↗); the To collect tile shows the contract total at a readable size. The Won step offers "Take a photo" (the camera) and "Choose a file": a photo of the signed paper is kept as the signed copy and the lead moves to Won.</t>
        </is>
      </c>
      <c r="H552" s="12" t="inlineStr">
        <is>
          <t>Different from 1.0: a phone's camera signs the lead off on site</t>
        </is>
      </c>
      <c r="I552" s="11" t="inlineStr">
        <is>
          <t>Dane</t>
        </is>
      </c>
      <c r="J552" s="15" t="n"/>
      <c r="K552" s="15" t="n"/>
      <c r="L552" s="15" t="n"/>
      <c r="M552" s="16" t="n"/>
      <c r="N552" s="17" t="n"/>
      <c r="O552" s="17" t="n"/>
      <c r="P552" s="15" t="n"/>
    </row>
    <row r="553">
      <c r="A553" s="11" t="n">
        <v>27</v>
      </c>
      <c r="B553" s="11" t="inlineStr">
        <is>
          <t>27.14</t>
        </is>
      </c>
      <c r="C553" s="12" t="inlineStr">
        <is>
          <t>On a tablet</t>
        </is>
      </c>
      <c r="D553" s="12" t="inlineStr">
        <is>
          <t>Phone</t>
        </is>
      </c>
      <c r="E553" s="13" t="inlineStr">
        <is>
          <t>A tablet held upright follows the phone; held sideways it holds the list beside the section</t>
        </is>
      </c>
      <c r="F553" s="14" t="inlineStr">
        <is>
          <t>1. On a tablet upright (768), open a contract and Edit
2. Turn it sideways (1024): Edit › Details; then Document; tap ≡
3. Tools › Contracts sideways: read the table's columns</t>
        </is>
      </c>
      <c r="G553" s="14" t="inlineStr">
        <is>
          <t>Upright: the contract screen in a wide column, the list and the Document screen full width, the + ▾ and Text ▾ as sheets. Sideways: the section list is a 300 pane beside the open section; Document is full width with the Outline as a pane (never a drawer over the paper); Add a signature field is a centred dialog. The list is a table with Title, Lead, Status and Sent, Title and ⋮ frozen, the title opening the contract; Column settings adds the rest, remembered for the tablet.</t>
        </is>
      </c>
      <c r="H553" s="12" t="inlineStr">
        <is>
          <t>Different from 1.0: a default set of columns on a tablet</t>
        </is>
      </c>
      <c r="I553" s="11" t="inlineStr">
        <is>
          <t>Dane</t>
        </is>
      </c>
      <c r="J553" s="15" t="n"/>
      <c r="K553" s="15" t="n"/>
      <c r="L553" s="15" t="n"/>
      <c r="M553" s="16" t="n"/>
      <c r="N553" s="17" t="n"/>
      <c r="O553" s="17" t="n"/>
      <c r="P553" s="15" t="n"/>
    </row>
    <row r="554">
      <c r="A554" s="11" t="n">
        <v>27</v>
      </c>
      <c r="B554" s="11" t="inlineStr">
        <is>
          <t>27.15</t>
        </is>
      </c>
      <c r="C554" s="12" t="inlineStr">
        <is>
          <t>The desktop</t>
        </is>
      </c>
      <c r="D554" s="12" t="inlineStr">
        <is>
          <t>Contracts</t>
        </is>
      </c>
      <c r="E554" s="13" t="inlineStr">
        <is>
          <t>Nothing changed on the desktop</t>
        </is>
      </c>
      <c r="F554" s="14" t="inlineStr">
        <is>
          <t>1. On the laptop at full width, open Tools › Contracts, a contract, its Preview, a template and a signing link</t>
        </is>
      </c>
      <c r="G554" s="14" t="inlineStr">
        <is>
          <t>The list, the editor (the meta row, the tool bar, the paper, eSignatures as a drawer, Insert at the caret), the Preview, the template editor and the client's signing page are as they were in chapter 8 — only the dead-link notices now offer "Message Demo Studio Pte Ltd", and the gate rows toggle on their words too.</t>
        </is>
      </c>
      <c r="H554" s="12" t="inlineStr">
        <is>
          <t>Same as 1.0</t>
        </is>
      </c>
      <c r="I554" s="11" t="inlineStr">
        <is>
          <t>Dane</t>
        </is>
      </c>
      <c r="J554" s="15" t="n"/>
      <c r="K554" s="15" t="n"/>
      <c r="L554" s="15" t="n"/>
      <c r="M554" s="16" t="n"/>
      <c r="N554" s="17" t="n"/>
      <c r="O554" s="17" t="n"/>
      <c r="P554" s="15" t="n"/>
    </row>
    <row r="555" ht="22" customHeight="1">
      <c r="A555" s="9" t="inlineStr">
        <is>
          <t>Chapter 28 · Leads on the move — A lead on a phone and a tablet: the listing says who to call now, a lead keeps its page and tab strip, a call is logged in the log sheet, the Move stage window one step at a time, Won as a checklist, On Hold and Lost as one sheet, the tabs’ contents as cards.</t>
        </is>
      </c>
      <c r="M555" s="10" t="n"/>
    </row>
    <row r="556">
      <c r="A556" s="11" t="n">
        <v>28</v>
      </c>
      <c r="B556" s="11" t="inlineStr">
        <is>
          <t>28.01</t>
        </is>
      </c>
      <c r="C556" s="12" t="inlineStr">
        <is>
          <t>The leads on your phone</t>
        </is>
      </c>
      <c r="D556" s="12" t="inlineStr">
        <is>
          <t>Phone</t>
        </is>
      </c>
      <c r="E556" s="13" t="inlineStr">
        <is>
          <t>The listing on a phone says who to call now</t>
        </is>
      </c>
      <c r="F556" s="14" t="inlineStr">
        <is>
          <t>1. On your phone (the Network address from chapter 12), tap "Leads"
2. Look at Chloe Tan's card, then Farah Ahmad's
3. Tap "n to call today" at the top</t>
        </is>
      </c>
      <c r="G556" s="14" t="inlineStr">
        <is>
          <t>Each card carries a "Last" line (how and when the client was last reached) and a "Next" line (the next follow-up). Chloe Tan, whom nobody has opened yet, has a coloured band and a "New" tag. Farah Ahmad's Next line is red and says how many days late. A WhatsApp button sits beside each number, and the stage pill is at the left of the card's foot, clear of the Maison AI button. "n to call today" narrows the list to leads with a follow-up due today or late, and the pill names it; going into a lead and back keeps it.</t>
        </is>
      </c>
      <c r="H556" s="12" t="inlineStr">
        <is>
          <t>Different from 1.0: the card says when you last spoke and what comes next</t>
        </is>
      </c>
      <c r="I556" s="11" t="inlineStr">
        <is>
          <t>Dane</t>
        </is>
      </c>
      <c r="J556" s="15" t="n"/>
      <c r="K556" s="15" t="n"/>
      <c r="L556" s="15" t="n"/>
      <c r="M556" s="16" t="n"/>
      <c r="N556" s="17" t="n"/>
      <c r="O556" s="17" t="n"/>
      <c r="P556" s="15" t="n"/>
    </row>
    <row r="557">
      <c r="A557" s="11" t="n">
        <v>28</v>
      </c>
      <c r="B557" s="11" t="inlineStr">
        <is>
          <t>28.02</t>
        </is>
      </c>
      <c r="C557" s="12" t="inlineStr">
        <is>
          <t>The leads on your phone</t>
        </is>
      </c>
      <c r="D557" s="12" t="inlineStr">
        <is>
          <t>Phone</t>
        </is>
      </c>
      <c r="E557" s="13" t="inlineStr">
        <is>
          <t>Move a lead nobody owns from its card</t>
        </is>
      </c>
      <c r="F557" s="14" t="inlineStr">
        <is>
          <t>1. On the listing, tap Olivia Martinez's stage pill
2. Read the first row, then tap "Assign"
3. Tick a member and tap "Assign"</t>
        </is>
      </c>
      <c r="G557" s="14" t="inlineStr">
        <is>
          <t>The sheet names Olivia. Its first row is the next move, "Move to Contacted", and it says a member must be assigned first, with "Assign" beside it. After you assign someone, the Move stage window opens at Contacted, so the move carries on where you were. Close it without saving.</t>
        </is>
      </c>
      <c r="H557" s="12" t="inlineStr"/>
      <c r="I557" s="11" t="inlineStr">
        <is>
          <t>Dane</t>
        </is>
      </c>
      <c r="J557" s="15" t="n"/>
      <c r="K557" s="15" t="n"/>
      <c r="L557" s="15" t="n"/>
      <c r="M557" s="16" t="n"/>
      <c r="N557" s="17" t="n"/>
      <c r="O557" s="17" t="n"/>
      <c r="P557" s="15" t="n"/>
    </row>
    <row r="558">
      <c r="A558" s="11" t="n">
        <v>28</v>
      </c>
      <c r="B558" s="11" t="inlineStr">
        <is>
          <t>28.03</t>
        </is>
      </c>
      <c r="C558" s="12" t="inlineStr">
        <is>
          <t>The leads on your phone</t>
        </is>
      </c>
      <c r="D558" s="12" t="inlineStr">
        <is>
          <t>Phone</t>
        </is>
      </c>
      <c r="E558" s="13" t="inlineStr">
        <is>
          <t>Add a lead by pasting the client's WhatsApp message</t>
        </is>
      </c>
      <c r="F558" s="14" t="inlineStr">
        <is>
          <t>1. On the listing, tap + › "Create New Lead"
2. Copy this text and tap "Paste the WhatsApp message": Hi, I'm Rachel Ong, we just got our keys at Blk 123 Bedok North Ave 1 #08-12, my number is 9334 1209
3. Tap ✕, then "Keep editing"; then tap "Add lead"</t>
        </is>
      </c>
      <c r="G558" s="14" t="inlineStr">
        <is>
          <t>The form starts with just Name and Mobile; everything else sits under "More details". Pasting fills the name, the mobile (shown as "9334 1209") and the address. ✕ asks before throwing away what you typed. "Add lead" opens Rachel's new lead.</t>
        </is>
      </c>
      <c r="H558" s="12" t="inlineStr">
        <is>
          <t>Different from 1.0: a new lead is a name and a mobile, and a pasted chat fills the rest</t>
        </is>
      </c>
      <c r="I558" s="11" t="inlineStr">
        <is>
          <t>Dane</t>
        </is>
      </c>
      <c r="J558" s="15" t="n"/>
      <c r="K558" s="15" t="n"/>
      <c r="L558" s="15" t="n"/>
      <c r="M558" s="16" t="n"/>
      <c r="N558" s="17" t="n"/>
      <c r="O558" s="17" t="n"/>
      <c r="P558" s="15" t="n"/>
    </row>
    <row r="559">
      <c r="A559" s="11" t="n">
        <v>28</v>
      </c>
      <c r="B559" s="11" t="inlineStr">
        <is>
          <t>28.04</t>
        </is>
      </c>
      <c r="C559" s="12" t="inlineStr">
        <is>
          <t>A lead on your phone</t>
        </is>
      </c>
      <c r="D559" s="12" t="inlineStr">
        <is>
          <t>Phone</t>
        </is>
      </c>
      <c r="E559" s="13" t="inlineStr">
        <is>
          <t>A lead on a phone is one page with its tabs</t>
        </is>
      </c>
      <c r="F559" s="14" t="inlineStr">
        <is>
          <t>1. On the listing, tap Farah Ahmad
2. Scroll the tab strip under the header and tap "Tasks", then "Overview"</t>
        </is>
      </c>
      <c r="G559" s="14" t="inlineStr">
        <is>
          <t>Farah opens on her page as before: the header with her name, "Stage: Contacted" and "Move to Met", the tab strip under it, then the Overview's cards. Tapping a tab changes the page below the strip in place; there is no extra screen to go back from. Nothing scrolls sideways.</t>
        </is>
      </c>
      <c r="H559" s="12" t="inlineStr"/>
      <c r="I559" s="11" t="inlineStr">
        <is>
          <t>Dane</t>
        </is>
      </c>
      <c r="J559" s="15" t="n"/>
      <c r="K559" s="15" t="n"/>
      <c r="L559" s="15" t="n"/>
      <c r="M559" s="16" t="n"/>
      <c r="N559" s="17" t="n"/>
      <c r="O559" s="17" t="n"/>
      <c r="P559" s="15" t="n"/>
    </row>
    <row r="560">
      <c r="A560" s="11" t="n">
        <v>28</v>
      </c>
      <c r="B560" s="11" t="inlineStr">
        <is>
          <t>28.05</t>
        </is>
      </c>
      <c r="C560" s="12" t="inlineStr">
        <is>
          <t>A call from your phone</t>
        </is>
      </c>
      <c r="D560" s="12" t="inlineStr">
        <is>
          <t>Phone</t>
        </is>
      </c>
      <c r="E560" s="13" t="inlineStr">
        <is>
          <t>Log a call in the log sheet</t>
        </is>
      </c>
      <c r="F560" s="14" t="inlineStr">
        <is>
          <t>1. Open Kelvin Goh (New) › "Notes &amp; Logs"
2. Tap "New" › "Contact Log"
3. Tap "Callback requested", tap "Tomorrow 10:00", tap "Save log"</t>
        </is>
      </c>
      <c r="G560" s="14" t="inlineStr">
        <is>
          <t>The log opens as a sheet with Call already chosen and the time set to now; the outcomes are chips and "Callback requested" shows the call-back presets. Saving logs the call and moves Kelvin to Contacted in the same step; the snackbar says so and names the call-back in Tasks. The header's button now reads "Move to Met".</t>
        </is>
      </c>
      <c r="H560" s="12" t="inlineStr">
        <is>
          <t>Different from 1.0: logging a call is one sheet, and on a new lead it also moves the lead to Contacted</t>
        </is>
      </c>
      <c r="I560" s="11" t="inlineStr">
        <is>
          <t>Dane</t>
        </is>
      </c>
      <c r="J560" s="15" t="n"/>
      <c r="K560" s="15" t="n"/>
      <c r="L560" s="15" t="n"/>
      <c r="M560" s="16" t="n"/>
      <c r="N560" s="17" t="n"/>
      <c r="O560" s="17" t="n"/>
      <c r="P560" s="15" t="n"/>
    </row>
    <row r="561">
      <c r="A561" s="11" t="n">
        <v>28</v>
      </c>
      <c r="B561" s="11" t="inlineStr">
        <is>
          <t>28.06</t>
        </is>
      </c>
      <c r="C561" s="12" t="inlineStr">
        <is>
          <t>A call from your phone</t>
        </is>
      </c>
      <c r="D561" s="12" t="inlineStr">
        <is>
          <t>Phone</t>
        </is>
      </c>
      <c r="E561" s="13" t="inlineStr">
        <is>
          <t>Log a call on a lead nobody owns</t>
        </is>
      </c>
      <c r="F561" s="14" t="inlineStr">
        <is>
          <t>1. Open Olivia Martinez › "Notes &amp; Logs"
2. Tap "New" › "Contact Log"
3. Pick the suggested member, choose "Connected" and save</t>
        </is>
      </c>
      <c r="G561" s="14" t="inlineStr">
        <is>
          <t>Before anything else the sheet asks "Who owns Olivia?" with a suggested member. Picking one assigns them and the call is logged and moves Olivia to Contacted. If you pick nobody, the call is logged and Olivia stays in New.</t>
        </is>
      </c>
      <c r="H561" s="12" t="inlineStr"/>
      <c r="I561" s="11" t="inlineStr">
        <is>
          <t>Dane</t>
        </is>
      </c>
      <c r="J561" s="15" t="n"/>
      <c r="K561" s="15" t="n"/>
      <c r="L561" s="15" t="n"/>
      <c r="M561" s="16" t="n"/>
      <c r="N561" s="17" t="n"/>
      <c r="O561" s="17" t="n"/>
      <c r="P561" s="15" t="n"/>
    </row>
    <row r="562">
      <c r="A562" s="11" t="n">
        <v>28</v>
      </c>
      <c r="B562" s="11" t="inlineStr">
        <is>
          <t>28.07</t>
        </is>
      </c>
      <c r="C562" s="12" t="inlineStr">
        <is>
          <t>A visit from your phone</t>
        </is>
      </c>
      <c r="D562" s="12" t="inlineStr">
        <is>
          <t>Phone</t>
        </is>
      </c>
      <c r="E562" s="13" t="inlineStr">
        <is>
          <t>Log a site visit with a photo and move to Met</t>
        </is>
      </c>
      <c r="F562" s="14" t="inlineStr">
        <is>
          <t>1. Open Farah Ahmad (Contacted) › "Notes &amp; Logs" › "New" › "Contact Log"
2. Tap the "Site visit" chip
3. Tap "Take a photo" (or "Choose a file"), then "Save &amp; move to Met"</t>
        </is>
      </c>
      <c r="G562" s="14" t="inlineStr">
        <is>
          <t>With Site visit chosen the button reads "Save &amp; move to Met"; a photo is optional. Saving logs the visit and moves Farah to Met.</t>
        </is>
      </c>
      <c r="H562" s="12" t="inlineStr"/>
      <c r="I562" s="11" t="inlineStr">
        <is>
          <t>Dane</t>
        </is>
      </c>
      <c r="J562" s="15" t="n"/>
      <c r="K562" s="15" t="n"/>
      <c r="L562" s="15" t="n"/>
      <c r="M562" s="16" t="n"/>
      <c r="N562" s="17" t="n"/>
      <c r="O562" s="17" t="n"/>
      <c r="P562" s="15" t="n"/>
    </row>
    <row r="563">
      <c r="A563" s="11" t="n">
        <v>28</v>
      </c>
      <c r="B563" s="11" t="inlineStr">
        <is>
          <t>28.08</t>
        </is>
      </c>
      <c r="C563" s="12" t="inlineStr">
        <is>
          <t>Moving a stage on your phone</t>
        </is>
      </c>
      <c r="D563" s="12" t="inlineStr">
        <is>
          <t>Phone</t>
        </is>
      </c>
      <c r="E563" s="13" t="inlineStr">
        <is>
          <t>The Move stage window is one step at a time</t>
        </is>
      </c>
      <c r="F563" s="14" t="inlineStr">
        <is>
          <t>1. Open Jasmine (Contacted) and tap "Move to Met" in the header
2. Tap "Save &amp; move" with nothing filled in
3. Fill the fields (pick Showroom) and tap "Save &amp; move"</t>
        </is>
      </c>
      <c r="G563" s="14" t="inlineStr">
        <is>
          <t>The window is one screen: a bar "Move to Met" over "Jasmine … · step 3 of 5", only this step's fields, and one "Save &amp; move" at the bottom. Saving with nothing filled keeps the window open and says what is missing at the foot; nothing typed is lost. Filled in, the lead moves to Met.</t>
        </is>
      </c>
      <c r="H563" s="12" t="inlineStr"/>
      <c r="I563" s="11" t="inlineStr">
        <is>
          <t>Dane</t>
        </is>
      </c>
      <c r="J563" s="15" t="n"/>
      <c r="K563" s="15" t="n"/>
      <c r="L563" s="15" t="n"/>
      <c r="M563" s="16" t="n"/>
      <c r="N563" s="17" t="n"/>
      <c r="O563" s="17" t="n"/>
      <c r="P563" s="15" t="n"/>
    </row>
    <row r="564">
      <c r="A564" s="11" t="n">
        <v>28</v>
      </c>
      <c r="B564" s="11" t="inlineStr">
        <is>
          <t>28.09</t>
        </is>
      </c>
      <c r="C564" s="12" t="inlineStr">
        <is>
          <t>Moving a stage on your phone</t>
        </is>
      </c>
      <c r="D564" s="12" t="inlineStr">
        <is>
          <t>Phone</t>
        </is>
      </c>
      <c r="E564" s="13" t="inlineStr">
        <is>
          <t>Win a lead with a photo of the signed quote</t>
        </is>
      </c>
      <c r="F564" s="14" t="inlineStr">
        <is>
          <t>1. Open Vivien and tap "Convert to Project" in the header
2. Under Signed quote open the "Upload" tab and tap "Take a photo", type the amount
3. Check the payment split, choose a project type and tap "Create project"</t>
        </is>
      </c>
      <c r="G564" s="14" t="inlineStr">
        <is>
          <t>Won is a checklist: Signed quote, Signed contract, Payments and Project type. The photo is kept as the signed quote. The payments show the studio's usual 10 · 30 · 30 · 30, not 0%. "Create project" makes the project and opens it.</t>
        </is>
      </c>
      <c r="H564" s="12" t="inlineStr">
        <is>
          <t>Different from 1.0: on a phone, Won is a short checklist and a photo of the paper counts as the signed quote</t>
        </is>
      </c>
      <c r="I564" s="11" t="inlineStr">
        <is>
          <t>Dane</t>
        </is>
      </c>
      <c r="J564" s="15" t="n"/>
      <c r="K564" s="15" t="n"/>
      <c r="L564" s="15" t="n"/>
      <c r="M564" s="16" t="n"/>
      <c r="N564" s="17" t="n"/>
      <c r="O564" s="17" t="n"/>
      <c r="P564" s="15" t="n"/>
    </row>
    <row r="565">
      <c r="A565" s="11" t="n">
        <v>28</v>
      </c>
      <c r="B565" s="11" t="inlineStr">
        <is>
          <t>28.10</t>
        </is>
      </c>
      <c r="C565" s="12" t="inlineStr">
        <is>
          <t>Moving a stage on your phone</t>
        </is>
      </c>
      <c r="D565" s="12" t="inlineStr">
        <is>
          <t>Phone</t>
        </is>
      </c>
      <c r="E565" s="13" t="inlineStr">
        <is>
          <t>Put a lead on hold and undo it</t>
        </is>
      </c>
      <c r="F565" s="14" t="inlineStr">
        <is>
          <t>1. Open Priya, tap "Stage: Contacted" › "On Hold"
2. Pick a reason and "3 months", tap "Save &amp; move"
3. Tap "Undo" in the snackbar</t>
        </is>
      </c>
      <c r="G565" s="14" t="inlineStr">
        <is>
          <t>On Hold is one sheet: the studio's reasons as chips, the duration chips, one button. After saving, the snackbar offers Undo, and Undo puts Priya back where she was. Only one snackbar shows at a time.</t>
        </is>
      </c>
      <c r="H565" s="12" t="inlineStr"/>
      <c r="I565" s="11" t="inlineStr">
        <is>
          <t>Dane</t>
        </is>
      </c>
      <c r="J565" s="15" t="n"/>
      <c r="K565" s="15" t="n"/>
      <c r="L565" s="15" t="n"/>
      <c r="M565" s="16" t="n"/>
      <c r="N565" s="17" t="n"/>
      <c r="O565" s="17" t="n"/>
      <c r="P565" s="15" t="n"/>
    </row>
    <row r="566">
      <c r="A566" s="11" t="n">
        <v>28</v>
      </c>
      <c r="B566" s="11" t="inlineStr">
        <is>
          <t>28.11</t>
        </is>
      </c>
      <c r="C566" s="12" t="inlineStr">
        <is>
          <t>The lead's tabs on your phone</t>
        </is>
      </c>
      <c r="D566" s="12" t="inlineStr">
        <is>
          <t>Phone</t>
        </is>
      </c>
      <c r="E566" s="13" t="inlineStr">
        <is>
          <t>Tasks as cards</t>
        </is>
      </c>
      <c r="F566" s="14" t="inlineStr">
        <is>
          <t>1. Open Olivia Martinez › the "Tasks" tab
2. Tick a task's ring, then tap "Undo"
3. Hold a task, then tap a second one
4. Type a new task in the bar at the bottom, tap "Tomorrow 10:00" and add it</t>
        </is>
      </c>
      <c r="G566" s="14" t="inlineStr">
        <is>
          <t>Each task is a card with a round tick, its whole name and a due chip (late ones in red). Holding a card selects it, with no checkboxes, and the bar offers "Mark done", "Assign" and "More…". The quick add at the bottom takes a title, a due preset and who it is for. The same cards are on Tasks in the rail and a project's Tasks.</t>
        </is>
      </c>
      <c r="H566" s="12" t="inlineStr"/>
      <c r="I566" s="11" t="inlineStr">
        <is>
          <t>Dane</t>
        </is>
      </c>
      <c r="J566" s="15" t="n"/>
      <c r="K566" s="15" t="n"/>
      <c r="L566" s="15" t="n"/>
      <c r="M566" s="16" t="n"/>
      <c r="N566" s="17" t="n"/>
      <c r="O566" s="17" t="n"/>
      <c r="P566" s="15" t="n"/>
    </row>
    <row r="567">
      <c r="A567" s="11" t="n">
        <v>28</v>
      </c>
      <c r="B567" s="11" t="inlineStr">
        <is>
          <t>28.12</t>
        </is>
      </c>
      <c r="C567" s="12" t="inlineStr">
        <is>
          <t>The lead's tabs on your phone</t>
        </is>
      </c>
      <c r="D567" s="12" t="inlineStr">
        <is>
          <t>Phone</t>
        </is>
      </c>
      <c r="E567" s="13" t="inlineStr">
        <is>
          <t>Files: take a photo straight into a folder</t>
        </is>
      </c>
      <c r="F567" s="14" t="inlineStr">
        <is>
          <t>1. Open Olivia Martinez › the "Files" tab, open the Kitchen folder
2. Tap "Take a photo", take one
3. Open a picture, pinch to zoom, double-tap, swipe to the next</t>
        </is>
      </c>
      <c r="G567" s="14" t="inlineStr">
        <is>
          <t>The toolbar is one row: "Take a photo", search and ⋮. The camera opens at once; the photo lands in the open folder and the snackbar offers "Take another". The viewer pinches, pans, double-taps and swipes to the next file; Information opens as a short sheet.</t>
        </is>
      </c>
      <c r="H567" s="12" t="inlineStr"/>
      <c r="I567" s="11" t="inlineStr">
        <is>
          <t>Dane</t>
        </is>
      </c>
      <c r="J567" s="15" t="n"/>
      <c r="K567" s="15" t="n"/>
      <c r="L567" s="15" t="n"/>
      <c r="M567" s="16" t="n"/>
      <c r="N567" s="17" t="n"/>
      <c r="O567" s="17" t="n"/>
      <c r="P567" s="15" t="n"/>
    </row>
    <row r="568">
      <c r="A568" s="11" t="n">
        <v>28</v>
      </c>
      <c r="B568" s="11" t="inlineStr">
        <is>
          <t>28.13</t>
        </is>
      </c>
      <c r="C568" s="12" t="inlineStr">
        <is>
          <t>A lead on a tablet</t>
        </is>
      </c>
      <c r="D568" s="12" t="inlineStr">
        <is>
          <t>Tablet</t>
        </is>
      </c>
      <c r="E568" s="13" t="inlineStr">
        <is>
          <t>A lead on a tablet is the same page</t>
        </is>
      </c>
      <c r="F568" s="14" t="inlineStr">
        <is>
          <t>1. On a tablet, open Farah Ahmad, held upright and then sideways
2. Scroll to the end of the Overview</t>
        </is>
      </c>
      <c r="G568" s="14" t="inlineStr">
        <is>
          <t>The page is the lead's page with its header, tab strip and cards at both orientations; tabs change in place. On a touch tablet the Maison AI button stays out of the way while there is page below and shows at the end.</t>
        </is>
      </c>
      <c r="H568" s="12" t="inlineStr"/>
      <c r="I568" s="11" t="inlineStr">
        <is>
          <t>Dane</t>
        </is>
      </c>
      <c r="J568" s="15" t="n"/>
      <c r="K568" s="15" t="n"/>
      <c r="L568" s="15" t="n"/>
      <c r="M568" s="16" t="n"/>
      <c r="N568" s="17" t="n"/>
      <c r="O568" s="17" t="n"/>
      <c r="P568" s="15" t="n"/>
    </row>
    <row r="569">
      <c r="A569" s="11" t="n">
        <v>28</v>
      </c>
      <c r="B569" s="11" t="inlineStr">
        <is>
          <t>28.14</t>
        </is>
      </c>
      <c r="C569" s="12" t="inlineStr">
        <is>
          <t>The leads on a tablet</t>
        </is>
      </c>
      <c r="D569" s="12" t="inlineStr">
        <is>
          <t>Tablet</t>
        </is>
      </c>
      <c r="E569" s="13" t="inlineStr">
        <is>
          <t>The tablet's listing table</t>
        </is>
      </c>
      <c r="F569" s="14" t="inlineStr">
        <is>
          <t>1. On a tablet, open "Leads" in the table view
2. Open Column settings, hide a column and close it
3. Switch to the kanban and open a card's ⋮</t>
        </is>
      </c>
      <c r="G569" s="14" t="inlineStr">
        <is>
          <t>The table opens on Name · Stage · Last contact · Next follow-up · Members, with Edit and ⋮ held at the right edge. Column settings' handles are finger-sized, and what you change is kept for the tablet only. A kanban card carries its stage pill, and its ⋮ offers "Move to {next stage}" and "Move stage…".</t>
        </is>
      </c>
      <c r="H569" s="12" t="inlineStr"/>
      <c r="I569" s="11" t="inlineStr">
        <is>
          <t>Dane</t>
        </is>
      </c>
      <c r="J569" s="15" t="n"/>
      <c r="K569" s="15" t="n"/>
      <c r="L569" s="15" t="n"/>
      <c r="M569" s="16" t="n"/>
      <c r="N569" s="17" t="n"/>
      <c r="O569" s="17" t="n"/>
      <c r="P569" s="15" t="n"/>
    </row>
    <row r="570">
      <c r="A570" s="11" t="n">
        <v>28</v>
      </c>
      <c r="B570" s="11" t="inlineStr">
        <is>
          <t>28.15</t>
        </is>
      </c>
      <c r="C570" s="12" t="inlineStr">
        <is>
          <t>A call from your phone</t>
        </is>
      </c>
      <c r="D570" s="12" t="inlineStr">
        <is>
          <t>Phone</t>
        </is>
      </c>
      <c r="E570" s="13" t="inlineStr">
        <is>
          <t>A Designer logs a call on a lead nobody owns</t>
        </is>
      </c>
      <c r="F570" s="14" t="inlineStr">
        <is>
          <t>1. Switch to Germaine (Designer) with View as
2. Open a New lead nobody owns › "Notes &amp; Logs" › "New" › "Contact Log"</t>
        </is>
      </c>
      <c r="G570" s="14" t="inlineStr">
        <is>
          <t>Germaine sees the log sheet without the owner row; its line says the lead stays in New until someone owns it, and saving logs the call without moving the lead.</t>
        </is>
      </c>
      <c r="H570" s="12" t="inlineStr"/>
      <c r="I570" s="18" t="inlineStr">
        <is>
          <t>Germaine</t>
        </is>
      </c>
      <c r="J570" s="15" t="n"/>
      <c r="K570" s="15" t="n"/>
      <c r="L570" s="15" t="n"/>
      <c r="M570" s="16" t="n"/>
      <c r="N570" s="17" t="n"/>
      <c r="O570" s="17" t="n"/>
      <c r="P570" s="15" t="n"/>
    </row>
  </sheetData>
  <mergeCells count="29">
    <mergeCell ref="A331:P331"/>
    <mergeCell ref="A269:P269"/>
    <mergeCell ref="A234:P234"/>
    <mergeCell ref="A374:P374"/>
    <mergeCell ref="A483:P483"/>
    <mergeCell ref="A514:P514"/>
    <mergeCell ref="A4:P4"/>
    <mergeCell ref="A494:P494"/>
    <mergeCell ref="A392:P392"/>
    <mergeCell ref="A348:P348"/>
    <mergeCell ref="A412:P412"/>
    <mergeCell ref="A437:P437"/>
    <mergeCell ref="A142:P142"/>
    <mergeCell ref="A539:P539"/>
    <mergeCell ref="A555:P555"/>
    <mergeCell ref="A462:P462"/>
    <mergeCell ref="A207:P207"/>
    <mergeCell ref="A250:P250"/>
    <mergeCell ref="A94:P94"/>
    <mergeCell ref="A359:P359"/>
    <mergeCell ref="A16:P16"/>
    <mergeCell ref="A501:P501"/>
    <mergeCell ref="A283:P283"/>
    <mergeCell ref="A522:P522"/>
    <mergeCell ref="A118:P118"/>
    <mergeCell ref="A192:P192"/>
    <mergeCell ref="A55:P55"/>
    <mergeCell ref="A297:P297"/>
    <mergeCell ref="A2:P2"/>
  </mergeCells>
  <conditionalFormatting sqref="J4:J57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70">
    <cfRule type="expression" priority="6" dxfId="5">
      <formula>$O4="Fixed – please re-test"</formula>
    </cfRule>
  </conditionalFormatting>
  <dataValidations count="4">
    <dataValidation sqref="J4:J570" showDropDown="0" showInputMessage="0" showErrorMessage="1" allowBlank="1" errorTitle="Pick from the list" error="Pick one of the answers in the list." type="list">
      <formula1>='UAT · Lists'!$A$2:$A$6</formula1>
    </dataValidation>
    <dataValidation sqref="O4:O570" showDropDown="0" showInputMessage="0" showErrorMessage="1" allowBlank="1" errorTitle="Pick from the list" error="Pick one of the answers in the list." type="list">
      <formula1>='UAT · Lists'!$B$2:$B$6</formula1>
    </dataValidation>
    <dataValidation sqref="P4:P570" showDropDown="0" showInputMessage="0" showErrorMessage="1" allowBlank="1" errorTitle="Pick from the list" error="Pick one of the answers in the list." type="list">
      <formula1>='UAT · Lists'!$C$2:$C$3</formula1>
    </dataValidation>
    <dataValidation sqref="M4:M570" showDropDown="0" showInputMessage="0" showErrorMessage="0" allowBlank="1" type="date"/>
  </dataValidations>
  <pageMargins left="0.75" right="0.75" top="1" bottom="1" header="0.5" footer="0.5"/>
</worksheet>
</file>

<file path=xl/worksheets/sheet4.xml><?xml version="1.0" encoding="utf-8"?>
<worksheet xmlns="http://schemas.openxmlformats.org/spreadsheetml/2006/main">
  <sheetPr>
    <tabColor rgb="005500FF"/>
    <outlinePr summaryBelow="1" summaryRight="1"/>
    <pageSetUpPr/>
  </sheetPr>
  <dimension ref="A1:P57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Swati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page reloads on the Dashboard, the studio’s front door ("Good morning, Dane." — or afternoon, evening).</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Messages,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(31)"; unopened new leads (Chloe Tan, Rahul Menon)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(31)" chip
2. Read the stage list
3. Click "Manage Stages", read the "Lead stages" card, then go back</t>
        </is>
      </c>
      <c r="G9" s="14" t="inlineStr">
        <is>
          <t>Each stage is listed with its count under Active and Inactive; "Manage Stages" opens Settings › Lead management on "Lead stages" — each stage, what it keeps on the lead and its "Leads now", then "How leads move".</t>
        </is>
      </c>
      <c r="H9" s="12" t="inlineStr">
        <is>
          <t>Different from 1.0: stages are fixed; a studio sets what each asks</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Materials, Plan &amp; AI credits, Client portal. "Operations": Finance (with "n to approve"), Reports,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and what is "Due", each newest first, e.g. "New lead: Chloe Tan";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Three suggestions about your leads — "Draft intro WhatsApp for …", "Summarise this week’s new leads" and "Which leads need follow-up today?" — sit above "Reset prototype to base"; the last answers "n leads to follow up today", a row per lead that opens it.</t>
        </is>
      </c>
      <c r="H13" s="12" t="inlineStr">
        <is>
          <t>Different from 1.0: answered by rule from your own leads</t>
        </is>
      </c>
      <c r="I13" s="11" t="inlineStr">
        <is>
          <t>Dane</t>
        </is>
      </c>
      <c r="J13" s="15" t="n"/>
      <c r="K13" s="15" t="n"/>
      <c r="L13" s="15" t="n"/>
      <c r="M13" s="16" t="n"/>
      <c r="N13" s="17" t="n"/>
      <c r="O13" s="17" t="n"/>
      <c r="P13" s="15" t="n"/>
    </row>
    <row r="14">
      <c r="A14" s="11" t="n">
        <v>1</v>
      </c>
      <c r="B14" s="11" t="inlineStr">
        <is>
          <t>1.10</t>
        </is>
      </c>
      <c r="C14" s="12" t="inlineStr">
        <is>
          <t>Signing in</t>
        </is>
      </c>
      <c r="D14" s="12" t="inlineStr">
        <is>
          <t>Shell</t>
        </is>
      </c>
      <c r="E14" s="13" t="inlineStr">
        <is>
          <t>Sign out, then sign back in</t>
        </is>
      </c>
      <c r="F14" s="14" t="inlineStr">
        <is>
          <t>1. Click "Demo Studio" at the bottom of the side navigation
2. Click "Sign out"
3. Open http://localhost:3000/leads
4. Type dane@demostudio.sg and click "Send me a code"
5. Type any six digits and click "Sign in"</t>
        </is>
      </c>
      <c r="G14" s="14" t="inlineStr">
        <is>
          <t>Sign out opens "Sign in to OpenMaison", saying "You’ve signed out."; Leads sends you back to sign-in; the code step says where the code went, that "Keep me signed in for 30 days" is ticked, and that no text or email is sent; any six digits bring you back to Leads as Dane — on this browser only: another browser that is signed in stays who it is.</t>
        </is>
      </c>
      <c r="H14" s="12" t="inlineStr">
        <is>
          <t>Same as 1.0 (a mobile number and a 6-digit code), with a work email as the other way in; demo only: no code is sent, any six digits work</t>
        </is>
      </c>
      <c r="I14" s="11" t="inlineStr">
        <is>
          <t>Dane</t>
        </is>
      </c>
      <c r="J14" s="15" t="n"/>
      <c r="K14" s="15" t="n"/>
      <c r="L14" s="15" t="n"/>
      <c r="M14" s="16" t="n"/>
      <c r="N14" s="17" t="n"/>
      <c r="O14" s="17" t="n"/>
      <c r="P14" s="15" t="n"/>
    </row>
    <row r="15">
      <c r="A15" s="11" t="n">
        <v>1</v>
      </c>
      <c r="B15" s="11" t="inlineStr">
        <is>
          <t>1.11</t>
        </is>
      </c>
      <c r="C15" s="12" t="inlineStr">
        <is>
          <t>Signing in</t>
        </is>
      </c>
      <c r="D15" s="12" t="inlineStr">
        <is>
          <t>Shell</t>
        </is>
      </c>
      <c r="E15" s="13" t="inlineStr">
        <is>
          <t>Start a new studio of your own, then go back to the demo</t>
        </is>
      </c>
      <c r="F15" s="14" t="inlineStr">
        <is>
          <t>1. Click "Demo Studio" at the bottom of the side navigation and click "Sign out"
2. On "Sign in to OpenMaison", click "Start your studio"
3. Keep "I run a studio" and click "Continue"
4. Type a studio name, your name and a mobile number that starts with 8 or 9 (not one in the demo), then click "Send me a code"
5. Type any six digits and click "Start my studio"
6. Click "Set up your studio" in the welcome
7. Click your studio at the bottom of the side navigation, then "Demo Studio" under "Studios · demo only"</t>
        </is>
      </c>
      <c r="G15" s="14" t="inlineStr">
        <is>
          <t>The new studio opens on its Dashboard with "Welcome, &lt;your name&gt;"; "Set up your studio" opens Settings › Roles &amp; access on "Set up your studio", "1 of 7 done" — Quote template is ticked, since on Free your quotes print with the studio’s default ("… your own templates come with Pro"); the side navigation shows your studio’s name and its first letter; Company › Plan &amp; AI credits shows Free with 180 AI credits. "Demo Studio" brings back the demo as Dane, and "Switched to Demo Studio" says so; your studio stays in the list until Maison AI › "Reset prototype to base", whose question then adds "— and the studio started here is removed".</t>
        </is>
      </c>
      <c r="H15" s="12" t="inlineStr">
        <is>
          <t>Different from 1.0: 1.0 had no way for a studio to sign itself up (OpenMaison staff made each one); demo only: no code is sent, and the new studio opens in a space of its own while the demo stays as it was</t>
        </is>
      </c>
      <c r="I15" s="11" t="inlineStr">
        <is>
          <t>Dane</t>
        </is>
      </c>
      <c r="J15" s="15" t="n"/>
      <c r="K15" s="15" t="n"/>
      <c r="L15" s="15" t="n"/>
      <c r="M15" s="16" t="n"/>
      <c r="N15" s="17" t="n"/>
      <c r="O15" s="17" t="n"/>
      <c r="P15" s="15" t="n"/>
    </row>
    <row r="16" ht="22" customHeight="1">
      <c r="A16" s="9" t="inlineStr">
        <is>
          <t>Chapter 2 · Set up your studio — Company details, your team and the studio’s rules.</t>
        </is>
      </c>
      <c r="M16" s="10" t="n"/>
    </row>
    <row r="17">
      <c r="A17" s="11" t="n">
        <v>2</v>
      </c>
      <c r="B17" s="11" t="inlineStr">
        <is>
          <t>2.01</t>
        </is>
      </c>
      <c r="C17" s="12" t="inlineStr">
        <is>
          <t>Your company on paper</t>
        </is>
      </c>
      <c r="D17" s="12" t="inlineStr">
        <is>
          <t>Company</t>
        </is>
      </c>
      <c r="E17" s="13" t="inlineStr">
        <is>
          <t>Open your company's profile</t>
        </is>
      </c>
      <c r="F17" s="14" t="inlineStr">
        <is>
          <t>1. Click "Company" in the side navigation
2. Click "Profile"</t>
        </is>
      </c>
      <c r="G17" s="14" t="inlineStr">
        <is>
          <t>"Company details" shows Demo Studio Pte Ltd, its UEN and address; below come "Registrations &amp; accreditations", "Listed on Qanvast" and "Issuing entities &amp; bank details".</t>
        </is>
      </c>
      <c r="H17" s="12" t="inlineStr">
        <is>
          <t>Different from 1.0: company records live under Company, not Accounts</t>
        </is>
      </c>
      <c r="I17" s="11" t="inlineStr">
        <is>
          <t>Dane</t>
        </is>
      </c>
      <c r="J17" s="15" t="n"/>
      <c r="K17" s="15" t="n"/>
      <c r="L17" s="15" t="n"/>
      <c r="M17" s="16" t="n"/>
      <c r="N17" s="17" t="n"/>
      <c r="O17" s="17" t="n"/>
      <c r="P17" s="15" t="n"/>
    </row>
    <row r="18">
      <c r="A18" s="11" t="n">
        <v>2</v>
      </c>
      <c r="B18" s="11" t="inlineStr">
        <is>
          <t>2.02</t>
        </is>
      </c>
      <c r="C18" s="12" t="inlineStr">
        <is>
          <t>Your company on paper</t>
        </is>
      </c>
      <c r="D18" s="12" t="inlineStr">
        <is>
          <t>Company</t>
        </is>
      </c>
      <c r="E18" s="13" t="inlineStr">
        <is>
          <t>Add a tagline and your Instagram handle</t>
        </is>
      </c>
      <c r="F18" s="14" t="inlineStr">
        <is>
          <t>1. In "Tagline" type Homes that feel like you
2. Under "Social links", in "Instagram" type @demostudio.sg
3. Click "Save changes"</t>
        </is>
      </c>
      <c r="G18" s="14" t="inlineStr">
        <is>
          <t>A message says "Company details saved"; "Save changes" and "Discard" grey out until you change something again.</t>
        </is>
      </c>
      <c r="H18" s="12" t="inlineStr">
        <is>
          <t>Same as 1.0</t>
        </is>
      </c>
      <c r="I18" s="11" t="inlineStr">
        <is>
          <t>Dane</t>
        </is>
      </c>
      <c r="J18" s="15" t="n"/>
      <c r="K18" s="15" t="n"/>
      <c r="L18" s="15" t="n"/>
      <c r="M18" s="16" t="n"/>
      <c r="N18" s="17" t="n"/>
      <c r="O18" s="17" t="n"/>
      <c r="P18" s="15" t="n"/>
    </row>
    <row r="19">
      <c r="A19" s="11" t="n">
        <v>2</v>
      </c>
      <c r="B19" s="11" t="inlineStr">
        <is>
          <t>2.03</t>
        </is>
      </c>
      <c r="C19" s="12" t="inlineStr">
        <is>
          <t>Your company on paper</t>
        </is>
      </c>
      <c r="D19" s="12" t="inlineStr">
        <is>
          <t>Company</t>
        </is>
      </c>
      <c r="E19" s="13" t="inlineStr">
        <is>
          <t>Check the studio's bank details and add its PayNow QR</t>
        </is>
      </c>
      <c r="F19" s="14" t="inlineStr">
        <is>
          <t>1. Scroll to "Issuing entities &amp; bank details"
2. For Demo Studio Pte Ltd check "Bank" (DBS Bank), "Account number", "SWIFT / BIC" and "PayNow (UEN or mobile)" are already filled
3. Click the "PayNow QR" box and pick paynow-qr.png
4. Click "Save changes"</t>
        </is>
      </c>
      <c r="G19" s="14" t="inlineStr">
        <is>
          <t>"PayNow QR added", then "Company details saved"; a QR code now sits in the box beside the bank fields.</t>
        </is>
      </c>
      <c r="H19" s="12" t="inlineStr">
        <is>
          <t>Same as 1.0</t>
        </is>
      </c>
      <c r="I19" s="11" t="inlineStr">
        <is>
          <t>Dane</t>
        </is>
      </c>
      <c r="J19" s="15" t="n"/>
      <c r="K19" s="15" t="n"/>
      <c r="L19" s="15" t="n"/>
      <c r="M19" s="16" t="n"/>
      <c r="N19" s="17" t="n"/>
      <c r="O19" s="17" t="n"/>
      <c r="P19" s="15" t="n"/>
    </row>
    <row r="20">
      <c r="A20" s="11" t="n">
        <v>2</v>
      </c>
      <c r="B20" s="11" t="inlineStr">
        <is>
          <t>2.04</t>
        </is>
      </c>
      <c r="C20" s="12" t="inlineStr">
        <is>
          <t>Your company on paper</t>
        </is>
      </c>
      <c r="D20" s="12" t="inlineStr">
        <is>
          <t>Company</t>
        </is>
      </c>
      <c r="E20" s="13" t="inlineStr">
        <is>
          <t>Add a second company you issue quotes under</t>
        </is>
      </c>
      <c r="F20" s="14" t="inlineStr">
        <is>
          <t>1. Click "Add an entity"
2. "Entity name": Demo Studio Carpentry Pte Ltd
3. Switch off "GST-registered"; under "Letterhead" fill "UEN / Co. Reg. No." 202512345K
4. Click "Save changes"</t>
        </is>
      </c>
      <c r="G20" s="14" t="inlineStr">
        <is>
          <t>"Company details saved". The new company has its own bank, PayNow and letterhead fields, and a bin to remove it, since nothing uses it yet.</t>
        </is>
      </c>
      <c r="H20" s="12" t="inlineStr">
        <is>
          <t>Different from 1.0: an entity in use is retired, never deleted</t>
        </is>
      </c>
      <c r="I20" s="11" t="inlineStr">
        <is>
          <t>Dane</t>
        </is>
      </c>
      <c r="J20" s="15" t="n"/>
      <c r="K20" s="15" t="n"/>
      <c r="L20" s="15" t="n"/>
      <c r="M20" s="16" t="n"/>
      <c r="N20" s="17" t="n"/>
      <c r="O20" s="17" t="n"/>
      <c r="P20" s="15" t="n"/>
    </row>
    <row r="21">
      <c r="A21" s="11" t="n">
        <v>2</v>
      </c>
      <c r="B21" s="11" t="inlineStr">
        <is>
          <t>2.05</t>
        </is>
      </c>
      <c r="C21" s="12" t="inlineStr">
        <is>
          <t>Your company on paper</t>
        </is>
      </c>
      <c r="D21" s="12" t="inlineStr">
        <is>
          <t>Company</t>
        </is>
      </c>
      <c r="E21" s="13" t="inlineStr">
        <is>
          <t>Look at the brand kit every template starts from</t>
        </is>
      </c>
      <c r="F21" s="14" t="inlineStr">
        <is>
          <t>1. At the bottom of Profile, click "Brand kit"
2. Read the page without changing anything</t>
        </is>
      </c>
      <c r="G21" s="14" t="inlineStr">
        <is>
          <t>"Templates" opens on its "Brand kit" tab: "Logo and marks", "Colours" and "Fonts", with the default template's first page on the right.</t>
        </is>
      </c>
      <c r="H21" s="12" t="inlineStr">
        <is>
          <t>Different from 1.0: one kit every template starts from</t>
        </is>
      </c>
      <c r="I21" s="11" t="inlineStr">
        <is>
          <t>Dane</t>
        </is>
      </c>
      <c r="J21" s="15" t="n"/>
      <c r="K21" s="15" t="n"/>
      <c r="L21" s="15" t="n"/>
      <c r="M21" s="16" t="n"/>
      <c r="N21" s="17" t="n"/>
      <c r="O21" s="17" t="n"/>
      <c r="P21" s="15" t="n"/>
    </row>
    <row r="22">
      <c r="A22" s="11" t="n">
        <v>2</v>
      </c>
      <c r="B22" s="11" t="inlineStr">
        <is>
          <t>2.06</t>
        </is>
      </c>
      <c r="C22" s="12" t="inlineStr">
        <is>
          <t>Your team</t>
        </is>
      </c>
      <c r="D22" s="12" t="inlineStr">
        <is>
          <t>Company</t>
        </is>
      </c>
      <c r="E22" s="13" t="inlineStr">
        <is>
          <t>See who works in the studio and their roles</t>
        </is>
      </c>
      <c r="F22" s="14" t="inlineStr">
        <is>
          <t>1. Click "Company" in the side navigation
2. Click "Members"</t>
        </is>
      </c>
      <c r="G22" s="14" t="inlineStr">
        <is>
          <t>"People and roles": Dane (you) is the Owner; James is a Manager with "Team: Michelle, Sarah"; every row has a role and a lead count.</t>
        </is>
      </c>
      <c r="H22" s="12" t="inlineStr">
        <is>
          <t>Same as 1.0</t>
        </is>
      </c>
      <c r="I22" s="11" t="inlineStr">
        <is>
          <t>Dane</t>
        </is>
      </c>
      <c r="J22" s="15" t="n"/>
      <c r="K22" s="15" t="n"/>
      <c r="L22" s="15" t="n"/>
      <c r="M22" s="16" t="n"/>
      <c r="N22" s="17" t="n"/>
      <c r="O22" s="17" t="n"/>
      <c r="P22" s="15" t="n"/>
    </row>
    <row r="23">
      <c r="A23" s="11" t="n">
        <v>2</v>
      </c>
      <c r="B23" s="11" t="inlineStr">
        <is>
          <t>2.07</t>
        </is>
      </c>
      <c r="C23" s="12" t="inlineStr">
        <is>
          <t>Your team</t>
        </is>
      </c>
      <c r="D23" s="12" t="inlineStr">
        <is>
          <t>Company</t>
        </is>
      </c>
      <c r="E23" s="13" t="inlineStr">
        <is>
          <t>Add a new designer to the team</t>
        </is>
      </c>
      <c r="F23" s="14" t="inlineStr">
        <is>
          <t>1. Click "Add member"
2. "Name": Kavya Menon · "Role": Designer · "Phone": 9123 4567 · "Email": kavya@demostudio.sg
3. Click "Add member"</t>
        </is>
      </c>
      <c r="G23" s="14" t="inlineStr">
        <is>
          <t>Under "Phone": "A mobile signs them in and gets the invitation"; above the buttons: "We’ll send Kavya an invitation by WhatsApp and email — a link to join, open for 30 days." Then "Kavya Menon added and invited" (with "Set who they report to"); her row wears a yellow "Invited" chip and "0 leads".</t>
        </is>
      </c>
      <c r="H23" s="12" t="inlineStr">
        <is>
          <t>Different from 1.0: 1.0 only emailed a request to OpenMaison</t>
        </is>
      </c>
      <c r="I23" s="11" t="inlineStr">
        <is>
          <t>Dane</t>
        </is>
      </c>
      <c r="J23" s="15" t="n"/>
      <c r="K23" s="15" t="n"/>
      <c r="L23" s="15" t="n"/>
      <c r="M23" s="16" t="n"/>
      <c r="N23" s="17" t="n"/>
      <c r="O23" s="17" t="n"/>
      <c r="P23" s="15" t="n"/>
    </row>
    <row r="24">
      <c r="A24" s="11" t="n">
        <v>2</v>
      </c>
      <c r="B24" s="11" t="inlineStr">
        <is>
          <t>2.08</t>
        </is>
      </c>
      <c r="C24" s="12" t="inlineStr">
        <is>
          <t>Your team</t>
        </is>
      </c>
      <c r="D24" s="12" t="inlineStr">
        <is>
          <t>Company</t>
        </is>
      </c>
      <c r="E24" s="13" t="inlineStr">
        <is>
          <t>Put Kavya in James's team</t>
        </is>
      </c>
      <c r="F24" s="14" t="inlineStr">
        <is>
          <t>1. In Kavya's row open "Reports to"
2. Pick James</t>
        </is>
      </c>
      <c r="G24" s="14" t="inlineStr">
        <is>
          <t>"Kavya Menon now reports to James"; James's row now reads "Team: Kavya Menon, Michelle, Sarah".</t>
        </is>
      </c>
      <c r="H24" s="12" t="inlineStr">
        <is>
          <t>Different from 1.0: every studio can have managers</t>
        </is>
      </c>
      <c r="I24" s="11" t="inlineStr">
        <is>
          <t>Dane</t>
        </is>
      </c>
      <c r="J24" s="15" t="n"/>
      <c r="K24" s="15" t="n"/>
      <c r="L24" s="15" t="n"/>
      <c r="M24" s="16" t="n"/>
      <c r="N24" s="17" t="n"/>
      <c r="O24" s="17" t="n"/>
      <c r="P24" s="15" t="n"/>
    </row>
    <row r="25">
      <c r="A25" s="11" t="n">
        <v>2</v>
      </c>
      <c r="B25" s="11" t="inlineStr">
        <is>
          <t>2.09</t>
        </is>
      </c>
      <c r="C25" s="12" t="inlineStr">
        <is>
          <t>Your team</t>
        </is>
      </c>
      <c r="D25" s="12" t="inlineStr">
        <is>
          <t>Company</t>
        </is>
      </c>
      <c r="E25" s="13" t="inlineStr">
        <is>
          <t>Tell the studio which leads Kavya should get</t>
        </is>
      </c>
      <c r="F25" s="14" t="inlineStr">
        <is>
          <t>1. In Kavya's row click "Preferences"
2. "Specialty": Condo kitchens
3. Beside "Property type" set "Priority" to "Must match", then pick the "Condo 3-bedder" chip
4. Click "Save preferences"</t>
        </is>
      </c>
      <c r="G25" s="14" t="inlineStr">
        <is>
          <t>"Lead preferences saved"; her row reads "Condo kitchens · Condo 3-bedder (must)".</t>
        </is>
      </c>
      <c r="H25" s="12" t="inlineStr">
        <is>
          <t>Different from 1.0: four categories; Scope is left out</t>
        </is>
      </c>
      <c r="I25" s="11" t="inlineStr">
        <is>
          <t>Dane</t>
        </is>
      </c>
      <c r="J25" s="15" t="n"/>
      <c r="K25" s="15" t="n"/>
      <c r="L25" s="15" t="n"/>
      <c r="M25" s="16" t="n"/>
      <c r="N25" s="17" t="n"/>
      <c r="O25" s="17" t="n"/>
      <c r="P25" s="15" t="n"/>
    </row>
    <row r="26">
      <c r="A26" s="11" t="n">
        <v>2</v>
      </c>
      <c r="B26" s="11" t="inlineStr">
        <is>
          <t>2.10</t>
        </is>
      </c>
      <c r="C26" s="12" t="inlineStr">
        <is>
          <t>Your team</t>
        </is>
      </c>
      <c r="D26" s="12" t="inlineStr">
        <is>
          <t>Company</t>
        </is>
      </c>
      <c r="E26" s="13" t="inlineStr">
        <is>
          <t>Stop new leads going to Kavya for now</t>
        </is>
      </c>
      <c r="F26" s="14" t="inlineStr">
        <is>
          <t>1. In Kavya's row switch off "Open to new leads"</t>
        </is>
      </c>
      <c r="G26" s="14" t="inlineStr">
        <is>
          <t>"Kavya Menon is closed to new leads"; a yellow "Closed to new leads" tag appears on her row.</t>
        </is>
      </c>
      <c r="H26" s="12" t="inlineStr">
        <is>
          <t>Same as 1.0</t>
        </is>
      </c>
      <c r="I26" s="11" t="inlineStr">
        <is>
          <t>Dane</t>
        </is>
      </c>
      <c r="J26" s="15" t="n"/>
      <c r="K26" s="15" t="n"/>
      <c r="L26" s="15" t="n"/>
      <c r="M26" s="16" t="n"/>
      <c r="N26" s="17" t="n"/>
      <c r="O26" s="17" t="n"/>
      <c r="P26" s="15" t="n"/>
    </row>
    <row r="27">
      <c r="A27" s="11" t="n">
        <v>2</v>
      </c>
      <c r="B27" s="11" t="inlineStr">
        <is>
          <t>2.11</t>
        </is>
      </c>
      <c r="C27" s="12" t="inlineStr">
        <is>
          <t>Your team</t>
        </is>
      </c>
      <c r="D27" s="12" t="inlineStr">
        <is>
          <t>Company</t>
        </is>
      </c>
      <c r="E27" s="13" t="inlineStr">
        <is>
          <t>Try to change your own role</t>
        </is>
      </c>
      <c r="F27" s="14" t="inlineStr">
        <is>
          <t>1. On your own row (Dane), point at the "Role" box</t>
        </is>
      </c>
      <c r="G27" s="14" t="inlineStr">
        <is>
          <t>The box is greyed out and a tip says "You’re the studio’s Owner — make another member an Owner, then they can change your role."</t>
        </is>
      </c>
      <c r="H27" s="12" t="inlineStr">
        <is>
          <t>Different from 1.0: the rule is enforced, not just hidden</t>
        </is>
      </c>
      <c r="I27" s="11" t="inlineStr">
        <is>
          <t>Dane</t>
        </is>
      </c>
      <c r="J27" s="15" t="n"/>
      <c r="K27" s="15" t="n"/>
      <c r="L27" s="15" t="n"/>
      <c r="M27" s="16" t="n"/>
      <c r="N27" s="17" t="n"/>
      <c r="O27" s="17" t="n"/>
      <c r="P27" s="15" t="n"/>
    </row>
    <row r="28">
      <c r="A28" s="11" t="n">
        <v>2</v>
      </c>
      <c r="B28" s="11" t="inlineStr">
        <is>
          <t>2.12</t>
        </is>
      </c>
      <c r="C28" s="12" t="inlineStr">
        <is>
          <t>Your team</t>
        </is>
      </c>
      <c r="D28" s="12" t="inlineStr">
        <is>
          <t>Company</t>
        </is>
      </c>
      <c r="E28" s="13" t="inlineStr">
        <is>
          <t>Cancel Kavya's invitation, then change your mind</t>
        </is>
      </c>
      <c r="F28" s="14" t="inlineStr">
        <is>
          <t>1. In Kavya's row click "Cancel invitation"
2. Click "Undo" in the message at the bottom</t>
        </is>
      </c>
      <c r="G28" s="14" t="inlineStr">
        <is>
          <t>"Invitation to Kavya Menon cancelled"; after Undo: "Kavya Menon’s invitation is back" — her row says "Invited" again, still in James's team.</t>
        </is>
      </c>
      <c r="H28" s="12" t="inlineStr">
        <is>
          <t>Different from 1.0: cancelling an invitation has Undo</t>
        </is>
      </c>
      <c r="I28" s="11" t="inlineStr">
        <is>
          <t>Dane</t>
        </is>
      </c>
      <c r="J28" s="15" t="n"/>
      <c r="K28" s="15" t="n"/>
      <c r="L28" s="15" t="n"/>
      <c r="M28" s="16" t="n"/>
      <c r="N28" s="17" t="n"/>
      <c r="O28" s="17" t="n"/>
      <c r="P28" s="15" t="n"/>
    </row>
    <row r="29">
      <c r="A29" s="11" t="n">
        <v>2</v>
      </c>
      <c r="B29" s="11" t="inlineStr">
        <is>
          <t>2.13</t>
        </is>
      </c>
      <c r="C29" s="12" t="inlineStr">
        <is>
          <t>Your team</t>
        </is>
      </c>
      <c r="D29" s="12" t="inlineStr">
        <is>
          <t>Company</t>
        </is>
      </c>
      <c r="E29" s="13" t="inlineStr">
        <is>
          <t>Deactivate Germaine, then bring her back</t>
        </is>
      </c>
      <c r="F29" s="14" t="inlineStr">
        <is>
          <t>1. In Germaine's row click "Deactivate"
2. Read the box, then click "Deactivate"
3. Find her under "Deactivated" and click "Reactivate"</t>
        </is>
      </c>
      <c r="G29" s="14" t="inlineStr">
        <is>
          <t>The box names her open leads; "Deactivated" lists her as "Designer · deactivated" today; Reactivate says "Germaine reactivated — back in every picker".</t>
        </is>
      </c>
      <c r="H29" s="12" t="inlineStr">
        <is>
          <t>New in 2.0</t>
        </is>
      </c>
      <c r="I29" s="11" t="inlineStr">
        <is>
          <t>Dane</t>
        </is>
      </c>
      <c r="J29" s="15" t="n"/>
      <c r="K29" s="15" t="n"/>
      <c r="L29" s="15" t="n"/>
      <c r="M29" s="16" t="n"/>
      <c r="N29" s="17" t="n"/>
      <c r="O29" s="17" t="n"/>
      <c r="P29" s="15" t="n"/>
    </row>
    <row r="30">
      <c r="A30" s="11" t="n">
        <v>2</v>
      </c>
      <c r="B30" s="11" t="inlineStr">
        <is>
          <t>2.14</t>
        </is>
      </c>
      <c r="C30" s="12" t="inlineStr">
        <is>
          <t>The studio's rules at a glance</t>
        </is>
      </c>
      <c r="D30" s="12" t="inlineStr">
        <is>
          <t>Settings</t>
        </is>
      </c>
      <c r="E30" s="13" t="inlineStr">
        <is>
          <t>Open the studio's settings</t>
        </is>
      </c>
      <c r="F30" s="14" t="inlineStr">
        <is>
          <t>1. Click "Settings" in the side navigation
2. Read the tabs, then click "Finance" and read its cards
3. Click "Projects" and read its cards</t>
        </is>
      </c>
      <c r="G30" s="14" t="inlineStr">
        <is>
          <t>Settings opens on "Roles &amp; access"; the tabs read Roles &amp; access · Lead management · Meetings · Projects · Quotes &amp; pricing · Finance · Notifications. "Finance" opens with "Document numbers", then "Money in" (Invoices · Invoice paper · Client payments · Credit notes), "Money out" (Costs · Expense categories · The purchase order paper) and "Commission". "Projects" opens with "What waits for an Owner or an Admin", then Project numbers · Stages and handover · Schedule · Ticket categories · Workload · Compliance.</t>
        </is>
      </c>
      <c r="H30" s="12" t="inlineStr">
        <is>
          <t>Different from 1.0: seven tabs instead of one long Accounts page</t>
        </is>
      </c>
      <c r="I30" s="11" t="inlineStr">
        <is>
          <t>Dane</t>
        </is>
      </c>
      <c r="J30" s="15" t="n"/>
      <c r="K30" s="15" t="n"/>
      <c r="L30" s="15" t="n"/>
      <c r="M30" s="16" t="n"/>
      <c r="N30" s="17" t="n"/>
      <c r="O30" s="17" t="n"/>
      <c r="P30" s="15" t="n"/>
    </row>
    <row r="31">
      <c r="A31" s="11" t="n">
        <v>2</v>
      </c>
      <c r="B31" s="11" t="inlineStr">
        <is>
          <t>2.15</t>
        </is>
      </c>
      <c r="C31" s="12" t="inlineStr">
        <is>
          <t>The studio's rules at a glance</t>
        </is>
      </c>
      <c r="D31" s="12" t="inlineStr">
        <is>
          <t>Settings</t>
        </is>
      </c>
      <c r="E31" s="13" t="inlineStr">
        <is>
          <t>Find where the team and your companies are kept</t>
        </is>
      </c>
      <c r="F31" s="14" t="inlineStr">
        <is>
          <t>1. On "Roles &amp; access", read the line under the title and "Kept in Company:"
2. Click "Members", look at Kavya’s row, then go back
3. Click "Profile" and scroll to "Issuing entities &amp; bank details"</t>
        </is>
      </c>
      <c r="G31" s="14" t="inlineStr">
        <is>
          <t>The line says its team is on Members and the companies it issues quotes and contracts under are on Profile; Members shows Kavya reporting to James; Profile lists Demo Studio Pte Ltd and Demo Studio Carpentry Pte Ltd.</t>
        </is>
      </c>
      <c r="H31" s="12" t="inlineStr">
        <is>
          <t>New in 2.0</t>
        </is>
      </c>
      <c r="I31" s="11" t="inlineStr">
        <is>
          <t>Dane</t>
        </is>
      </c>
      <c r="J31" s="15" t="n"/>
      <c r="K31" s="15" t="n"/>
      <c r="L31" s="15" t="n"/>
      <c r="M31" s="16" t="n"/>
      <c r="N31" s="17" t="n"/>
      <c r="O31" s="17" t="n"/>
      <c r="P31" s="15" t="n"/>
    </row>
    <row r="32">
      <c r="A32" s="11" t="n">
        <v>2</v>
      </c>
      <c r="B32" s="11" t="inlineStr">
        <is>
          <t>2.16</t>
        </is>
      </c>
      <c r="C32" s="12" t="inlineStr">
        <is>
          <t>The studio's rules at a glance</t>
        </is>
      </c>
      <c r="D32" s="12" t="inlineStr">
        <is>
          <t>Settings</t>
        </is>
      </c>
      <c r="E32" s="13" t="inlineStr">
        <is>
          <t>See what each role is allowed to do</t>
        </is>
      </c>
      <c r="F32" s="14" t="inlineStr">
        <is>
          <t>1. On "Roles &amp; access", scroll to "Who may do what"</t>
        </is>
      </c>
      <c r="G32" s="14" t="inlineStr">
        <is>
          <t>A table of actions against Owner, Admin, Manager, Designer and Accounting, grouped by area: ticks, dashes or words like "Submits for approval". Nothing here can be edited.</t>
        </is>
      </c>
      <c r="H32" s="12" t="inlineStr">
        <is>
          <t>Different from 1.0: fixed roles stated plainly; no permissions editor</t>
        </is>
      </c>
      <c r="I32" s="11" t="inlineStr">
        <is>
          <t>Dane</t>
        </is>
      </c>
      <c r="J32" s="15" t="n"/>
      <c r="K32" s="15" t="n"/>
      <c r="L32" s="15" t="n"/>
      <c r="M32" s="16" t="n"/>
      <c r="N32" s="17" t="n"/>
      <c r="O32" s="17" t="n"/>
      <c r="P32" s="15" t="n"/>
    </row>
    <row r="33">
      <c r="A33" s="11" t="n">
        <v>2</v>
      </c>
      <c r="B33" s="11" t="inlineStr">
        <is>
          <t>2.17</t>
        </is>
      </c>
      <c r="C33" s="12" t="inlineStr">
        <is>
          <t>How leads are handled</t>
        </is>
      </c>
      <c r="D33" s="12" t="inlineStr">
        <is>
          <t>Settings</t>
        </is>
      </c>
      <c r="E33" s="13" t="inlineStr">
        <is>
          <t>Try both ways leads can move, then keep Linear</t>
        </is>
      </c>
      <c r="F33" s="14" t="inlineStr">
        <is>
          <t>1. Click the "Lead management" tab
2. Under "Lead stages", in "How leads move" click "Flexible"
3. Click "Linear"</t>
        </is>
      </c>
      <c r="G33" s="14" t="inlineStr">
        <is>
          <t>"Stage movement set to Flexible", then "Stage movement set to Linear"; Linear ends up selected.</t>
        </is>
      </c>
      <c r="H33" s="12" t="inlineStr">
        <is>
          <t>Different from 1.0: Linear / Flexible replace Classic / Journey</t>
        </is>
      </c>
      <c r="I33" s="11" t="inlineStr">
        <is>
          <t>Dane</t>
        </is>
      </c>
      <c r="J33" s="15" t="n"/>
      <c r="K33" s="15" t="n"/>
      <c r="L33" s="15" t="n"/>
      <c r="M33" s="16" t="n"/>
      <c r="N33" s="17" t="n"/>
      <c r="O33" s="17" t="n"/>
      <c r="P33" s="15" t="n"/>
    </row>
    <row r="34">
      <c r="A34" s="11" t="n">
        <v>2</v>
      </c>
      <c r="B34" s="11" t="inlineStr">
        <is>
          <t>2.18</t>
        </is>
      </c>
      <c r="C34" s="12" t="inlineStr">
        <is>
          <t>How leads are handled</t>
        </is>
      </c>
      <c r="D34" s="12" t="inlineStr">
        <is>
          <t>Settings</t>
        </is>
      </c>
      <c r="E34" s="13" t="inlineStr">
        <is>
          <t>Add Xiaohongshu as a place leads come from</t>
        </is>
      </c>
      <c r="F34" s="14" t="inlineStr">
        <is>
          <t>1. Under "Lead sources", type Xiaohongshu in "Add a source"
2. Click "Add"</t>
        </is>
      </c>
      <c r="G34" s="14" t="inlineStr">
        <is>
          <t>"Xiaohongshu added to the lead sources"; it appears just before "Others" with a count of 0.</t>
        </is>
      </c>
      <c r="H34" s="12" t="inlineStr">
        <is>
          <t>Same as 1.0</t>
        </is>
      </c>
      <c r="I34" s="11" t="inlineStr">
        <is>
          <t>Dane</t>
        </is>
      </c>
      <c r="J34" s="15" t="n"/>
      <c r="K34" s="15" t="n"/>
      <c r="L34" s="15" t="n"/>
      <c r="M34" s="16" t="n"/>
      <c r="N34" s="17" t="n"/>
      <c r="O34" s="17" t="n"/>
      <c r="P34" s="15" t="n"/>
    </row>
    <row r="35">
      <c r="A35" s="11" t="n">
        <v>2</v>
      </c>
      <c r="B35" s="11" t="inlineStr">
        <is>
          <t>2.19</t>
        </is>
      </c>
      <c r="C35" s="12" t="inlineStr">
        <is>
          <t>How leads are handled</t>
        </is>
      </c>
      <c r="D35" s="12" t="inlineStr">
        <is>
          <t>Settings</t>
        </is>
      </c>
      <c r="E35" s="13" t="inlineStr">
        <is>
          <t>Move Xiaohongshu to the top of the list</t>
        </is>
      </c>
      <c r="F35" s="14" t="inlineStr">
        <is>
          <t>1. Click the name "Xiaohongshu"
2. In the "Lead source" box set "Place in the list" to 1
3. Click "Save"</t>
        </is>
      </c>
      <c r="G35" s="14" t="inlineStr">
        <is>
          <t>"Lead sources saved"; Xiaohongshu is now first in the list.</t>
        </is>
      </c>
      <c r="H35" s="12" t="inlineStr">
        <is>
          <t>Same as 1.0</t>
        </is>
      </c>
      <c r="I35" s="11" t="inlineStr">
        <is>
          <t>Dane</t>
        </is>
      </c>
      <c r="J35" s="15" t="n"/>
      <c r="K35" s="15" t="n"/>
      <c r="L35" s="15" t="n"/>
      <c r="M35" s="16" t="n"/>
      <c r="N35" s="17" t="n"/>
      <c r="O35" s="17" t="n"/>
      <c r="P35" s="15" t="n"/>
    </row>
    <row r="36">
      <c r="A36" s="11" t="n">
        <v>2</v>
      </c>
      <c r="B36" s="11" t="inlineStr">
        <is>
          <t>2.20</t>
        </is>
      </c>
      <c r="C36" s="12" t="inlineStr">
        <is>
          <t>How leads are handled</t>
        </is>
      </c>
      <c r="D36" s="12" t="inlineStr">
        <is>
          <t>Settings</t>
        </is>
      </c>
      <c r="E36" s="13" t="inlineStr">
        <is>
          <t>Rename Walk-in and see its lead follow</t>
        </is>
      </c>
      <c r="F36" s="14" t="inlineStr">
        <is>
          <t>1. Click "Walk-in" and change "Name" to Showroom walk-in
2. Click "Save"
3. Open Leads and find Mei Ling Tan's "Source"</t>
        </is>
      </c>
      <c r="G36" s="14" t="inlineStr">
        <is>
          <t>"Walk-in is now Showroom walk-in — its leads follow"; Mei Ling Tan's source reads Showroom walk-in.</t>
        </is>
      </c>
      <c r="H36" s="12" t="inlineStr">
        <is>
          <t>Different from 1.0: a rename carries the leads with it</t>
        </is>
      </c>
      <c r="I36" s="11" t="inlineStr">
        <is>
          <t>Dane</t>
        </is>
      </c>
      <c r="J36" s="15" t="n"/>
      <c r="K36" s="15" t="n"/>
      <c r="L36" s="15" t="n"/>
      <c r="M36" s="16" t="n"/>
      <c r="N36" s="17" t="n"/>
      <c r="O36" s="17" t="n"/>
      <c r="P36" s="15" t="n"/>
    </row>
    <row r="37">
      <c r="A37" s="11" t="n">
        <v>2</v>
      </c>
      <c r="B37" s="11" t="inlineStr">
        <is>
          <t>2.21</t>
        </is>
      </c>
      <c r="C37" s="12" t="inlineStr">
        <is>
          <t>How leads are handled</t>
        </is>
      </c>
      <c r="D37" s="12" t="inlineStr">
        <is>
          <t>Settings</t>
        </is>
      </c>
      <c r="E37" s="13" t="inlineStr">
        <is>
          <t>Add a Lost reason that expects two logged contacts</t>
        </is>
      </c>
      <c r="F37" s="14" t="inlineStr">
        <is>
          <t>1. Back in Settings, open "Lead management" and find "Lost and On Hold reasons"
2. In "Add a Lost reason" type Chose a contractor; in "Contacts expected first" type 2 (the line under it says what the number does)
3. Click "Add"</t>
        </is>
      </c>
      <c r="G37" s="14" t="inlineStr">
        <is>
          <t>"Chose a contractor added to the Lost reasons"; it shows as "Chose a contractor · after 2 contacts", just before "Others".</t>
        </is>
      </c>
      <c r="H37" s="12" t="inlineStr">
        <is>
          <t>Same as 1.0</t>
        </is>
      </c>
      <c r="I37" s="11" t="inlineStr">
        <is>
          <t>Dane</t>
        </is>
      </c>
      <c r="J37" s="15" t="n"/>
      <c r="K37" s="15" t="n"/>
      <c r="L37" s="15" t="n"/>
      <c r="M37" s="16" t="n"/>
      <c r="N37" s="17" t="n"/>
      <c r="O37" s="17" t="n"/>
      <c r="P37" s="15" t="n"/>
    </row>
    <row r="38">
      <c r="A38" s="11" t="n">
        <v>2</v>
      </c>
      <c r="B38" s="11" t="inlineStr">
        <is>
          <t>2.22</t>
        </is>
      </c>
      <c r="C38" s="12" t="inlineStr">
        <is>
          <t>How leads are handled</t>
        </is>
      </c>
      <c r="D38" s="12" t="inlineStr">
        <is>
          <t>Settings</t>
        </is>
      </c>
      <c r="E38" s="13" t="inlineStr">
        <is>
          <t>Add your own field to every lead</t>
        </is>
      </c>
      <c r="F38" s="14" t="inlineStr">
        <is>
          <t>1. Under "Custom fields" click "Add field"
2. "Label": Preferred contact time · "Type": Dropdown
3. Options: Morning, Afternoon, Evening ("Add option" for each new one)
4. Click "Add"</t>
        </is>
      </c>
      <c r="G38" s="14" t="inlineStr">
        <is>
          <t>"Preferred contact time added"; the table shows it with a "Dropdown" tag, its three options, Required off and Active on.</t>
        </is>
      </c>
      <c r="H38" s="12" t="inlineStr">
        <is>
          <t>Different from 1.0: saving never erases the leads' answers</t>
        </is>
      </c>
      <c r="I38" s="11" t="inlineStr">
        <is>
          <t>Dane</t>
        </is>
      </c>
      <c r="J38" s="15" t="n"/>
      <c r="K38" s="15" t="n"/>
      <c r="L38" s="15" t="n"/>
      <c r="M38" s="16" t="n"/>
      <c r="N38" s="17" t="n"/>
      <c r="O38" s="17" t="n"/>
      <c r="P38" s="15" t="n"/>
    </row>
    <row r="39">
      <c r="A39" s="11" t="n">
        <v>2</v>
      </c>
      <c r="B39" s="11" t="inlineStr">
        <is>
          <t>2.23</t>
        </is>
      </c>
      <c r="C39" s="12" t="inlineStr">
        <is>
          <t>How leads are handled</t>
        </is>
      </c>
      <c r="D39" s="12" t="inlineStr">
        <is>
          <t>Settings</t>
        </is>
      </c>
      <c r="E39" s="13" t="inlineStr">
        <is>
          <t>Limit designers to their own leads, then open it back up</t>
        </is>
      </c>
      <c r="F39" s="14" t="inlineStr">
        <is>
          <t>1. Click the "Roles &amp; access" tab; under "Who sees leads" click "Only the leads assigned to them"
2. Read the "See a lead" row of "Who may do what" below
3. Click "Everyone sees every lead"</t>
        </is>
      </c>
      <c r="G39" s="14" t="inlineStr">
        <is>
          <t>"Designers now see only their own leads, and Managers their own and their team’s"; "See a lead" reads "Their team’s" for Managers and "Their own" for Designers; the last click says "Everyone sees every lead again".</t>
        </is>
      </c>
      <c r="H39" s="12" t="inlineStr">
        <is>
          <t>Different from 1.0: one switch, enforced for every role</t>
        </is>
      </c>
      <c r="I39" s="11" t="inlineStr">
        <is>
          <t>Dane</t>
        </is>
      </c>
      <c r="J39" s="15" t="n"/>
      <c r="K39" s="15" t="n"/>
      <c r="L39" s="15" t="n"/>
      <c r="M39" s="16" t="n"/>
      <c r="N39" s="17" t="n"/>
      <c r="O39" s="17" t="n"/>
      <c r="P39" s="15" t="n"/>
    </row>
    <row r="40">
      <c r="A40" s="11" t="n">
        <v>2</v>
      </c>
      <c r="B40" s="11" t="inlineStr">
        <is>
          <t>2.24</t>
        </is>
      </c>
      <c r="C40" s="12" t="inlineStr">
        <is>
          <t>How leads are handled</t>
        </is>
      </c>
      <c r="D40" s="12" t="inlineStr">
        <is>
          <t>Settings</t>
        </is>
      </c>
      <c r="E40" s="13" t="inlineStr">
        <is>
          <t>Find the address your website form sends leads to</t>
        </is>
      </c>
      <c r="F40" s="14" t="inlineStr">
        <is>
          <t>1. Click the "Lead management" tab, then "Integrations" beside "Kept in Company:"
2. Under "Website form by email" click "Copy" beside the address
3. Read the cards below it</t>
        </is>
      </c>
      <c r="G40" s="14" t="inlineStr">
        <is>
          <t>"Intake address copied" (leads+demo-studio@in.openmaison.sg). Below it: "Meta Lead Ads", "Webhooks" ("1 active": Google Ads), "Email lead sources" and "Xero".</t>
        </is>
      </c>
      <c r="H40" s="12" t="inlineStr">
        <is>
          <t>Different from 1.0: every way in listed in one place</t>
        </is>
      </c>
      <c r="I40" s="11" t="inlineStr">
        <is>
          <t>Dane</t>
        </is>
      </c>
      <c r="J40" s="15" t="n"/>
      <c r="K40" s="15" t="n"/>
      <c r="L40" s="15" t="n"/>
      <c r="M40" s="16" t="n"/>
      <c r="N40" s="17" t="n"/>
      <c r="O40" s="17" t="n"/>
      <c r="P40" s="15" t="n"/>
    </row>
    <row r="41">
      <c r="A41" s="11" t="n">
        <v>2</v>
      </c>
      <c r="B41" s="11" t="inlineStr">
        <is>
          <t>2.25</t>
        </is>
      </c>
      <c r="C41" s="12" t="inlineStr">
        <is>
          <t>How quotes are priced</t>
        </is>
      </c>
      <c r="D41" s="12" t="inlineStr">
        <is>
          <t>Settings</t>
        </is>
      </c>
      <c r="E41" s="13" t="inlineStr">
        <is>
          <t>Try your own quote number pattern without saving it</t>
        </is>
      </c>
      <c r="F41" s="14" t="inlineStr">
        <is>
          <t>1. Back in Settings, click the "Quotes &amp; pricing" tab
2. Under "Quote numbers" change "Prefix" to DS and "Digits" to 4; switch on "Year and month"
3. Read "Next quote:"
4. Click "Discard"</t>
        </is>
      </c>
      <c r="G41" s="14" t="inlineStr">
        <is>
          <t>"Next quote:" changes as you type to DS-(this year and month)-0001; after Discard it reads OM-10010 again.</t>
        </is>
      </c>
      <c r="H41" s="12" t="inlineStr">
        <is>
          <t>Different from 1.0: your own pattern, not a fixed QT-###</t>
        </is>
      </c>
      <c r="I41" s="11" t="inlineStr">
        <is>
          <t>Dane</t>
        </is>
      </c>
      <c r="J41" s="15" t="n"/>
      <c r="K41" s="15" t="n"/>
      <c r="L41" s="15" t="n"/>
      <c r="M41" s="16" t="n"/>
      <c r="N41" s="17" t="n"/>
      <c r="O41" s="17" t="n"/>
      <c r="P41" s="15" t="n"/>
    </row>
    <row r="42">
      <c r="A42" s="11" t="n">
        <v>2</v>
      </c>
      <c r="B42" s="11" t="inlineStr">
        <is>
          <t>2.26</t>
        </is>
      </c>
      <c r="C42" s="12" t="inlineStr">
        <is>
          <t>How quotes are priced</t>
        </is>
      </c>
      <c r="D42" s="12" t="inlineStr">
        <is>
          <t>Settings</t>
        </is>
      </c>
      <c r="E42" s="13" t="inlineStr">
        <is>
          <t>Give Carpentry a standard note for quotes</t>
        </is>
      </c>
      <c r="F42" s="14" t="inlineStr">
        <is>
          <t>1. Under "Trades" click "Carpentry"
2. In "Note" type All carpentry in E0-grade board with laminate finish unless stated.
3. Click "Save"</t>
        </is>
      </c>
      <c r="G42" s="14" t="inlineStr">
        <is>
          <t>"Note saved for Carpentry"; a small note mark appears on the Carpentry chip.</t>
        </is>
      </c>
      <c r="H42" s="12" t="inlineStr">
        <is>
          <t>Same as 1.0</t>
        </is>
      </c>
      <c r="I42" s="11" t="inlineStr">
        <is>
          <t>Dane</t>
        </is>
      </c>
      <c r="J42" s="15" t="n"/>
      <c r="K42" s="15" t="n"/>
      <c r="L42" s="15" t="n"/>
      <c r="M42" s="16" t="n"/>
      <c r="N42" s="17" t="n"/>
      <c r="O42" s="17" t="n"/>
      <c r="P42" s="15" t="n"/>
    </row>
    <row r="43">
      <c r="A43" s="11" t="n">
        <v>2</v>
      </c>
      <c r="B43" s="11" t="inlineStr">
        <is>
          <t>2.27</t>
        </is>
      </c>
      <c r="C43" s="12" t="inlineStr">
        <is>
          <t>How quotes are priced</t>
        </is>
      </c>
      <c r="D43" s="12" t="inlineStr">
        <is>
          <t>Settings</t>
        </is>
      </c>
      <c r="E43" s="13" t="inlineStr">
        <is>
          <t>Check the GST rate refuses a wrong number</t>
        </is>
      </c>
      <c r="F43" s="14" t="inlineStr">
        <is>
          <t>1. Under "GST" read where registration is set ("Company › Profile")
2. Change "GST rate (%)" to 35
3. Change it back to 9</t>
        </is>
      </c>
      <c r="G43" s="14" t="inlineStr">
        <is>
          <t>At 35 the box says "Between 0 and 30" and "Save rate" stays grey; back at 9 the warning goes.</t>
        </is>
      </c>
      <c r="H43" s="12" t="inlineStr">
        <is>
          <t>Different from 1.0: the studio sets its GST once</t>
        </is>
      </c>
      <c r="I43" s="11" t="inlineStr">
        <is>
          <t>Dane</t>
        </is>
      </c>
      <c r="J43" s="15" t="n"/>
      <c r="K43" s="15" t="n"/>
      <c r="L43" s="15" t="n"/>
      <c r="M43" s="16" t="n"/>
      <c r="N43" s="17" t="n"/>
      <c r="O43" s="17" t="n"/>
      <c r="P43" s="15" t="n"/>
    </row>
    <row r="44">
      <c r="A44" s="11" t="n">
        <v>2</v>
      </c>
      <c r="B44" s="11" t="inlineStr">
        <is>
          <t>2.28</t>
        </is>
      </c>
      <c r="C44" s="12" t="inlineStr">
        <is>
          <t>How quotes are priced</t>
        </is>
      </c>
      <c r="D44" s="12" t="inlineStr">
        <is>
          <t>Settings</t>
        </is>
      </c>
      <c r="E44" s="13" t="inlineStr">
        <is>
          <t>Round selling prices to S$5, then switch it off</t>
        </is>
      </c>
      <c r="F44" s="14" t="inlineStr">
        <is>
          <t>1. Under "Selling prices", in "Round selling prices to" pick "The nearest S$5"
2. Pick "Not rounded" again</t>
        </is>
      </c>
      <c r="G44" s="14" t="inlineStr">
        <is>
          <t>"Selling prices round to the nearest S$5", then "Selling prices are not rounded".</t>
        </is>
      </c>
      <c r="H44" s="12" t="inlineStr">
        <is>
          <t>Different from 1.0: a studio rule instead of per quote</t>
        </is>
      </c>
      <c r="I44" s="11" t="inlineStr">
        <is>
          <t>Dane</t>
        </is>
      </c>
      <c r="J44" s="15" t="n"/>
      <c r="K44" s="15" t="n"/>
      <c r="L44" s="15" t="n"/>
      <c r="M44" s="16" t="n"/>
      <c r="N44" s="17" t="n"/>
      <c r="O44" s="17" t="n"/>
      <c r="P44" s="15" t="n"/>
    </row>
    <row r="45">
      <c r="A45" s="11" t="n">
        <v>2</v>
      </c>
      <c r="B45" s="11" t="inlineStr">
        <is>
          <t>2.29</t>
        </is>
      </c>
      <c r="C45" s="12" t="inlineStr">
        <is>
          <t>How quotes are priced</t>
        </is>
      </c>
      <c r="D45" s="12" t="inlineStr">
        <is>
          <t>Settings</t>
        </is>
      </c>
      <c r="E45" s="13" t="inlineStr">
        <is>
          <t>Lock payment schedules to Owners and Admins, then unlock</t>
        </is>
      </c>
      <c r="F45" s="14" t="inlineStr">
        <is>
          <t>1. Under "Who may change the payment schedule" switch on "Only Owners and Admins can change it"
2. On the "Roles &amp; access" tab read "Change a quote’s payment schedule"
3. Back on "Quotes &amp; pricing", switch it off</t>
        </is>
      </c>
      <c r="G45" s="14" t="inlineStr">
        <is>
          <t>Locked, Manager, Designer and Accounting show "—" on that row; unlocking says "Every member can change the payment schedule".</t>
        </is>
      </c>
      <c r="H45" s="12" t="inlineStr">
        <is>
          <t>Different from 1.0: the lock is now actually enforced</t>
        </is>
      </c>
      <c r="I45" s="11" t="inlineStr">
        <is>
          <t>Dane</t>
        </is>
      </c>
      <c r="J45" s="15" t="n"/>
      <c r="K45" s="15" t="n"/>
      <c r="L45" s="15" t="n"/>
      <c r="M45" s="16" t="n"/>
      <c r="N45" s="17" t="n"/>
      <c r="O45" s="17" t="n"/>
      <c r="P45" s="15" t="n"/>
    </row>
    <row r="46">
      <c r="A46" s="11" t="n">
        <v>2</v>
      </c>
      <c r="B46" s="11" t="inlineStr">
        <is>
          <t>2.30</t>
        </is>
      </c>
      <c r="C46" s="12" t="inlineStr">
        <is>
          <t>How quotes are priced</t>
        </is>
      </c>
      <c r="D46" s="12" t="inlineStr">
        <is>
          <t>Settings</t>
        </is>
      </c>
      <c r="E46" s="13" t="inlineStr">
        <is>
          <t>Make James the backup approver, then remove him</t>
        </is>
      </c>
      <c r="F46" s="14" t="inlineStr">
        <is>
          <t>1. Under "Backup approver" pick James
2. On the "Roles &amp; access" tab read the line under "Who may do what"
3. Back on "Quotes &amp; pricing", pick "None"</t>
        </is>
      </c>
      <c r="G46" s="14" t="inlineStr">
        <is>
          <t>"James can approve as the backup"; Roles &amp; access says "James is the backup approver…"; picking None says "No backup approver".</t>
        </is>
      </c>
      <c r="H46" s="12" t="inlineStr">
        <is>
          <t>Different from 1.0: one backup instead of an approver list</t>
        </is>
      </c>
      <c r="I46" s="11" t="inlineStr">
        <is>
          <t>Dane</t>
        </is>
      </c>
      <c r="J46" s="15" t="n"/>
      <c r="K46" s="15" t="n"/>
      <c r="L46" s="15" t="n"/>
      <c r="M46" s="16" t="n"/>
      <c r="N46" s="17" t="n"/>
      <c r="O46" s="17" t="n"/>
      <c r="P46" s="15" t="n"/>
    </row>
    <row r="47">
      <c r="A47" s="11" t="n">
        <v>2</v>
      </c>
      <c r="B47" s="11" t="inlineStr">
        <is>
          <t>2.31</t>
        </is>
      </c>
      <c r="C47" s="12" t="inlineStr">
        <is>
          <t>How quotes are priced</t>
        </is>
      </c>
      <c r="D47" s="12" t="inlineStr">
        <is>
          <t>Settings</t>
        </is>
      </c>
      <c r="E47" s="13" t="inlineStr">
        <is>
          <t>Choose whose name a quote's "prepared by" prints</t>
        </is>
      </c>
      <c r="F47" s="14" t="inlineStr">
        <is>
          <t>1. Under "Prepared by", in "Prepared by prints" pick "Every member on the lead"
2. Pick "The member who prepared the quote" again</t>
        </is>
      </c>
      <c r="G47" s="14" t="inlineStr">
        <is>
          <t>"Prepared by prints every member on the lead", then "Prepared by prints the member who prepared the quote".</t>
        </is>
      </c>
      <c r="H47" s="12" t="inlineStr">
        <is>
          <t>Same as 1.0</t>
        </is>
      </c>
      <c r="I47" s="11" t="inlineStr">
        <is>
          <t>Dane</t>
        </is>
      </c>
      <c r="J47" s="15" t="n"/>
      <c r="K47" s="15" t="n"/>
      <c r="L47" s="15" t="n"/>
      <c r="M47" s="16" t="n"/>
      <c r="N47" s="17" t="n"/>
      <c r="O47" s="17" t="n"/>
      <c r="P47" s="15" t="n"/>
    </row>
    <row r="48">
      <c r="A48" s="11" t="n">
        <v>2</v>
      </c>
      <c r="B48" s="11" t="inlineStr">
        <is>
          <t>2.32</t>
        </is>
      </c>
      <c r="C48" s="12" t="inlineStr">
        <is>
          <t>Who hears about what</t>
        </is>
      </c>
      <c r="D48" s="12" t="inlineStr">
        <is>
          <t>Notifications</t>
        </is>
      </c>
      <c r="E48" s="13" t="inlineStr">
        <is>
          <t>Switch off a notice and see email and WhatsApp follow</t>
        </is>
      </c>
      <c r="F48" s="14" t="inlineStr">
        <is>
          <t>1. Click the "Notifications" tab
2. On "A new lead arrives" switch off "In app"
3. Point at its greyed "WhatsApp" switch
4. Switch "In app" back on</t>
        </is>
      </c>
      <c r="G48" s="14" t="inlineStr">
        <is>
          <t>Email and WhatsApp go grey and off; the tip says "Goes out with the in-app notice — switch In app on first"; both return after.</t>
        </is>
      </c>
      <c r="H48" s="12" t="inlineStr">
        <is>
          <t>Different from 1.0: set per event, not per category</t>
        </is>
      </c>
      <c r="I48" s="11" t="inlineStr">
        <is>
          <t>Dane</t>
        </is>
      </c>
      <c r="J48" s="15" t="n"/>
      <c r="K48" s="15" t="n"/>
      <c r="L48" s="15" t="n"/>
      <c r="M48" s="16" t="n"/>
      <c r="N48" s="17" t="n"/>
      <c r="O48" s="17" t="n"/>
      <c r="P48" s="15" t="n"/>
    </row>
    <row r="49">
      <c r="A49" s="11" t="n">
        <v>2</v>
      </c>
      <c r="B49" s="11" t="inlineStr">
        <is>
          <t>2.33</t>
        </is>
      </c>
      <c r="C49" s="12" t="inlineStr">
        <is>
          <t>Who hears about what</t>
        </is>
      </c>
      <c r="D49" s="12" t="inlineStr">
        <is>
          <t>Notifications</t>
        </is>
      </c>
      <c r="E49" s="13" t="inlineStr">
        <is>
          <t>Preview a WhatsApp message with a field filled in</t>
        </is>
      </c>
      <c r="F49" s="14" t="inlineStr">
        <is>
          <t>1. Under "Message wording", on "A new lead arrives · WhatsApp" click "Edit"
2. Click at the end of "Message", then "Insert a field" › "The lead’s source"
3. Read "Preview"
4. Click "Cancel"</t>
        </is>
      </c>
      <c r="G49" s="14" t="inlineStr">
        <is>
          <t>The preview fills the new field with a sample source ("Website"); Cancel leaves the message as it was.</t>
        </is>
      </c>
      <c r="H49" s="12" t="inlineStr">
        <is>
          <t>Same as 1.0</t>
        </is>
      </c>
      <c r="I49" s="11" t="inlineStr">
        <is>
          <t>Dane</t>
        </is>
      </c>
      <c r="J49" s="15" t="n"/>
      <c r="K49" s="15" t="n"/>
      <c r="L49" s="15" t="n"/>
      <c r="M49" s="16" t="n"/>
      <c r="N49" s="17" t="n"/>
      <c r="O49" s="17" t="n"/>
      <c r="P49" s="15" t="n"/>
    </row>
    <row r="50">
      <c r="A50" s="11" t="n">
        <v>2</v>
      </c>
      <c r="B50" s="11" t="inlineStr">
        <is>
          <t>2.34</t>
        </is>
      </c>
      <c r="C50" s="12" t="inlineStr">
        <is>
          <t>Leave the studio as you found it</t>
        </is>
      </c>
      <c r="D50" s="12" t="inlineStr">
        <is>
          <t>Settings</t>
        </is>
      </c>
      <c r="E50" s="13" t="inlineStr">
        <is>
          <t>Put the lead sources back as they were</t>
        </is>
      </c>
      <c r="F50" s="14" t="inlineStr">
        <is>
          <t>1. On "Lead management" click ✕ on Xiaohongshu, then "Undo" in the message
2. Click ✕ on Xiaohongshu again
3. Click "Showroom walk-in", change "Name" back to Walk-in, click "Save"</t>
        </is>
      </c>
      <c r="G50" s="14" t="inlineStr">
        <is>
          <t>Undo says "Lead sources put back"; at the end the note under "Lead sources" says "These are the defaults."</t>
        </is>
      </c>
      <c r="H50" s="12" t="inlineStr">
        <is>
          <t>Different from 1.0: removing answers with Undo, not a confirm</t>
        </is>
      </c>
      <c r="I50" s="11" t="inlineStr">
        <is>
          <t>Dane</t>
        </is>
      </c>
      <c r="J50" s="15" t="n"/>
      <c r="K50" s="15" t="n"/>
      <c r="L50" s="15" t="n"/>
      <c r="M50" s="16" t="n"/>
      <c r="N50" s="17" t="n"/>
      <c r="O50" s="17" t="n"/>
      <c r="P50" s="15" t="n"/>
    </row>
    <row r="51">
      <c r="A51" s="11" t="n">
        <v>2</v>
      </c>
      <c r="B51" s="11" t="inlineStr">
        <is>
          <t>2.35</t>
        </is>
      </c>
      <c r="C51" s="12" t="inlineStr">
        <is>
          <t>Leave the studio as you found it</t>
        </is>
      </c>
      <c r="D51" s="12" t="inlineStr">
        <is>
          <t>Settings</t>
        </is>
      </c>
      <c r="E51" s="13" t="inlineStr">
        <is>
          <t>Remove the test reason and the test field</t>
        </is>
      </c>
      <c r="F51" s="14" t="inlineStr">
        <is>
          <t>1. Under "Lost and On Hold reasons" click ✕ on "Chose a contractor"
2. Under "Custom fields" click the bin on "Preferred contact time"
3. Click "Delete" in "Delete this field?"</t>
        </is>
      </c>
      <c r="G51" s="14" t="inlineStr">
        <is>
          <t>"Chose a contractor removed", "Preferred contact time deleted"; Lost and On Hold reasons says "These are the defaults." and Custom fields "No custom fields yet."</t>
        </is>
      </c>
      <c r="H51" s="12" t="inlineStr">
        <is>
          <t>Same as 1.0</t>
        </is>
      </c>
      <c r="I51" s="11" t="inlineStr">
        <is>
          <t>Dane</t>
        </is>
      </c>
      <c r="J51" s="15" t="n"/>
      <c r="K51" s="15" t="n"/>
      <c r="L51" s="15" t="n"/>
      <c r="M51" s="16" t="n"/>
      <c r="N51" s="17" t="n"/>
      <c r="O51" s="17" t="n"/>
      <c r="P51" s="15" t="n"/>
    </row>
    <row r="52">
      <c r="A52" s="11" t="n">
        <v>2</v>
      </c>
      <c r="B52" s="11" t="inlineStr">
        <is>
          <t>2.36</t>
        </is>
      </c>
      <c r="C52" s="12" t="inlineStr">
        <is>
          <t>Leave the studio as you found it</t>
        </is>
      </c>
      <c r="D52" s="12" t="inlineStr">
        <is>
          <t>Settings</t>
        </is>
      </c>
      <c r="E52" s="13" t="inlineStr">
        <is>
          <t>Take the Carpentry note off again</t>
        </is>
      </c>
      <c r="F52" s="14" t="inlineStr">
        <is>
          <t>1. On "Quotes &amp; pricing" click "Carpentry"
2. Clear "Note"
3. Click "Save"</t>
        </is>
      </c>
      <c r="G52" s="14" t="inlineStr">
        <is>
          <t>"Note removed from Carpentry"; the small note mark leaves the Carpentry chip.</t>
        </is>
      </c>
      <c r="H52" s="12" t="inlineStr">
        <is>
          <t>Same as 1.0</t>
        </is>
      </c>
      <c r="I52" s="11" t="inlineStr">
        <is>
          <t>Dane</t>
        </is>
      </c>
      <c r="J52" s="15" t="n"/>
      <c r="K52" s="15" t="n"/>
      <c r="L52" s="15" t="n"/>
      <c r="M52" s="16" t="n"/>
      <c r="N52" s="17" t="n"/>
      <c r="O52" s="17" t="n"/>
      <c r="P52" s="15" t="n"/>
    </row>
    <row r="53">
      <c r="A53" s="11" t="n">
        <v>2</v>
      </c>
      <c r="B53" s="11" t="inlineStr">
        <is>
          <t>2.37</t>
        </is>
      </c>
      <c r="C53" s="12" t="inlineStr">
        <is>
          <t>Leave the studio as you found it</t>
        </is>
      </c>
      <c r="D53" s="12" t="inlineStr">
        <is>
          <t>Company</t>
        </is>
      </c>
      <c r="E53" s="13" t="inlineStr">
        <is>
          <t>Leave Kavya out and remove the test company</t>
        </is>
      </c>
      <c r="F53" s="14" t="inlineStr">
        <is>
          <t>1. Company › "Members": click "Cancel invitation" on Kavya's row
2. Company › "Profile": click the bin on Demo Studio Carpentry Pte Ltd
3. Click "Save changes"
4. Open Settings › "Roles &amp; access" and read the heads of "Who may do what"</t>
        </is>
      </c>
      <c r="G53" s="14" t="inlineStr">
        <is>
          <t>"Invitation to Kavya Menon cancelled" and she moves under "Deactivated"; Profile lists one entity, Demo Studio Pte Ltd; the heads read "Designer · 4".</t>
        </is>
      </c>
      <c r="H53" s="12" t="inlineStr">
        <is>
          <t>Same as 1.0</t>
        </is>
      </c>
      <c r="I53" s="11" t="inlineStr">
        <is>
          <t>Dane</t>
        </is>
      </c>
      <c r="J53" s="15" t="n"/>
      <c r="K53" s="15" t="n"/>
      <c r="L53" s="15" t="n"/>
      <c r="M53" s="16" t="n"/>
      <c r="N53" s="17" t="n"/>
      <c r="O53" s="17" t="n"/>
      <c r="P53" s="15" t="n"/>
    </row>
    <row r="54">
      <c r="A54" s="11" t="n">
        <v>2</v>
      </c>
      <c r="B54" s="11" t="inlineStr">
        <is>
          <t>2.38</t>
        </is>
      </c>
      <c r="C54" s="12" t="inlineStr">
        <is>
          <t>One more check on your team</t>
        </is>
      </c>
      <c r="D54" s="12" t="inlineStr">
        <is>
          <t>Company</t>
        </is>
      </c>
      <c r="E54" s="13" t="inlineStr">
        <is>
          <t>Try an office landline as a new member’s only way in</t>
        </is>
      </c>
      <c r="F54" s="14" t="inlineStr">
        <is>
          <t>1. Company › "Members" › "Add member"; open "Role" and read the list
2. "Name" Test Landline · "Phone" 6222 0188 · leave "Email" empty; press "Add member"
3. Type test@demostudio.sg in "Email" and read "Phone" again
4. Press "Cancel"</t>
        </is>
      </c>
      <c r="G54" s="14" t="inlineStr">
        <is>
          <t>Role lists Marketing beside the other roles. With no email, the landline is refused under Phone: "Enter a mobile number (8 or 9 first) — the sign-in code goes there"; nobody is added. With an email beside it the message goes — the landline is then just their number. Cancel adds no one.</t>
        </is>
      </c>
      <c r="H54" s="12" t="inlineStr">
        <is>
          <t>Different from 1.0: a landline can’t be the only way in</t>
        </is>
      </c>
      <c r="I54" s="11" t="inlineStr">
        <is>
          <t>Dane</t>
        </is>
      </c>
      <c r="J54" s="15" t="n"/>
      <c r="K54" s="15" t="n"/>
      <c r="L54" s="15" t="n"/>
      <c r="M54" s="16" t="n"/>
      <c r="N54" s="17" t="n"/>
      <c r="O54" s="17" t="n"/>
      <c r="P54" s="15" t="n"/>
    </row>
    <row r="55" ht="22" customHeight="1">
      <c r="A55" s="9" t="inlineStr">
        <is>
          <t>Chapter 3 · Build your library — Price book, templates and the question bank.</t>
        </is>
      </c>
      <c r="M55" s="10" t="n"/>
    </row>
    <row r="56">
      <c r="A56" s="11" t="n">
        <v>3</v>
      </c>
      <c r="B56" s="11" t="inlineStr">
        <is>
          <t>3.01</t>
        </is>
      </c>
      <c r="C56" s="12" t="inlineStr">
        <is>
          <t>Open the price book</t>
        </is>
      </c>
      <c r="D56" s="12" t="inlineStr">
        <is>
          <t>Price book</t>
        </is>
      </c>
      <c r="E56" s="13" t="inlineStr">
        <is>
          <t>Open the studio's price book</t>
        </is>
      </c>
      <c r="F56" s="14" t="inlineStr">
        <is>
          <t>1. Click "Company" in the side navigation
2. Click "Price book"
3. Click "Grid view" (the cards icon, top right)</t>
        </is>
      </c>
      <c r="G56" s="14" t="inlineStr">
        <is>
          <t>"My Items" opens as a list; "Grid view" shows folders "Wet works" and "Kitchen", item cards with prices, a "1 proposed" chip and "Kind: All".</t>
        </is>
      </c>
      <c r="H56" s="12" t="inlineStr">
        <is>
          <t>Different from 1.0: under Company, not Accounts</t>
        </is>
      </c>
      <c r="I56" s="11" t="inlineStr">
        <is>
          <t>Dane</t>
        </is>
      </c>
      <c r="J56" s="15" t="n"/>
      <c r="K56" s="15" t="n"/>
      <c r="L56" s="15" t="n"/>
      <c r="M56" s="16" t="n"/>
      <c r="N56" s="17" t="n"/>
      <c r="O56" s="17" t="n"/>
      <c r="P56" s="15" t="n"/>
    </row>
    <row r="57">
      <c r="A57" s="11" t="n">
        <v>3</v>
      </c>
      <c r="B57" s="11" t="inlineStr">
        <is>
          <t>3.02</t>
        </is>
      </c>
      <c r="C57" s="12" t="inlineStr">
        <is>
          <t>Open the price book</t>
        </is>
      </c>
      <c r="D57" s="12" t="inlineStr">
        <is>
          <t>Price book</t>
        </is>
      </c>
      <c r="E57" s="13" t="inlineStr">
        <is>
          <t>See one product from two suppliers</t>
        </is>
      </c>
      <c r="F57" s="14" t="inlineStr">
        <is>
          <t>1. Click the "Wet works" folder
2. Look at the two "Homogeneous tiles 600×600, supply and lay" cards
3. Click "My Items" in the path at the top to go back</t>
        </is>
      </c>
      <c r="G57" s="14" t="inlineStr">
        <is>
          <t>The same tile shows twice — "by Hafary" and "by Soon Bee Huat", each S$11.00 per sqft: one item per supplier.</t>
        </is>
      </c>
      <c r="H57" s="12" t="inlineStr">
        <is>
          <t>Different from 1.0: one vendor per item, not several</t>
        </is>
      </c>
      <c r="I57" s="11" t="inlineStr">
        <is>
          <t>Dane</t>
        </is>
      </c>
      <c r="J57" s="15" t="n"/>
      <c r="K57" s="15" t="n"/>
      <c r="L57" s="15" t="n"/>
      <c r="M57" s="16" t="n"/>
      <c r="N57" s="17" t="n"/>
      <c r="O57" s="17" t="n"/>
      <c r="P57" s="15" t="n"/>
    </row>
    <row r="58">
      <c r="A58" s="11" t="n">
        <v>3</v>
      </c>
      <c r="B58" s="11" t="inlineStr">
        <is>
          <t>3.03</t>
        </is>
      </c>
      <c r="C58" s="12" t="inlineStr">
        <is>
          <t>Add the fluted panel</t>
        </is>
      </c>
      <c r="D58" s="12" t="inlineStr">
        <is>
          <t>Price book</t>
        </is>
      </c>
      <c r="E58" s="13" t="inlineStr">
        <is>
          <t>Add a new item with a price in cents</t>
        </is>
      </c>
      <c r="F58" s="14" t="inlineStr">
        <is>
          <t>1. Click "New" › "New item"
2. "Item name": Fluted feature wall panel · "Description": Oak veneer fluted panel, 20 mm slats, supply and install
3. "Kind": Purchase · "Unit": sqft
4. "Cost (S$)": 28.50 · "Markup (S$)": 11.50
5. Don’t save yet — the next step finishes this window</t>
        </is>
      </c>
      <c r="G58" s="14" t="inlineStr">
        <is>
          <t>Under Markup it reads "Unit price S$40.00" — the cents are kept exactly as typed.</t>
        </is>
      </c>
      <c r="H58" s="12" t="inlineStr">
        <is>
          <t>Different from 1.0: markup in S$, not a percentage</t>
        </is>
      </c>
      <c r="I58" s="11" t="inlineStr">
        <is>
          <t>Dane</t>
        </is>
      </c>
      <c r="J58" s="15" t="n"/>
      <c r="K58" s="15" t="n"/>
      <c r="L58" s="15" t="n"/>
      <c r="M58" s="16" t="n"/>
      <c r="N58" s="17" t="n"/>
      <c r="O58" s="17" t="n"/>
      <c r="P58" s="15" t="n"/>
    </row>
    <row r="59">
      <c r="A59" s="11" t="n">
        <v>3</v>
      </c>
      <c r="B59" s="11" t="inlineStr">
        <is>
          <t>3.04</t>
        </is>
      </c>
      <c r="C59" s="12" t="inlineStr">
        <is>
          <t>Add the fluted panel</t>
        </is>
      </c>
      <c r="D59" s="12" t="inlineStr">
        <is>
          <t>Price book</t>
        </is>
      </c>
      <c r="E59" s="13" t="inlineStr">
        <is>
          <t>Give it a trade, a supplier and a product link</t>
        </is>
      </c>
      <c r="F59" s="14" t="inlineStr">
        <is>
          <t>Still in "New item":
1. "Category": pick Carpentry (the list is the studio's trades)
2. "Vendor": type Timber Craft (the list under it is Finance › Vendors; keep the new name as typed)
3. Leave "Waste (%)" empty · "Website link": www.example.com/fluted-panel
4. Click "Add to My Items"</t>
        </is>
      </c>
      <c r="G59" s="14" t="inlineStr">
        <is>
          <t>A message says "Fluted feature wall panel added to My Items"; its card shows S$40.00 per sqft on the picture and reads "by Timber Craft · Carpentry" under the name.</t>
        </is>
      </c>
      <c r="H59" s="12" t="inlineStr">
        <is>
          <t>Same as 1.0</t>
        </is>
      </c>
      <c r="I59" s="11" t="inlineStr">
        <is>
          <t>Dane</t>
        </is>
      </c>
      <c r="J59" s="15" t="n"/>
      <c r="K59" s="15" t="n"/>
      <c r="L59" s="15" t="n"/>
      <c r="M59" s="16" t="n"/>
      <c r="N59" s="17" t="n"/>
      <c r="O59" s="17" t="n"/>
      <c r="P59" s="15" t="n"/>
    </row>
    <row r="60">
      <c r="A60" s="11" t="n">
        <v>3</v>
      </c>
      <c r="B60" s="11" t="inlineStr">
        <is>
          <t>3.05</t>
        </is>
      </c>
      <c r="C60" s="12" t="inlineStr">
        <is>
          <t>Add the fluted panel</t>
        </is>
      </c>
      <c r="D60" s="12" t="inlineStr">
        <is>
          <t>Price book</t>
        </is>
      </c>
      <c r="E60" s="13" t="inlineStr">
        <is>
          <t>Add a photo of the panel</t>
        </is>
      </c>
      <c r="F60" s="14" t="inlineStr">
        <is>
          <t>1. Click the "Fluted feature wall panel" card
2. In "Edit item", click the "Photo" box and pick fluted-panel.jpg
3. Click "Save"</t>
        </is>
      </c>
      <c r="G60" s="14" t="inlineStr">
        <is>
          <t>A message says "Item saved" and the card now shows your photo instead of the cart icon.</t>
        </is>
      </c>
      <c r="H60" s="12" t="inlineStr">
        <is>
          <t>Same as 1.0</t>
        </is>
      </c>
      <c r="I60" s="11" t="inlineStr">
        <is>
          <t>Dane</t>
        </is>
      </c>
      <c r="J60" s="15" t="n"/>
      <c r="K60" s="15" t="n"/>
      <c r="L60" s="15" t="n"/>
      <c r="M60" s="16" t="n"/>
      <c r="N60" s="17" t="n"/>
      <c r="O60" s="17" t="n"/>
      <c r="P60" s="15" t="n"/>
    </row>
    <row r="61">
      <c r="A61" s="11" t="n">
        <v>3</v>
      </c>
      <c r="B61" s="11" t="inlineStr">
        <is>
          <t>3.06</t>
        </is>
      </c>
      <c r="C61" s="12" t="inlineStr">
        <is>
          <t>Add the fluted panel</t>
        </is>
      </c>
      <c r="D61" s="12" t="inlineStr">
        <is>
          <t>Price book</t>
        </is>
      </c>
      <c r="E61" s="13" t="inlineStr">
        <is>
          <t>Change its cost and read the item's history</t>
        </is>
      </c>
      <c r="F61" s="14" t="inlineStr">
        <is>
          <t>1. Open the fluted panel again
2. "Cost (S$)": 30.50, then click "Save"
3. Open it once more and read "History" beside the form (below it on a phone)</t>
        </is>
      </c>
      <c r="G61" s="14" t="inlineStr">
        <is>
          <t>History lists "Added by Dane" and two "Changed by Dane" entries — "Photo added" and "Cost S$28.50 → S$30.50". Unit price is now S$42.00.</t>
        </is>
      </c>
      <c r="H61" s="12" t="inlineStr">
        <is>
          <t>Different from 1.0: every change kept, before → after</t>
        </is>
      </c>
      <c r="I61" s="11" t="inlineStr">
        <is>
          <t>Dane</t>
        </is>
      </c>
      <c r="J61" s="15" t="n"/>
      <c r="K61" s="15" t="n"/>
      <c r="L61" s="15" t="n"/>
      <c r="M61" s="16" t="n"/>
      <c r="N61" s="17" t="n"/>
      <c r="O61" s="17" t="n"/>
      <c r="P61" s="15" t="n"/>
    </row>
    <row r="62">
      <c r="A62" s="11" t="n">
        <v>3</v>
      </c>
      <c r="B62" s="11" t="inlineStr">
        <is>
          <t>3.07</t>
        </is>
      </c>
      <c r="C62" s="12" t="inlineStr">
        <is>
          <t>Find, sort and change many</t>
        </is>
      </c>
      <c r="D62" s="12" t="inlineStr">
        <is>
          <t>Price book</t>
        </is>
      </c>
      <c r="E62" s="13" t="inlineStr">
        <is>
          <t>Sort the list by price</t>
        </is>
      </c>
      <c r="F62" s="14" t="inlineStr">
        <is>
          <t>1. Click "List view" (the list icon, top right)
2. Click the "Unit price" column heading
3. Click it again</t>
        </is>
      </c>
      <c r="G62" s="14" t="inlineStr">
        <is>
          <t>Items sort cheapest first with an up arrow, then dearest first with a down arrow.</t>
        </is>
      </c>
      <c r="H62" s="12" t="inlineStr">
        <is>
          <t>Same as 1.0</t>
        </is>
      </c>
      <c r="I62" s="11" t="inlineStr">
        <is>
          <t>Dane</t>
        </is>
      </c>
      <c r="J62" s="15" t="n"/>
      <c r="K62" s="15" t="n"/>
      <c r="L62" s="15" t="n"/>
      <c r="M62" s="16" t="n"/>
      <c r="N62" s="17" t="n"/>
      <c r="O62" s="17" t="n"/>
      <c r="P62" s="15" t="n"/>
    </row>
    <row r="63">
      <c r="A63" s="11" t="n">
        <v>3</v>
      </c>
      <c r="B63" s="11" t="inlineStr">
        <is>
          <t>3.08</t>
        </is>
      </c>
      <c r="C63" s="12" t="inlineStr">
        <is>
          <t>Find, sort and change many</t>
        </is>
      </c>
      <c r="D63" s="12" t="inlineStr">
        <is>
          <t>Price book</t>
        </is>
      </c>
      <c r="E63" s="13" t="inlineStr">
        <is>
          <t>Show only one trade's items</t>
        </is>
      </c>
      <c r="F63" s="14" t="inlineStr">
        <is>
          <t>1. Click "Filters" (the three-lines icon beside the search)
2. "Category": Tiling, then click "Done"
3. When checked, open "Filters" again and click "Clear All"</t>
        </is>
      </c>
      <c r="G63" s="14" t="inlineStr">
        <is>
          <t>Only the two Homogeneous tiles items show, each marked with its folder "Wet works"; "Clear All" brings every item back.</t>
        </is>
      </c>
      <c r="H63" s="12" t="inlineStr">
        <is>
          <t>Different from 1.0: a category filter, not grouped lists</t>
        </is>
      </c>
      <c r="I63" s="11" t="inlineStr">
        <is>
          <t>Dane</t>
        </is>
      </c>
      <c r="J63" s="15" t="n"/>
      <c r="K63" s="15" t="n"/>
      <c r="L63" s="15" t="n"/>
      <c r="M63" s="16" t="n"/>
      <c r="N63" s="17" t="n"/>
      <c r="O63" s="17" t="n"/>
      <c r="P63" s="15" t="n"/>
    </row>
    <row r="64">
      <c r="A64" s="11" t="n">
        <v>3</v>
      </c>
      <c r="B64" s="11" t="inlineStr">
        <is>
          <t>3.09</t>
        </is>
      </c>
      <c r="C64" s="12" t="inlineStr">
        <is>
          <t>Find, sort and change many</t>
        </is>
      </c>
      <c r="D64" s="12" t="inlineStr">
        <is>
          <t>Price book</t>
        </is>
      </c>
      <c r="E64" s="13" t="inlineStr">
        <is>
          <t>Look at an item a designer proposed</t>
        </is>
      </c>
      <c r="F64" s="14" t="inlineStr">
        <is>
          <t>1. Click the "1 proposed" chip at the top
2. Click "Skirting, PVC 80 mm"
3. Read the bar at the top, then click "Cancel"
4. Click "1 proposed" again to see every item</t>
        </is>
      </c>
      <c r="G64" s="14" t="inlineStr">
        <is>
          <t>The bar says Sarah proposed it and only their quotes use it until approved; "Send back…" and "Approve" wait for chapter 10.</t>
        </is>
      </c>
      <c r="H64" s="12" t="inlineStr">
        <is>
          <t>Different from 1.0: not used studio-wide until approved</t>
        </is>
      </c>
      <c r="I64" s="11" t="inlineStr">
        <is>
          <t>Dane</t>
        </is>
      </c>
      <c r="J64" s="15" t="n"/>
      <c r="K64" s="15" t="n"/>
      <c r="L64" s="15" t="n"/>
      <c r="M64" s="16" t="n"/>
      <c r="N64" s="17" t="n"/>
      <c r="O64" s="17" t="n"/>
      <c r="P64" s="15" t="n"/>
    </row>
    <row r="65">
      <c r="A65" s="11" t="n">
        <v>3</v>
      </c>
      <c r="B65" s="11" t="inlineStr">
        <is>
          <t>3.10</t>
        </is>
      </c>
      <c r="C65" s="12" t="inlineStr">
        <is>
          <t>Find, sort and change many</t>
        </is>
      </c>
      <c r="D65" s="12" t="inlineStr">
        <is>
          <t>Price book</t>
        </is>
      </c>
      <c r="E65" s="13" t="inlineStr">
        <is>
          <t>Re-price two items at once, then undo</t>
        </is>
      </c>
      <c r="F65" s="14" t="inlineStr">
        <is>
          <t>1. Tick "Vinyl flooring, supply and install" and "Electrical point, new"
2. In the bar at the bottom, click "Set markup"
3. "Markup (% of cost)": 30, then click "Apply to 2 items"
4. On the message "2 items changed", click "Undo" straight away</t>
        </is>
      </c>
      <c r="G65" s="14" t="inlineStr">
        <is>
          <t>Unit prices change to S$7.15 and S$71.50, then Undo puts them back to S$7.00 and S$70.00.</t>
        </is>
      </c>
      <c r="H65" s="12" t="inlineStr">
        <is>
          <t>Different from 1.0: a markup % re-prices the items</t>
        </is>
      </c>
      <c r="I65" s="11" t="inlineStr">
        <is>
          <t>Dane</t>
        </is>
      </c>
      <c r="J65" s="15" t="n"/>
      <c r="K65" s="15" t="n"/>
      <c r="L65" s="15" t="n"/>
      <c r="M65" s="16" t="n"/>
      <c r="N65" s="17" t="n"/>
      <c r="O65" s="17" t="n"/>
      <c r="P65" s="15" t="n"/>
    </row>
    <row r="66">
      <c r="A66" s="11" t="n">
        <v>3</v>
      </c>
      <c r="B66" s="11" t="inlineStr">
        <is>
          <t>3.11</t>
        </is>
      </c>
      <c r="C66" s="12" t="inlineStr">
        <is>
          <t>Import and export</t>
        </is>
      </c>
      <c r="D66" s="12" t="inlineStr">
        <is>
          <t>Price book</t>
        </is>
      </c>
      <c r="E66" s="13" t="inlineStr">
        <is>
          <t>Export My Items to a spreadsheet</t>
        </is>
      </c>
      <c r="F66" s="14" t="inlineStr">
        <is>
          <t>1. Click the ⋮ menu ("More options", top right)
2. Click "Export My Items…"
3. Keep "All items" (leave "Include proposed items" unticked) and "Choose file format": CSV
4. Click "Export"</t>
        </is>
      </c>
      <c r="G66" s="14" t="inlineStr">
        <is>
          <t>my-items.csv downloads and a message says how many items were exported as CSV; the file has an Item column with every approved item’s name — items still waiting for approval are left out unless you tick "Include proposed items".</t>
        </is>
      </c>
      <c r="H66" s="12" t="inlineStr">
        <is>
          <t>Different from 1.0: live items only, with their names</t>
        </is>
      </c>
      <c r="I66" s="11" t="inlineStr">
        <is>
          <t>Dane</t>
        </is>
      </c>
      <c r="J66" s="15" t="n"/>
      <c r="K66" s="15" t="n"/>
      <c r="L66" s="15" t="n"/>
      <c r="M66" s="16" t="n"/>
      <c r="N66" s="17" t="n"/>
      <c r="O66" s="17" t="n"/>
      <c r="P66" s="15" t="n"/>
    </row>
    <row r="67">
      <c r="A67" s="11" t="n">
        <v>3</v>
      </c>
      <c r="B67" s="11" t="inlineStr">
        <is>
          <t>3.12</t>
        </is>
      </c>
      <c r="C67" s="12" t="inlineStr">
        <is>
          <t>Import and export</t>
        </is>
      </c>
      <c r="D67" s="12" t="inlineStr">
        <is>
          <t>Price book</t>
        </is>
      </c>
      <c r="E67" s="13" t="inlineStr">
        <is>
          <t>Import a supplier's price list</t>
        </is>
      </c>
      <c r="F67" s="14" t="inlineStr">
        <is>
          <t>1. Click "New" › "Import from a spreadsheet…"
2. Drop supplier-price-list.csv on the box (or click "browse")
3. In "Import into My Items", read the "In My Items" column and the notes below</t>
        </is>
      </c>
      <c r="G67" s="14" t="inlineStr">
        <is>
          <t>Rows read New · Updates its price · New · Repeats — skipped; notes name the match, the repeat and new trade "Glass &amp; Mirror".</t>
        </is>
      </c>
      <c r="H67" s="12" t="inlineStr">
        <is>
          <t>Different from 1.0: matches existing items; no PDF reading</t>
        </is>
      </c>
      <c r="I67" s="11" t="inlineStr">
        <is>
          <t>Dane</t>
        </is>
      </c>
      <c r="J67" s="15" t="n"/>
      <c r="K67" s="15" t="n"/>
      <c r="L67" s="15" t="n"/>
      <c r="M67" s="16" t="n"/>
      <c r="N67" s="17" t="n"/>
      <c r="O67" s="17" t="n"/>
      <c r="P67" s="15" t="n"/>
    </row>
    <row r="68">
      <c r="A68" s="11" t="n">
        <v>3</v>
      </c>
      <c r="B68" s="11" t="inlineStr">
        <is>
          <t>3.13</t>
        </is>
      </c>
      <c r="C68" s="12" t="inlineStr">
        <is>
          <t>Import and export</t>
        </is>
      </c>
      <c r="D68" s="12" t="inlineStr">
        <is>
          <t>Price book</t>
        </is>
      </c>
      <c r="E68" s="13" t="inlineStr">
        <is>
          <t>Finish the import</t>
        </is>
      </c>
      <c r="F68" s="14" t="inlineStr">
        <is>
          <t>1. Keep "Rows that match" on "Update the price"
2. Click "Import 3 rows"</t>
        </is>
      </c>
      <c r="G68" s="14" t="inlineStr">
        <is>
          <t>A message says "2 items added · 1 updated · 1 skipped"; only those three show, under a "3 just imported" chip — shower screen, wallpaper, Vinyl flooring now S$7.30.</t>
        </is>
      </c>
      <c r="H68" s="12" t="inlineStr">
        <is>
          <t>Different from 1.0: repeats skipped, matches updated, no duplicates</t>
        </is>
      </c>
      <c r="I68" s="11" t="inlineStr">
        <is>
          <t>Dane</t>
        </is>
      </c>
      <c r="J68" s="15" t="n"/>
      <c r="K68" s="15" t="n"/>
      <c r="L68" s="15" t="n"/>
      <c r="M68" s="16" t="n"/>
      <c r="N68" s="17" t="n"/>
      <c r="O68" s="17" t="n"/>
      <c r="P68" s="15" t="n"/>
    </row>
    <row r="69">
      <c r="A69" s="11" t="n">
        <v>3</v>
      </c>
      <c r="B69" s="11" t="inlineStr">
        <is>
          <t>3.14</t>
        </is>
      </c>
      <c r="C69" s="12" t="inlineStr">
        <is>
          <t>Delete safely, save a section</t>
        </is>
      </c>
      <c r="D69" s="12" t="inlineStr">
        <is>
          <t>Price book</t>
        </is>
      </c>
      <c r="E69" s="13" t="inlineStr">
        <is>
          <t>Delete an item that quotes already use</t>
        </is>
      </c>
      <c r="F69" s="14" t="inlineStr">
        <is>
          <t>1. Click the "3 just imported" chip to see every item again
2. Point at "Electrical point, new" and open its ⋮ menu › "Delete"
3. Read the warning, then click "Delete" (don't press Undo)</t>
        </is>
      </c>
      <c r="G69" s="14" t="inlineStr">
        <is>
          <t>The warning says it’s on 7 quotes — they keep their lines — and new quotes can’t pick it until you restore it from Deleted Items; the item leaves the list.</t>
        </is>
      </c>
      <c r="H69" s="12" t="inlineStr">
        <is>
          <t>Different from 1.0: deleted items can be restored</t>
        </is>
      </c>
      <c r="I69" s="11" t="inlineStr">
        <is>
          <t>Dane</t>
        </is>
      </c>
      <c r="J69" s="15" t="n"/>
      <c r="K69" s="15" t="n"/>
      <c r="L69" s="15" t="n"/>
      <c r="M69" s="16" t="n"/>
      <c r="N69" s="17" t="n"/>
      <c r="O69" s="17" t="n"/>
      <c r="P69" s="15" t="n"/>
    </row>
    <row r="70">
      <c r="A70" s="11" t="n">
        <v>3</v>
      </c>
      <c r="B70" s="11" t="inlineStr">
        <is>
          <t>3.15</t>
        </is>
      </c>
      <c r="C70" s="12" t="inlineStr">
        <is>
          <t>Delete safely, save a section</t>
        </is>
      </c>
      <c r="D70" s="12" t="inlineStr">
        <is>
          <t>Price book</t>
        </is>
      </c>
      <c r="E70" s="13" t="inlineStr">
        <is>
          <t>Bring the deleted item back</t>
        </is>
      </c>
      <c r="F70" s="14" t="inlineStr">
        <is>
          <t>1. Click the ⋮ menu ("More options", top right) › "Deleted Items · 1"
2. Point at "Delete Forever" on Electrical point, new
3. Click "Restore"</t>
        </is>
      </c>
      <c r="G70" s="14" t="inlineStr">
        <is>
          <t>"Delete Forever" is greyed out — it is on quotes, restore it instead — and "Restore" puts the item back in My Items.</t>
        </is>
      </c>
      <c r="H70" s="12" t="inlineStr">
        <is>
          <t>Different from 1.0: items on quotes can't be deleted forever</t>
        </is>
      </c>
      <c r="I70" s="11" t="inlineStr">
        <is>
          <t>Dane</t>
        </is>
      </c>
      <c r="J70" s="15" t="n"/>
      <c r="K70" s="15" t="n"/>
      <c r="L70" s="15" t="n"/>
      <c r="M70" s="16" t="n"/>
      <c r="N70" s="17" t="n"/>
      <c r="O70" s="17" t="n"/>
      <c r="P70" s="15" t="n"/>
    </row>
    <row r="71">
      <c r="A71" s="11" t="n">
        <v>3</v>
      </c>
      <c r="B71" s="11" t="inlineStr">
        <is>
          <t>3.16</t>
        </is>
      </c>
      <c r="C71" s="12" t="inlineStr">
        <is>
          <t>Delete safely, save a section</t>
        </is>
      </c>
      <c r="D71" s="12" t="inlineStr">
        <is>
          <t>Price book</t>
        </is>
      </c>
      <c r="E71" s="13" t="inlineStr">
        <is>
          <t>Save a whole section for future quotes</t>
        </is>
      </c>
      <c r="F71"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71" s="14" t="inlineStr">
        <is>
          <t>A message says "Feature wall package added to My Sections"; its card reads "2 items · S$2,800.00 · HDB 4-Room".</t>
        </is>
      </c>
      <c r="H71" s="12" t="inlineStr">
        <is>
          <t>Different from 1.0: Packages are now My Sections</t>
        </is>
      </c>
      <c r="I71" s="11" t="inlineStr">
        <is>
          <t>Dane</t>
        </is>
      </c>
      <c r="J71" s="15" t="n"/>
      <c r="K71" s="15" t="n"/>
      <c r="L71" s="15" t="n"/>
      <c r="M71" s="16" t="n"/>
      <c r="N71" s="17" t="n"/>
      <c r="O71" s="17" t="n"/>
      <c r="P71" s="15" t="n"/>
    </row>
    <row r="72">
      <c r="A72" s="11" t="n">
        <v>3</v>
      </c>
      <c r="B72" s="11" t="inlineStr">
        <is>
          <t>3.17</t>
        </is>
      </c>
      <c r="C72" s="12" t="inlineStr">
        <is>
          <t>The template libraries</t>
        </is>
      </c>
      <c r="D72" s="12" t="inlineStr">
        <is>
          <t>Templates</t>
        </is>
      </c>
      <c r="E72" s="13" t="inlineStr">
        <is>
          <t>Open the studio's templates</t>
        </is>
      </c>
      <c r="F72" s="14" t="inlineStr">
        <is>
          <t>1. Click "Company" › "Templates"</t>
        </is>
      </c>
      <c r="G72" s="14" t="inlineStr">
        <is>
          <t>It opens on "Quotes": "Default Quote PDF" with a "Default" chip, the "HDB" and "Show flats" folders, and a "1 awaiting approval" chip.</t>
        </is>
      </c>
      <c r="H72" s="12" t="inlineStr">
        <is>
          <t>Different from 1.0: Company › Templates, with drafts and versions</t>
        </is>
      </c>
      <c r="I72" s="11" t="inlineStr">
        <is>
          <t>Dane</t>
        </is>
      </c>
      <c r="J72" s="15" t="n"/>
      <c r="K72" s="15" t="n"/>
      <c r="L72" s="15" t="n"/>
      <c r="M72" s="16" t="n"/>
      <c r="N72" s="17" t="n"/>
      <c r="O72" s="17" t="n"/>
      <c r="P72" s="15" t="n"/>
    </row>
    <row r="73">
      <c r="A73" s="11" t="n">
        <v>3</v>
      </c>
      <c r="B73" s="11" t="inlineStr">
        <is>
          <t>3.18</t>
        </is>
      </c>
      <c r="C73" s="12" t="inlineStr">
        <is>
          <t>The template libraries</t>
        </is>
      </c>
      <c r="D73" s="12" t="inlineStr">
        <is>
          <t>Templates</t>
        </is>
      </c>
      <c r="E73" s="13" t="inlineStr">
        <is>
          <t>Make a 40/60 payment split</t>
        </is>
      </c>
      <c r="F73" s="14" t="inlineStr">
        <is>
          <t>1. Click the "Payment schedules" tab › "New" › "Blank split"
2. Click the name "Untitled split" and type 40/60
3. Change the first "Share (%)" to 40 and read the line beside "Total"
4. Change the second to 60, then click "Done"</t>
        </is>
      </c>
      <c r="G73" s="14" t="inlineStr">
        <is>
          <t>At 90% it warns "10% short — the last payment will not close the quote"; at 100% it reads "Adds up to the quote".</t>
        </is>
      </c>
      <c r="H73" s="12" t="inlineStr">
        <is>
          <t>Same as 1.0</t>
        </is>
      </c>
      <c r="I73" s="11" t="inlineStr">
        <is>
          <t>Dane</t>
        </is>
      </c>
      <c r="J73" s="15" t="n"/>
      <c r="K73" s="15" t="n"/>
      <c r="L73" s="15" t="n"/>
      <c r="M73" s="16" t="n"/>
      <c r="N73" s="17" t="n"/>
      <c r="O73" s="17" t="n"/>
      <c r="P73" s="15" t="n"/>
    </row>
    <row r="74">
      <c r="A74" s="11" t="n">
        <v>3</v>
      </c>
      <c r="B74" s="11" t="inlineStr">
        <is>
          <t>3.19</t>
        </is>
      </c>
      <c r="C74" s="12" t="inlineStr">
        <is>
          <t>The template libraries</t>
        </is>
      </c>
      <c r="D74" s="12" t="inlineStr">
        <is>
          <t>Templates</t>
        </is>
      </c>
      <c r="E74" s="13" t="inlineStr">
        <is>
          <t>Write a reusable site-protection note</t>
        </is>
      </c>
      <c r="F74" s="14" t="inlineStr">
        <is>
          <t>1. Click the "T&amp;Cs &amp; Notes" tab › "New" › "Additional Notes"
2. Rename "Untitled template" to Site protection
3. In the text, type: Floors and lifts are protected before works start by — then "Insert a field" › "Studio Name"
4. Click "Done"</t>
        </is>
      </c>
      <c r="G74" s="14" t="inlineStr">
        <is>
          <t>The text ends with [Studio Name], filled in on each quote; the gallery shows "Site protection" with a "Notes" chip.</t>
        </is>
      </c>
      <c r="H74" s="12" t="inlineStr">
        <is>
          <t>Different from 1.0: [bracket] tokens, one library for both</t>
        </is>
      </c>
      <c r="I74" s="11" t="inlineStr">
        <is>
          <t>Dane</t>
        </is>
      </c>
      <c r="J74" s="15" t="n"/>
      <c r="K74" s="15" t="n"/>
      <c r="L74" s="15" t="n"/>
      <c r="M74" s="16" t="n"/>
      <c r="N74" s="17" t="n"/>
      <c r="O74" s="17" t="n"/>
      <c r="P74" s="15" t="n"/>
    </row>
    <row r="75">
      <c r="A75" s="11" t="n">
        <v>3</v>
      </c>
      <c r="B75" s="11" t="inlineStr">
        <is>
          <t>3.20</t>
        </is>
      </c>
      <c r="C75" s="12" t="inlineStr">
        <is>
          <t>The template libraries</t>
        </is>
      </c>
      <c r="D75" s="12" t="inlineStr">
        <is>
          <t>Templates</t>
        </is>
      </c>
      <c r="E75" s="13" t="inlineStr">
        <is>
          <t>Save a site-visit checklist as a task template</t>
        </is>
      </c>
      <c r="F75" s="14" t="inlineStr">
        <is>
          <t>1. Click the "Tasks" tab › "New" › "Blank template"; name it Site visit checklist
2. Change "First step" to Measure the site; "Due in (days)": 1
3. Click "Add a step": Photograph the existing condition; "Due in (days)": 1
4. Click "Done"</t>
        </is>
      </c>
      <c r="G75" s="14" t="inlineStr">
        <is>
          <t>Its card reads "2 steps · keeps members · descriptions" with a "Due dates" chip, ready for any lead's Tasks tab.</t>
        </is>
      </c>
      <c r="H75" s="12" t="inlineStr">
        <is>
          <t>New in 2.0</t>
        </is>
      </c>
      <c r="I75" s="11" t="inlineStr">
        <is>
          <t>Dane</t>
        </is>
      </c>
      <c r="J75" s="15" t="n"/>
      <c r="K75" s="15" t="n"/>
      <c r="L75" s="15" t="n"/>
      <c r="M75" s="16" t="n"/>
      <c r="N75" s="17" t="n"/>
      <c r="O75" s="17" t="n"/>
      <c r="P75" s="15" t="n"/>
    </row>
    <row r="76">
      <c r="A76" s="11" t="n">
        <v>3</v>
      </c>
      <c r="B76" s="11" t="inlineStr">
        <is>
          <t>3.21</t>
        </is>
      </c>
      <c r="C76" s="12" t="inlineStr">
        <is>
          <t>Contract templates</t>
        </is>
      </c>
      <c r="D76" s="12" t="inlineStr">
        <is>
          <t>Templates</t>
        </is>
      </c>
      <c r="E76" s="13" t="inlineStr">
        <is>
          <t>Start a contract template from the studio agreement</t>
        </is>
      </c>
      <c r="F76" s="14" t="inlineStr">
        <is>
          <t>1. Click the "Contracts" tab › "New" › "From the studio agreement"
2. Click the title and rename it Renovation Agreement (HDB)
3. Click "eSignatures" and look under "Before the client signs"
4. Close the panel and click "Done"</t>
        </is>
      </c>
      <c r="G76" s="14" t="inlineStr">
        <is>
          <t>"Read to the end" and "Tick to accept" are already on for a new template, and the words to tick are filled in; the gallery now lists "Renovation Agreement (HDB)".</t>
        </is>
      </c>
      <c r="H76" s="12" t="inlineStr">
        <is>
          <t>Different from 1.0: read-and-accept set on the template</t>
        </is>
      </c>
      <c r="I76" s="11" t="inlineStr">
        <is>
          <t>Dane</t>
        </is>
      </c>
      <c r="J76" s="15" t="n"/>
      <c r="K76" s="15" t="n"/>
      <c r="L76" s="15" t="n"/>
      <c r="M76" s="16" t="n"/>
      <c r="N76" s="17" t="n"/>
      <c r="O76" s="17" t="n"/>
      <c r="P76" s="15" t="n"/>
    </row>
    <row r="77">
      <c r="A77" s="11" t="n">
        <v>3</v>
      </c>
      <c r="B77" s="11" t="inlineStr">
        <is>
          <t>3.22</t>
        </is>
      </c>
      <c r="C77" s="12" t="inlineStr">
        <is>
          <t>Contract templates</t>
        </is>
      </c>
      <c r="D77" s="12" t="inlineStr">
        <is>
          <t>Templates</t>
        </is>
      </c>
      <c r="E77" s="13" t="inlineStr">
        <is>
          <t>Make the studio agreement the default contract</t>
        </is>
      </c>
      <c r="F77" s="14" t="inlineStr">
        <is>
          <t>1. On the "Contracts" tab, open the "Agreements" folder
2. On "Interior Design Service Agreement", open the ⋮ menu › "Set as default"</t>
        </is>
      </c>
      <c r="G77" s="14" t="inlineStr">
        <is>
          <t>A message says it is the default contract template and its card carries a "Default" chip.</t>
        </is>
      </c>
      <c r="H77" s="12" t="inlineStr">
        <is>
          <t>Same as 1.0</t>
        </is>
      </c>
      <c r="I77" s="11" t="inlineStr">
        <is>
          <t>Dane</t>
        </is>
      </c>
      <c r="J77" s="15" t="n"/>
      <c r="K77" s="15" t="n"/>
      <c r="L77" s="15" t="n"/>
      <c r="M77" s="16" t="n"/>
      <c r="N77" s="17" t="n"/>
      <c r="O77" s="17" t="n"/>
      <c r="P77" s="15" t="n"/>
    </row>
    <row r="78">
      <c r="A78" s="11" t="n">
        <v>3</v>
      </c>
      <c r="B78" s="11" t="inlineStr">
        <is>
          <t>3.23</t>
        </is>
      </c>
      <c r="C78" s="12" t="inlineStr">
        <is>
          <t>Build a quote template</t>
        </is>
      </c>
      <c r="D78" s="12" t="inlineStr">
        <is>
          <t>Templates</t>
        </is>
      </c>
      <c r="E78" s="13" t="inlineStr">
        <is>
          <t>Start a quote template from a ready-made design</t>
        </is>
      </c>
      <c r="F78" s="14" t="inlineStr">
        <is>
          <t>1. Click the "Quotes" tab › "New" › "Use a ready-made design"
2. Click the "Presentation" card ("Preview" shows its pages; "Back" returns)
3. "Template name": Studio Presentation, then click "Create template"
4. Click "Got it" on the tip bar</t>
        </is>
      </c>
      <c r="G78" s="14" t="inlineStr">
        <is>
          <t>The template editor opens on "Studio Presentation" with a "Draft" chip and a cover in the studio's accent colour.</t>
        </is>
      </c>
      <c r="H78" s="12" t="inlineStr">
        <is>
          <t>Different from 1.0: whole designs, not preset overlays</t>
        </is>
      </c>
      <c r="I78" s="11" t="inlineStr">
        <is>
          <t>Dane</t>
        </is>
      </c>
      <c r="J78" s="15" t="n"/>
      <c r="K78" s="15" t="n"/>
      <c r="L78" s="15" t="n"/>
      <c r="M78" s="16" t="n"/>
      <c r="N78" s="17" t="n"/>
      <c r="O78" s="17" t="n"/>
      <c r="P78" s="15" t="n"/>
    </row>
    <row r="79">
      <c r="A79" s="11" t="n">
        <v>3</v>
      </c>
      <c r="B79" s="11" t="inlineStr">
        <is>
          <t>3.24</t>
        </is>
      </c>
      <c r="C79" s="12" t="inlineStr">
        <is>
          <t>Build a quote template</t>
        </is>
      </c>
      <c r="D79" s="12" t="inlineStr">
        <is>
          <t>Templates</t>
        </is>
      </c>
      <c r="E79" s="13" t="inlineStr">
        <is>
          <t>Add a thank-you line to the page</t>
        </is>
      </c>
      <c r="F79" s="14" t="inlineStr">
        <is>
          <t>1. On the "Page" tab (left), click "Title &amp; intro"
2. Click "Add to the page" (bottom left) › "Text"
3. On the right, replace the words in "Text" with: Thank you for choosing Demo Studio,</t>
        </is>
      </c>
      <c r="G79" s="14" t="inlineStr">
        <is>
          <t>A "Text" row appears under "Title &amp; intro" and your sentence prints under "Scope of works" on the page.</t>
        </is>
      </c>
      <c r="H79" s="12" t="inlineStr">
        <is>
          <t>Different from 1.0: added to the template, not per lead</t>
        </is>
      </c>
      <c r="I79" s="11" t="inlineStr">
        <is>
          <t>Dane</t>
        </is>
      </c>
      <c r="J79" s="15" t="n"/>
      <c r="K79" s="15" t="n"/>
      <c r="L79" s="15" t="n"/>
      <c r="M79" s="16" t="n"/>
      <c r="N79" s="17" t="n"/>
      <c r="O79" s="17" t="n"/>
      <c r="P79" s="15" t="n"/>
    </row>
    <row r="80">
      <c r="A80" s="11" t="n">
        <v>3</v>
      </c>
      <c r="B80" s="11" t="inlineStr">
        <is>
          <t>3.25</t>
        </is>
      </c>
      <c r="C80" s="12" t="inlineStr">
        <is>
          <t>Build a quote template</t>
        </is>
      </c>
      <c r="D80" s="12" t="inlineStr">
        <is>
          <t>Templates</t>
        </is>
      </c>
      <c r="E80" s="13" t="inlineStr">
        <is>
          <t>Put the client's name into your line</t>
        </is>
      </c>
      <c r="F80" s="14" t="inlineStr">
        <is>
          <t>1. Beside the "Text" box, click "Insert a field" (the { } button)
2. Pick "Client name"</t>
        </is>
      </c>
      <c r="G80" s="14" t="inlineStr">
        <is>
          <t>The box ends with {client_name}; under it: "Prints as: Thank you for choosing Demo Studio, Mr &amp; Mrs Tan" — the sample client.</t>
        </is>
      </c>
      <c r="H80" s="12" t="inlineStr">
        <is>
          <t>Same as 1.0</t>
        </is>
      </c>
      <c r="I80" s="11" t="inlineStr">
        <is>
          <t>Dane</t>
        </is>
      </c>
      <c r="J80" s="15" t="n"/>
      <c r="K80" s="15" t="n"/>
      <c r="L80" s="15" t="n"/>
      <c r="M80" s="16" t="n"/>
      <c r="N80" s="17" t="n"/>
      <c r="O80" s="17" t="n"/>
      <c r="P80" s="15" t="n"/>
    </row>
    <row r="81">
      <c r="A81" s="11" t="n">
        <v>3</v>
      </c>
      <c r="B81" s="11" t="inlineStr">
        <is>
          <t>3.26</t>
        </is>
      </c>
      <c r="C81" s="12" t="inlineStr">
        <is>
          <t>Build a quote template</t>
        </is>
      </c>
      <c r="D81" s="12" t="inlineStr">
        <is>
          <t>Templates</t>
        </is>
      </c>
      <c r="E81" s="13" t="inlineStr">
        <is>
          <t>Remove the line by mistake, then undo</t>
        </is>
      </c>
      <c r="F81" s="14" t="inlineStr">
        <is>
          <t>1. At the top right, click "Remove from the page" (the bin)
2. On the message "Text removed", click "Undo"</t>
        </is>
      </c>
      <c r="G81" s="14" t="inlineStr">
        <is>
          <t>The Text block disappears from the page and the list, then comes back in the same place.</t>
        </is>
      </c>
      <c r="H81" s="12" t="inlineStr">
        <is>
          <t>Same as 1.0</t>
        </is>
      </c>
      <c r="I81" s="11" t="inlineStr">
        <is>
          <t>Dane</t>
        </is>
      </c>
      <c r="J81" s="15" t="n"/>
      <c r="K81" s="15" t="n"/>
      <c r="L81" s="15" t="n"/>
      <c r="M81" s="16" t="n"/>
      <c r="N81" s="17" t="n"/>
      <c r="O81" s="17" t="n"/>
      <c r="P81" s="15" t="n"/>
    </row>
    <row r="82">
      <c r="A82" s="11" t="n">
        <v>3</v>
      </c>
      <c r="B82" s="11" t="inlineStr">
        <is>
          <t>3.27</t>
        </is>
      </c>
      <c r="C82" s="12" t="inlineStr">
        <is>
          <t>Build a quote template</t>
        </is>
      </c>
      <c r="D82" s="12" t="inlineStr">
        <is>
          <t>Templates</t>
        </is>
      </c>
      <c r="E82" s="13" t="inlineStr">
        <is>
          <t>See the template drawn with a real quote</t>
        </is>
      </c>
      <c r="F82" s="14" t="inlineStr">
        <is>
          <t>1. At the top, click "Preview with: Sample quote"
2. Pick any "OM-…" quote
3. When checked, switch back to "Sample quote"</t>
        </is>
      </c>
      <c r="G82" s="14" t="inlineStr">
        <is>
          <t>The pages redraw with that quote's client, lines and totals, then with the sample quote again.</t>
        </is>
      </c>
      <c r="H82" s="12" t="inlineStr">
        <is>
          <t>Different from 1.0: your own quotes, not a fixed sample</t>
        </is>
      </c>
      <c r="I82" s="11" t="inlineStr">
        <is>
          <t>Dane</t>
        </is>
      </c>
      <c r="J82" s="15" t="n"/>
      <c r="K82" s="15" t="n"/>
      <c r="L82" s="15" t="n"/>
      <c r="M82" s="16" t="n"/>
      <c r="N82" s="17" t="n"/>
      <c r="O82" s="17" t="n"/>
      <c r="P82" s="15" t="n"/>
    </row>
    <row r="83">
      <c r="A83" s="11" t="n">
        <v>3</v>
      </c>
      <c r="B83" s="11" t="inlineStr">
        <is>
          <t>3.28</t>
        </is>
      </c>
      <c r="C83" s="12" t="inlineStr">
        <is>
          <t>Make it yours and publish</t>
        </is>
      </c>
      <c r="D83" s="12" t="inlineStr">
        <is>
          <t>Templates</t>
        </is>
      </c>
      <c r="E83" s="13" t="inlineStr">
        <is>
          <t>Give this template its own colour</t>
        </is>
      </c>
      <c r="F83" s="14" t="inlineStr">
        <is>
          <t>1. Click the "Brand" tab (left)
2. Under "Colours", click the "Accent" swatch and pick a dark green</t>
        </is>
      </c>
      <c r="G83" s="14" t="inlineStr">
        <is>
          <t>The cover and the room bands turn green; the Accent row ends "· this template" with a reset button. The brand kit is untouched.</t>
        </is>
      </c>
      <c r="H83" s="12" t="inlineStr">
        <is>
          <t>New in 2.0</t>
        </is>
      </c>
      <c r="I83" s="11" t="inlineStr">
        <is>
          <t>Dane</t>
        </is>
      </c>
      <c r="J83" s="15" t="n"/>
      <c r="K83" s="15" t="n"/>
      <c r="L83" s="15" t="n"/>
      <c r="M83" s="16" t="n"/>
      <c r="N83" s="17" t="n"/>
      <c r="O83" s="17" t="n"/>
      <c r="P83" s="15" t="n"/>
    </row>
    <row r="84">
      <c r="A84" s="11" t="n">
        <v>3</v>
      </c>
      <c r="B84" s="11" t="inlineStr">
        <is>
          <t>3.29</t>
        </is>
      </c>
      <c r="C84" s="12" t="inlineStr">
        <is>
          <t>Make it yours and publish</t>
        </is>
      </c>
      <c r="D84" s="12" t="inlineStr">
        <is>
          <t>Templates</t>
        </is>
      </c>
      <c r="E84" s="13" t="inlineStr">
        <is>
          <t>Number the items A1, A2 in each room</t>
        </is>
      </c>
      <c r="F84" s="14" t="inlineStr">
        <is>
          <t>1. Click the "Page" tab, then "Items table" in the list
2. On the right, "Item numbers": A1 · A2 · B1</t>
        </is>
      </c>
      <c r="G84" s="14" t="inlineStr">
        <is>
          <t>Item numbers on the page read A1, A2… in the first section and B1, B2… in the next.</t>
        </is>
      </c>
      <c r="H84" s="12" t="inlineStr">
        <is>
          <t>Same as 1.0</t>
        </is>
      </c>
      <c r="I84" s="11" t="inlineStr">
        <is>
          <t>Dane</t>
        </is>
      </c>
      <c r="J84" s="15" t="n"/>
      <c r="K84" s="15" t="n"/>
      <c r="L84" s="15" t="n"/>
      <c r="M84" s="16" t="n"/>
      <c r="N84" s="17" t="n"/>
      <c r="O84" s="17" t="n"/>
      <c r="P84" s="15" t="n"/>
    </row>
    <row r="85">
      <c r="A85" s="11" t="n">
        <v>3</v>
      </c>
      <c r="B85" s="11" t="inlineStr">
        <is>
          <t>3.30</t>
        </is>
      </c>
      <c r="C85" s="12" t="inlineStr">
        <is>
          <t>Make it yours and publish</t>
        </is>
      </c>
      <c r="D85" s="12" t="inlineStr">
        <is>
          <t>Templates</t>
        </is>
      </c>
      <c r="E85" s="13" t="inlineStr">
        <is>
          <t>Choose what a new quote starts with</t>
        </is>
      </c>
      <c r="F85" s="14" t="inlineStr">
        <is>
          <t>1. Click the "New quotes" tab
2. "Payment schedule": 40/60 · "Additional Notes": Site protection</t>
        </is>
      </c>
      <c r="G85" s="14" t="inlineStr">
        <is>
          <t>Your split and note are offered from the libraries, and the sample page redraws with the 40/60 split and the Site protection note; the tab warns "Not published yet — quotes can use this template once you press Publish."</t>
        </is>
      </c>
      <c r="H85" s="12" t="inlineStr">
        <is>
          <t>Different from 1.0: sections and defaults, never priced lines</t>
        </is>
      </c>
      <c r="I85" s="11" t="inlineStr">
        <is>
          <t>Dane</t>
        </is>
      </c>
      <c r="J85" s="15" t="n"/>
      <c r="K85" s="15" t="n"/>
      <c r="L85" s="15" t="n"/>
      <c r="M85" s="16" t="n"/>
      <c r="N85" s="17" t="n"/>
      <c r="O85" s="17" t="n"/>
      <c r="P85" s="15" t="n"/>
    </row>
    <row r="86">
      <c r="A86" s="11" t="n">
        <v>3</v>
      </c>
      <c r="B86" s="11" t="inlineStr">
        <is>
          <t>3.31</t>
        </is>
      </c>
      <c r="C86" s="12" t="inlineStr">
        <is>
          <t>Make it yours and publish</t>
        </is>
      </c>
      <c r="D86" s="12" t="inlineStr">
        <is>
          <t>Templates</t>
        </is>
      </c>
      <c r="E86" s="13" t="inlineStr">
        <is>
          <t>Publish the template and make it the default</t>
        </is>
      </c>
      <c r="F86" s="14" t="inlineStr">
        <is>
          <t>1. Click "Publish" (top right)
2. "What changed": First version · turn on "Make it the studio’s default"
3. Click "Publish"</t>
        </is>
      </c>
      <c r="G86" s="14" t="inlineStr">
        <is>
          <t>A message says "Studio Presentation published"; the top shows "Published v1" and "Default", and the button now reads "Published".</t>
        </is>
      </c>
      <c r="H86" s="12" t="inlineStr">
        <is>
          <t>Different from 1.0: drafts publish as numbered versions</t>
        </is>
      </c>
      <c r="I86" s="11" t="inlineStr">
        <is>
          <t>Dane</t>
        </is>
      </c>
      <c r="J86" s="15" t="n"/>
      <c r="K86" s="15" t="n"/>
      <c r="L86" s="15" t="n"/>
      <c r="M86" s="16" t="n"/>
      <c r="N86" s="17" t="n"/>
      <c r="O86" s="17" t="n"/>
      <c r="P86" s="15" t="n"/>
    </row>
    <row r="87">
      <c r="A87" s="11" t="n">
        <v>3</v>
      </c>
      <c r="B87" s="11" t="inlineStr">
        <is>
          <t>3.32</t>
        </is>
      </c>
      <c r="C87" s="12" t="inlineStr">
        <is>
          <t>Make it yours and publish</t>
        </is>
      </c>
      <c r="D87" s="12" t="inlineStr">
        <is>
          <t>Templates</t>
        </is>
      </c>
      <c r="E87" s="13" t="inlineStr">
        <is>
          <t>See the template's version history</t>
        </is>
      </c>
      <c r="F87" s="14" t="inlineStr">
        <is>
          <t>1. Click "History" (the clock icon at the top)</t>
        </is>
      </c>
      <c r="G87" s="14" t="inlineStr">
        <is>
          <t>The History panel lists v1 marked "Current", your note "First version" and your name.</t>
        </is>
      </c>
      <c r="H87" s="12" t="inlineStr">
        <is>
          <t>New in 2.0</t>
        </is>
      </c>
      <c r="I87" s="11" t="inlineStr">
        <is>
          <t>Dane</t>
        </is>
      </c>
      <c r="J87" s="15" t="n"/>
      <c r="K87" s="15" t="n"/>
      <c r="L87" s="15" t="n"/>
      <c r="M87" s="16" t="n"/>
      <c r="N87" s="17" t="n"/>
      <c r="O87" s="17" t="n"/>
      <c r="P87" s="15" t="n"/>
    </row>
    <row r="88">
      <c r="A88" s="11" t="n">
        <v>3</v>
      </c>
      <c r="B88" s="11" t="inlineStr">
        <is>
          <t>3.33</t>
        </is>
      </c>
      <c r="C88" s="12" t="inlineStr">
        <is>
          <t>The studio's default</t>
        </is>
      </c>
      <c r="D88" s="12" t="inlineStr">
        <is>
          <t>Templates</t>
        </is>
      </c>
      <c r="E88" s="13" t="inlineStr">
        <is>
          <t>Check the default moved in the gallery</t>
        </is>
      </c>
      <c r="F88" s="14" t="inlineStr">
        <is>
          <t>1. Close the History panel
2. Click the back arrow ("Back to Quote templates")</t>
        </is>
      </c>
      <c r="G88" s="14" t="inlineStr">
        <is>
          <t>"Studio Presentation" now carries the "Default" chip and "Published v1"; "Default Quote PDF" no longer does.</t>
        </is>
      </c>
      <c r="H88" s="12" t="inlineStr">
        <is>
          <t>Same as 1.0</t>
        </is>
      </c>
      <c r="I88" s="11" t="inlineStr">
        <is>
          <t>Dane</t>
        </is>
      </c>
      <c r="J88" s="15" t="n"/>
      <c r="K88" s="15" t="n"/>
      <c r="L88" s="15" t="n"/>
      <c r="M88" s="16" t="n"/>
      <c r="N88" s="17" t="n"/>
      <c r="O88" s="17" t="n"/>
      <c r="P88" s="15" t="n"/>
    </row>
    <row r="89">
      <c r="A89" s="11" t="n">
        <v>3</v>
      </c>
      <c r="B89" s="11" t="inlineStr">
        <is>
          <t>3.34</t>
        </is>
      </c>
      <c r="C89" s="12" t="inlineStr">
        <is>
          <t>The studio's default</t>
        </is>
      </c>
      <c r="D89" s="12" t="inlineStr">
        <is>
          <t>Templates</t>
        </is>
      </c>
      <c r="E89" s="13" t="inlineStr">
        <is>
          <t>See the default in the brand kit preview</t>
        </is>
      </c>
      <c r="F89" s="14" t="inlineStr">
        <is>
          <t>1. Click the "Brand kit" tab
2. Click "Preview" under the page, look through every page, then close it</t>
        </is>
      </c>
      <c r="G89" s="14" t="inlineStr">
        <is>
          <t>The preview on the right is labelled "Default template · Studio Presentation" and shows its first page; "Preview" opens every page large, drawn with your brand kit.</t>
        </is>
      </c>
      <c r="H89" s="12" t="inlineStr">
        <is>
          <t>New in 2.0</t>
        </is>
      </c>
      <c r="I89" s="11" t="inlineStr">
        <is>
          <t>Dane</t>
        </is>
      </c>
      <c r="J89" s="15" t="n"/>
      <c r="K89" s="15" t="n"/>
      <c r="L89" s="15" t="n"/>
      <c r="M89" s="16" t="n"/>
      <c r="N89" s="17" t="n"/>
      <c r="O89" s="17" t="n"/>
      <c r="P89" s="15" t="n"/>
    </row>
    <row r="90">
      <c r="A90" s="11" t="n">
        <v>3</v>
      </c>
      <c r="B90" s="11" t="inlineStr">
        <is>
          <t>3.35</t>
        </is>
      </c>
      <c r="C90" s="12" t="inlineStr">
        <is>
          <t>The studio's default</t>
        </is>
      </c>
      <c r="D90" s="12" t="inlineStr">
        <is>
          <t>Templates</t>
        </is>
      </c>
      <c r="E90" s="13" t="inlineStr">
        <is>
          <t>Look at the deleted templates</t>
        </is>
      </c>
      <c r="F90" s="14" t="inlineStr">
        <is>
          <t>1. Click the "Quotes" tab
2. Click the ⋮ menu ("More options", top right) › "Deleted Templates · 2"
3. Close the panel</t>
        </is>
      </c>
      <c r="G90" s="14" t="inlineStr">
        <is>
          <t>"Copy of Default Quote PDF" and "Test" wait there with "Restore" and "Delete Forever" — nothing is lost at once.</t>
        </is>
      </c>
      <c r="H90" s="12" t="inlineStr">
        <is>
          <t>Different from 1.0: deleted templates can be restored</t>
        </is>
      </c>
      <c r="I90" s="11" t="inlineStr">
        <is>
          <t>Dane</t>
        </is>
      </c>
      <c r="J90" s="15" t="n"/>
      <c r="K90" s="15" t="n"/>
      <c r="L90" s="15" t="n"/>
      <c r="M90" s="16" t="n"/>
      <c r="N90" s="17" t="n"/>
      <c r="O90" s="17" t="n"/>
      <c r="P90" s="15" t="n"/>
    </row>
    <row r="91">
      <c r="A91" s="11" t="n">
        <v>3</v>
      </c>
      <c r="B91" s="11" t="inlineStr">
        <is>
          <t>3.36</t>
        </is>
      </c>
      <c r="C91" s="12" t="inlineStr">
        <is>
          <t>The studio's default</t>
        </is>
      </c>
      <c r="D91" s="12" t="inlineStr">
        <is>
          <t>Templates</t>
        </is>
      </c>
      <c r="E91" s="13" t="inlineStr">
        <is>
          <t>Put the studio's default back</t>
        </is>
      </c>
      <c r="F91" s="14" t="inlineStr">
        <is>
          <t>1. On "Default Quote PDF", open the ⋮ menu › "Set as default"</t>
        </is>
      </c>
      <c r="G91" s="14" t="inlineStr">
        <is>
          <t>A message says "Default Quote PDF is the default template" and the Default chip moves back — chapter 6's quotes start from it.</t>
        </is>
      </c>
      <c r="H91" s="12" t="inlineStr">
        <is>
          <t>Same as 1.0</t>
        </is>
      </c>
      <c r="I91" s="11" t="inlineStr">
        <is>
          <t>Dane</t>
        </is>
      </c>
      <c r="J91" s="15" t="n"/>
      <c r="K91" s="15" t="n"/>
      <c r="L91" s="15" t="n"/>
      <c r="M91" s="16" t="n"/>
      <c r="N91" s="17" t="n"/>
      <c r="O91" s="17" t="n"/>
      <c r="P91" s="15" t="n"/>
    </row>
    <row r="92">
      <c r="A92" s="11" t="n">
        <v>3</v>
      </c>
      <c r="B92" s="11" t="inlineStr">
        <is>
          <t>3.37</t>
        </is>
      </c>
      <c r="C92" s="12" t="inlineStr">
        <is>
          <t>The question bank</t>
        </is>
      </c>
      <c r="D92" s="12" t="inlineStr">
        <is>
          <t>Company</t>
        </is>
      </c>
      <c r="E92" s="13" t="inlineStr">
        <is>
          <t>Add a question every new lead starts with</t>
        </is>
      </c>
      <c r="F92" s="14" t="inlineStr">
        <is>
          <t>1. Click "Company" › "Questionnaire", then "Add question"
2. "Question": Will anyone work from home? · "Type": Single select
3. "Option 1": Yes, every day · "Add option": Some days · "Add option": No
4. Click "Add"</t>
        </is>
      </c>
      <c r="G92" s="14" t="inlineStr">
        <is>
          <t>A message says "Question added"; it joins the bottom of the "Question bank" with a "Single select" chip and "Active" on.</t>
        </is>
      </c>
      <c r="H92" s="12" t="inlineStr">
        <is>
          <t>Same as 1.0</t>
        </is>
      </c>
      <c r="I92" s="11" t="inlineStr">
        <is>
          <t>Dane</t>
        </is>
      </c>
      <c r="J92" s="15" t="n"/>
      <c r="K92" s="15" t="n"/>
      <c r="L92" s="15" t="n"/>
      <c r="M92" s="16" t="n"/>
      <c r="N92" s="17" t="n"/>
      <c r="O92" s="17" t="n"/>
      <c r="P92" s="15" t="n"/>
    </row>
    <row r="93">
      <c r="A93" s="11" t="n">
        <v>3</v>
      </c>
      <c r="B93" s="11" t="inlineStr">
        <is>
          <t>3.38</t>
        </is>
      </c>
      <c r="C93" s="12" t="inlineStr">
        <is>
          <t>The question bank</t>
        </is>
      </c>
      <c r="D93" s="12" t="inlineStr">
        <is>
          <t>Company</t>
        </is>
      </c>
      <c r="E93" s="13" t="inlineStr">
        <is>
          <t>Move your question higher in the list</t>
        </is>
      </c>
      <c r="F93" s="14" t="inlineStr">
        <is>
          <t>1. On your new question, click "Move up" (the up arrow) twice</t>
        </is>
      </c>
      <c r="G93" s="14" t="inlineStr">
        <is>
          <t>A message says "Order saved" each time and the question sits two places higher; Sophia's questionnaire (chapter 4) follows this order.</t>
        </is>
      </c>
      <c r="H93" s="12" t="inlineStr">
        <is>
          <t>Same as 1.0</t>
        </is>
      </c>
      <c r="I93" s="11" t="inlineStr">
        <is>
          <t>Dane</t>
        </is>
      </c>
      <c r="J93" s="15" t="n"/>
      <c r="K93" s="15" t="n"/>
      <c r="L93" s="15" t="n"/>
      <c r="M93" s="16" t="n"/>
      <c r="N93" s="17" t="n"/>
      <c r="O93" s="17" t="n"/>
      <c r="P93" s="15" t="n"/>
    </row>
    <row r="94" ht="22" customHeight="1">
      <c r="A94" s="9" t="inlineStr">
        <is>
          <t>Chapter 4 · Leads arrive — Add, import and capture leads; find them in the list.</t>
        </is>
      </c>
      <c r="M94" s="10" t="n"/>
    </row>
    <row r="95">
      <c r="A95" s="11" t="n">
        <v>4</v>
      </c>
      <c r="B95" s="11" t="inlineStr">
        <is>
          <t>4.01</t>
        </is>
      </c>
      <c r="C95" s="12" t="inlineStr">
        <is>
          <t>A new enquiry by hand</t>
        </is>
      </c>
      <c r="D95" s="12" t="inlineStr">
        <is>
          <t>Leads</t>
        </is>
      </c>
      <c r="E95" s="13" t="inlineStr">
        <is>
          <t>Open a new lead form with one key</t>
        </is>
      </c>
      <c r="F95" s="14" t="inlineStr">
        <is>
          <t>1. Click "Leads" in the side navigation
2. Click an empty part of the page (not a search box)
3. Press the C key</t>
        </is>
      </c>
      <c r="G95" s="14" t="inlineStr">
        <is>
          <t>The "Create New Lead" form opens with the cursor already in "Lead name".</t>
        </is>
      </c>
      <c r="H95" s="12" t="inlineStr">
        <is>
          <t>Same as 1.0</t>
        </is>
      </c>
      <c r="I95" s="11" t="inlineStr">
        <is>
          <t>Dane</t>
        </is>
      </c>
      <c r="J95" s="15" t="n"/>
      <c r="K95" s="15" t="n"/>
      <c r="L95" s="15" t="n"/>
      <c r="M95" s="16" t="n"/>
      <c r="N95" s="17" t="n"/>
      <c r="O95" s="17" t="n"/>
      <c r="P95" s="15" t="n"/>
    </row>
    <row r="96">
      <c r="A96" s="11" t="n">
        <v>4</v>
      </c>
      <c r="B96" s="11" t="inlineStr">
        <is>
          <t>4.02</t>
        </is>
      </c>
      <c r="C96" s="12" t="inlineStr">
        <is>
          <t>A new enquiry by hand</t>
        </is>
      </c>
      <c r="D96" s="12" t="inlineStr">
        <is>
          <t>Leads</t>
        </is>
      </c>
      <c r="E96" s="13" t="inlineStr">
        <is>
          <t>Let the document reader fill a lead for you</t>
        </is>
      </c>
      <c r="F96" s="14" t="inlineStr">
        <is>
          <t>1. In the open form, click "Fill from a document"
2. Drag uat-files/kitchen-moodboard.jpg onto the box and read the line under it
3. Click "Upload" and pick uat-files/rachel-ong-enquiry.pdf
4. Read the fields and the line under "Fill from a document", then press "Cancel" at the bottom</t>
        </is>
      </c>
      <c r="G96" s="14" t="inlineStr">
        <is>
          <t>The photo is refused: "kitchen-moodboard.jpg has no words to read — a photo or a scanned page…". The PDF fills the empty fields with what it says (Rachel Ong, 9634 2817, Condo 3-bedder, East, 85,000 …) and is attached; the line reads "Filled from rachel-ong-enquiry.pdf: name, phone number, email, …". Cancel saves nothing.</t>
        </is>
      </c>
      <c r="H96" s="12" t="inlineStr">
        <is>
          <t>Different from 1.0: the file’s own words, read by rule, not AI</t>
        </is>
      </c>
      <c r="I96" s="11" t="inlineStr">
        <is>
          <t>Dane</t>
        </is>
      </c>
      <c r="J96" s="15" t="n"/>
      <c r="K96" s="15" t="n"/>
      <c r="L96" s="15" t="n"/>
      <c r="M96" s="16" t="n"/>
      <c r="N96" s="17" t="n"/>
      <c r="O96" s="17" t="n"/>
      <c r="P96" s="15" t="n"/>
    </row>
    <row r="97">
      <c r="A97" s="11" t="n">
        <v>4</v>
      </c>
      <c r="B97" s="11" t="inlineStr">
        <is>
          <t>4.03</t>
        </is>
      </c>
      <c r="C97" s="12" t="inlineStr">
        <is>
          <t>A new enquiry by hand</t>
        </is>
      </c>
      <c r="D97" s="12" t="inlineStr">
        <is>
          <t>Leads</t>
        </is>
      </c>
      <c r="E97" s="13" t="inlineStr">
        <is>
          <t>Get warned about a lead you already have</t>
        </is>
      </c>
      <c r="F97" s="14" t="inlineStr">
        <is>
          <t>1. Click "Add Lead", then "Create New Lead"
2. "Lead name": Test Duplicate · "Lead phone number": 9123 8803
3. Press "Create"
4. In the warning, press "Open existing lead"
5. Look at his lead in the new browser tab, close that tab, then press "Cancel" on your form</t>
        </is>
      </c>
      <c r="G97" s="14" t="inlineStr">
        <is>
          <t>"A lead with this phone already exists" names Kenji Sato · 9123 8803 · Lost; the button opens his lead in a new browser tab while your form stays as you left it; nothing new is created.</t>
        </is>
      </c>
      <c r="H97" s="12" t="inlineStr">
        <is>
          <t>Different from 1.0: "Create anyway" creates it, not held for review</t>
        </is>
      </c>
      <c r="I97" s="11" t="inlineStr">
        <is>
          <t>Dane</t>
        </is>
      </c>
      <c r="J97" s="15" t="n"/>
      <c r="K97" s="15" t="n"/>
      <c r="L97" s="15" t="n"/>
      <c r="M97" s="16" t="n"/>
      <c r="N97" s="17" t="n"/>
      <c r="O97" s="17" t="n"/>
      <c r="P97" s="15" t="n"/>
    </row>
    <row r="98">
      <c r="A98" s="11" t="n">
        <v>4</v>
      </c>
      <c r="B98" s="11" t="inlineStr">
        <is>
          <t>4.04</t>
        </is>
      </c>
      <c r="C98" s="12" t="inlineStr">
        <is>
          <t>Sophia Wong gets in touch</t>
        </is>
      </c>
      <c r="D98" s="12" t="inlineStr">
        <is>
          <t>Leads</t>
        </is>
      </c>
      <c r="E98" s="13" t="inlineStr">
        <is>
          <t>Start Sophia's lead and test the budget limit</t>
        </is>
      </c>
      <c r="F98"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8" s="14" t="inlineStr">
        <is>
          <t>The form stays open and the budget box says "Enter a budget between S$1,000 and S$5,000,000".</t>
        </is>
      </c>
      <c r="H98" s="12" t="inlineStr">
        <is>
          <t>Same as 1.0</t>
        </is>
      </c>
      <c r="I98" s="11" t="inlineStr">
        <is>
          <t>Dane</t>
        </is>
      </c>
      <c r="J98" s="15" t="n"/>
      <c r="K98" s="15" t="n"/>
      <c r="L98" s="15" t="n"/>
      <c r="M98" s="16" t="n"/>
      <c r="N98" s="17" t="n"/>
      <c r="O98" s="17" t="n"/>
      <c r="P98" s="15" t="n"/>
    </row>
    <row r="99">
      <c r="A99" s="11" t="n">
        <v>4</v>
      </c>
      <c r="B99" s="11" t="inlineStr">
        <is>
          <t>4.05</t>
        </is>
      </c>
      <c r="C99" s="12" t="inlineStr">
        <is>
          <t>Sophia Wong gets in touch</t>
        </is>
      </c>
      <c r="D99" s="12" t="inlineStr">
        <is>
          <t>Leads</t>
        </is>
      </c>
      <c r="E99" s="13" t="inlineStr">
        <is>
          <t>Save Sophia's lead with her floor plan attached</t>
        </is>
      </c>
      <c r="F99"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9" s="14" t="inlineStr">
        <is>
          <t>"Successfully Created"; Sophia Wong tops the list in New, with a coloured band on the left and "Assign" under Members.</t>
        </is>
      </c>
      <c r="H99" s="12" t="inlineStr">
        <is>
          <t>Different from 1.0: one name field; only name and phone required</t>
        </is>
      </c>
      <c r="I99" s="11" t="inlineStr">
        <is>
          <t>Dane</t>
        </is>
      </c>
      <c r="J99" s="15" t="n"/>
      <c r="K99" s="15" t="n"/>
      <c r="L99" s="15" t="n"/>
      <c r="M99" s="16" t="n"/>
      <c r="N99" s="17" t="n"/>
      <c r="O99" s="17" t="n"/>
      <c r="P99" s="15" t="n"/>
    </row>
    <row r="100">
      <c r="A100" s="11" t="n">
        <v>4</v>
      </c>
      <c r="B100" s="11" t="inlineStr">
        <is>
          <t>4.06</t>
        </is>
      </c>
      <c r="C100" s="12" t="inlineStr">
        <is>
          <t>Leads from files</t>
        </is>
      </c>
      <c r="D100" s="12" t="inlineStr">
        <is>
          <t>Leads</t>
        </is>
      </c>
      <c r="E100" s="13" t="inlineStr">
        <is>
          <t>Upload a spreadsheet of new leads</t>
        </is>
      </c>
      <c r="F100" s="14" t="inlineStr">
        <is>
          <t>1. Click "Add Lead", then "Import from File"
2. Drop new-leads.xlsx on "Drop your file or browse"
3. Press "Next"
4. Read the column list, then press "Next" again</t>
        </is>
      </c>
      <c r="G100" s="14" t="inlineStr">
        <is>
          <t>"Success!" says "Detected 5 line(s)"; all 11 columns are tagged "Auto-matched"; the preview table lists the five rows.</t>
        </is>
      </c>
      <c r="H100" s="12" t="inlineStr">
        <is>
          <t>New in 2.0</t>
        </is>
      </c>
      <c r="I100" s="11" t="inlineStr">
        <is>
          <t>Dane</t>
        </is>
      </c>
      <c r="J100" s="15" t="n"/>
      <c r="K100" s="15" t="n"/>
      <c r="L100" s="15" t="n"/>
      <c r="M100" s="16" t="n"/>
      <c r="N100" s="17" t="n"/>
      <c r="O100" s="17" t="n"/>
      <c r="P100" s="15" t="n"/>
    </row>
    <row r="101">
      <c r="A101" s="11" t="n">
        <v>4</v>
      </c>
      <c r="B101" s="11" t="inlineStr">
        <is>
          <t>4.07</t>
        </is>
      </c>
      <c r="C101" s="12" t="inlineStr">
        <is>
          <t>Leads from files</t>
        </is>
      </c>
      <c r="D101" s="12" t="inlineStr">
        <is>
          <t>Leads</t>
        </is>
      </c>
      <c r="E101" s="13" t="inlineStr">
        <is>
          <t>Send the clean leads straight to your list</t>
        </is>
      </c>
      <c r="F101" s="14" t="inlineStr">
        <is>
          <t>1. Press "Import"
2. In "Lead routing" choose "Add to my lead listing", press "Import"
3. Read the result, press "Done"</t>
        </is>
      </c>
      <c r="G101" s="14" t="inlineStr">
        <is>
          <t>"4 of 5 records imported successfully" · "3 leads added to your listing · 1 possible duplicate sent to review"; three new leads appear.</t>
        </is>
      </c>
      <c r="H101" s="12" t="inlineStr">
        <is>
          <t>New in 2.0</t>
        </is>
      </c>
      <c r="I101" s="11" t="inlineStr">
        <is>
          <t>Dane</t>
        </is>
      </c>
      <c r="J101" s="15" t="n"/>
      <c r="K101" s="15" t="n"/>
      <c r="L101" s="15" t="n"/>
      <c r="M101" s="16" t="n"/>
      <c r="N101" s="17" t="n"/>
      <c r="O101" s="17" t="n"/>
      <c r="P101" s="15" t="n"/>
    </row>
    <row r="102">
      <c r="A102" s="11" t="n">
        <v>4</v>
      </c>
      <c r="B102" s="11" t="inlineStr">
        <is>
          <t>4.08</t>
        </is>
      </c>
      <c r="C102" s="12" t="inlineStr">
        <is>
          <t>Leads from files</t>
        </is>
      </c>
      <c r="D102" s="12" t="inlineStr">
        <is>
          <t>Leads</t>
        </is>
      </c>
      <c r="E102" s="13" t="inlineStr">
        <is>
          <t>See the import on record, with the row it skipped</t>
        </is>
      </c>
      <c r="F102" s="14" t="inlineStr">
        <is>
          <t>1. On Leads, click ⋮ ("More options"), then "Lead Import History"
2. Find new-leads.xlsx
3. Click "Download Skipped Records"</t>
        </is>
      </c>
      <c r="G102" s="14" t="inlineStr">
        <is>
          <t>The row reads 5 total, 4 imported and "1 error detected across 1 skipped lead"; the download lists the nameless row with "Missing Lead Name".</t>
        </is>
      </c>
      <c r="H102" s="12" t="inlineStr">
        <is>
          <t>New in 2.0</t>
        </is>
      </c>
      <c r="I102" s="11" t="inlineStr">
        <is>
          <t>Dane</t>
        </is>
      </c>
      <c r="J102" s="15" t="n"/>
      <c r="K102" s="15" t="n"/>
      <c r="L102" s="15" t="n"/>
      <c r="M102" s="16" t="n"/>
      <c r="N102" s="17" t="n"/>
      <c r="O102" s="17" t="n"/>
      <c r="P102" s="15" t="n"/>
    </row>
    <row r="103">
      <c r="A103" s="11" t="n">
        <v>4</v>
      </c>
      <c r="B103" s="11" t="inlineStr">
        <is>
          <t>4.09</t>
        </is>
      </c>
      <c r="C103" s="12" t="inlineStr">
        <is>
          <t>Leads from files</t>
        </is>
      </c>
      <c r="D103" s="12" t="inlineStr">
        <is>
          <t>Leads</t>
        </is>
      </c>
      <c r="E103" s="13" t="inlineStr">
        <is>
          <t>Import a PDF lead sheet to check first</t>
        </is>
      </c>
      <c r="F103" s="14" t="inlineStr">
        <is>
          <t>1. Back on Leads, click "Add Lead", then "Import from File"
2. Drop homematch-lead-sheet.pdf, press "Next" twice
3. Press "Import", choose "Review and approve manually", press "Import"
4. Press "Done"</t>
        </is>
      </c>
      <c r="G103" s="14" t="inlineStr">
        <is>
          <t>"Detected 2 line(s)"; the result reads "2 of 2 records imported successfully" and "2 leads waiting in Review imported leads"; the list itself is unchanged.</t>
        </is>
      </c>
      <c r="H103" s="12" t="inlineStr">
        <is>
          <t>New in 2.0</t>
        </is>
      </c>
      <c r="I103" s="11" t="inlineStr">
        <is>
          <t>Dane</t>
        </is>
      </c>
      <c r="J103" s="15" t="n"/>
      <c r="K103" s="15" t="n"/>
      <c r="L103" s="15" t="n"/>
      <c r="M103" s="16" t="n"/>
      <c r="N103" s="17" t="n"/>
      <c r="O103" s="17" t="n"/>
      <c r="P103" s="15" t="n"/>
    </row>
    <row r="104">
      <c r="A104" s="11" t="n">
        <v>4</v>
      </c>
      <c r="B104" s="11" t="inlineStr">
        <is>
          <t>4.10</t>
        </is>
      </c>
      <c r="C104" s="12" t="inlineStr">
        <is>
          <t>Review what came in</t>
        </is>
      </c>
      <c r="D104" s="12" t="inlineStr">
        <is>
          <t>Leads</t>
        </is>
      </c>
      <c r="E104" s="13" t="inlineStr">
        <is>
          <t>Open the review queue</t>
        </is>
      </c>
      <c r="F104" s="14" t="inlineStr">
        <is>
          <t>1. On Leads, click the "Review imported leads" bar at the bottom
2. Find Gerald Tan and your two PDF leads
3. Switch on "Show only duplicates", then off again</t>
        </is>
      </c>
      <c r="G104" s="14" t="inlineStr">
        <is>
          <t>Gerald Tan is tagged DUPLICATE with "Matches: Gerald Tan"; Vanessa Ho and Samuel Yeo are PENDING; the switch narrows the queue to duplicates.</t>
        </is>
      </c>
      <c r="H104" s="12" t="inlineStr">
        <is>
          <t>Same as 1.0</t>
        </is>
      </c>
      <c r="I104" s="11" t="inlineStr">
        <is>
          <t>Dane</t>
        </is>
      </c>
      <c r="J104" s="15" t="n"/>
      <c r="K104" s="15" t="n"/>
      <c r="L104" s="15" t="n"/>
      <c r="M104" s="16" t="n"/>
      <c r="N104" s="17" t="n"/>
      <c r="O104" s="17" t="n"/>
      <c r="P104" s="15" t="n"/>
    </row>
    <row r="105">
      <c r="A105" s="11" t="n">
        <v>4</v>
      </c>
      <c r="B105" s="11" t="inlineStr">
        <is>
          <t>4.11</t>
        </is>
      </c>
      <c r="C105" s="12" t="inlineStr">
        <is>
          <t>Review what came in</t>
        </is>
      </c>
      <c r="D105" s="12" t="inlineStr">
        <is>
          <t>Leads</t>
        </is>
      </c>
      <c r="E105" s="13" t="inlineStr">
        <is>
          <t>Merge the repeat enquiry into Gerald's lead</t>
        </is>
      </c>
      <c r="F105" s="14" t="inlineStr">
        <is>
          <t>1. On Gerald Tan's card press "View &amp; Merge"
2. In the "Budget (S$)" row, click the round button beside 120,000 (the "New" column)
3. Read the "Merged result" column
4. Press "Merge into Existing"</t>
        </is>
      </c>
      <c r="G105" s="14" t="inlineStr">
        <is>
          <t>Phone says "identical - matched on this"; Email and District fill in by themselves; "Merged into the existing lead"; Gerald's budget becomes 120,000.</t>
        </is>
      </c>
      <c r="H105" s="12" t="inlineStr">
        <is>
          <t>Different from 1.0: side by side; you pick each clashing value</t>
        </is>
      </c>
      <c r="I105" s="11" t="inlineStr">
        <is>
          <t>Dane</t>
        </is>
      </c>
      <c r="J105" s="15" t="n"/>
      <c r="K105" s="15" t="n"/>
      <c r="L105" s="15" t="n"/>
      <c r="M105" s="16" t="n"/>
      <c r="N105" s="17" t="n"/>
      <c r="O105" s="17" t="n"/>
      <c r="P105" s="15" t="n"/>
    </row>
    <row r="106">
      <c r="A106" s="11" t="n">
        <v>4</v>
      </c>
      <c r="B106" s="11" t="inlineStr">
        <is>
          <t>4.12</t>
        </is>
      </c>
      <c r="C106" s="12" t="inlineStr">
        <is>
          <t>Review what came in</t>
        </is>
      </c>
      <c r="D106" s="12" t="inlineStr">
        <is>
          <t>Leads</t>
        </is>
      </c>
      <c r="E106" s="13" t="inlineStr">
        <is>
          <t>Approve the two PDF leads</t>
        </is>
      </c>
      <c r="F106" s="14" t="inlineStr">
        <is>
          <t>1. In the queue, click the "Others (2)" chip
2. On Vanessa Ho's card press "Approve"
3. On Samuel Yeo's card press "Approve"
4. Close the queue</t>
        </is>
      </c>
      <c r="G106" s="14" t="inlineStr">
        <is>
          <t>Each press says "Lead approved and added to your leads"; both leads now show in the list in New.</t>
        </is>
      </c>
      <c r="H106" s="12" t="inlineStr">
        <is>
          <t>Same as 1.0</t>
        </is>
      </c>
      <c r="I106" s="11" t="inlineStr">
        <is>
          <t>Dane</t>
        </is>
      </c>
      <c r="J106" s="15" t="n"/>
      <c r="K106" s="15" t="n"/>
      <c r="L106" s="15" t="n"/>
      <c r="M106" s="16" t="n"/>
      <c r="N106" s="17" t="n"/>
      <c r="O106" s="17" t="n"/>
      <c r="P106" s="15" t="n"/>
    </row>
    <row r="107">
      <c r="A107" s="11" t="n">
        <v>4</v>
      </c>
      <c r="B107" s="11" t="inlineStr">
        <is>
          <t>4.13</t>
        </is>
      </c>
      <c r="C107" s="12" t="inlineStr">
        <is>
          <t>Leads that arrive by themselves</t>
        </is>
      </c>
      <c r="D107" s="12" t="inlineStr">
        <is>
          <t>Company</t>
        </is>
      </c>
      <c r="E107" s="13" t="inlineStr">
        <is>
          <t>Receive a lead from an ad form (Webhooks)</t>
        </is>
      </c>
      <c r="F107" s="14" t="inlineStr">
        <is>
          <t>1. On Leads, click "Add Lead", then "Link to Zapier"
2. In the "Webhooks" card, find the "Google Ads" row
3. Press "Simulate a POST (demo)"</t>
        </is>
      </c>
      <c r="G107" s="14" t="inlineStr">
        <is>
          <t>A message says someone "arrived via Google Ads" (new, or a known number sent to review); the counters rise and "Recent activity" gains a row.</t>
        </is>
      </c>
      <c r="H107" s="12" t="inlineStr">
        <is>
          <t>Different from 1.0: a demo POST stands in for real traffic</t>
        </is>
      </c>
      <c r="I107" s="11" t="inlineStr">
        <is>
          <t>Dane</t>
        </is>
      </c>
      <c r="J107" s="15" t="n"/>
      <c r="K107" s="15" t="n"/>
      <c r="L107" s="15" t="n"/>
      <c r="M107" s="16" t="n"/>
      <c r="N107" s="17" t="n"/>
      <c r="O107" s="17" t="n"/>
      <c r="P107" s="15" t="n"/>
    </row>
    <row r="108">
      <c r="A108" s="11" t="n">
        <v>4</v>
      </c>
      <c r="B108" s="11" t="inlineStr">
        <is>
          <t>4.14</t>
        </is>
      </c>
      <c r="C108" s="12" t="inlineStr">
        <is>
          <t>Leads that arrive by themselves</t>
        </is>
      </c>
      <c r="D108" s="12" t="inlineStr">
        <is>
          <t>Company</t>
        </is>
      </c>
      <c r="E108" s="13" t="inlineStr">
        <is>
          <t>Pick up leads from portal emails</t>
        </is>
      </c>
      <c r="F108" s="14" t="inlineStr">
        <is>
          <t>1. Scroll to the "Email lead sources" card
2. Press "Connect Gmail"
3. Press "Sync now"</t>
        </is>
      </c>
      <c r="G108" s="14" t="inlineStr">
        <is>
          <t>"Gmail connected — the platforms below are monitored"; the card turns ACTIVE; Sync now names who "enquired via @…" and EMAILS FOUND reads 1.</t>
        </is>
      </c>
      <c r="H108" s="12" t="inlineStr">
        <is>
          <t>Different from 1.0: a stand-in inbox; each sync plays one enquiry</t>
        </is>
      </c>
      <c r="I108" s="11" t="inlineStr">
        <is>
          <t>Dane</t>
        </is>
      </c>
      <c r="J108" s="15" t="n"/>
      <c r="K108" s="15" t="n"/>
      <c r="L108" s="15" t="n"/>
      <c r="M108" s="16" t="n"/>
      <c r="N108" s="17" t="n"/>
      <c r="O108" s="17" t="n"/>
      <c r="P108" s="15" t="n"/>
    </row>
    <row r="109">
      <c r="A109" s="11" t="n">
        <v>4</v>
      </c>
      <c r="B109" s="11" t="inlineStr">
        <is>
          <t>4.15</t>
        </is>
      </c>
      <c r="C109" s="12" t="inlineStr">
        <is>
          <t>Leads that arrive by themselves</t>
        </is>
      </c>
      <c r="D109" s="12" t="inlineStr">
        <is>
          <t>Leads</t>
        </is>
      </c>
      <c r="E109" s="13" t="inlineStr">
        <is>
          <t>Check the lead that came from Qanvast</t>
        </is>
      </c>
      <c r="F109" s="14" t="inlineStr">
        <is>
          <t>1. On Leads, open Hakim Salleh
2. Look at the source chip, then open ⋮ ("More options")
3. Click "Qanvast Ops" in the side navigation and find Hakim Salleh</t>
        </is>
      </c>
      <c r="G109" s="14" t="inlineStr">
        <is>
          <t>His QANVAST chip is green and the menu offers "Return Lead"; Qanvast Ops lists him with Return window "Opens in 7 days".</t>
        </is>
      </c>
      <c r="H109" s="12" t="inlineStr">
        <is>
          <t>New in 2.0</t>
        </is>
      </c>
      <c r="I109" s="11" t="inlineStr">
        <is>
          <t>Dane</t>
        </is>
      </c>
      <c r="J109" s="15" t="n"/>
      <c r="K109" s="15" t="n"/>
      <c r="L109" s="15" t="n"/>
      <c r="M109" s="16" t="n"/>
      <c r="N109" s="17" t="n"/>
      <c r="O109" s="17" t="n"/>
      <c r="P109" s="15" t="n"/>
    </row>
    <row r="110">
      <c r="A110" s="11" t="n">
        <v>4</v>
      </c>
      <c r="B110" s="11" t="inlineStr">
        <is>
          <t>4.16</t>
        </is>
      </c>
      <c r="C110" s="12" t="inlineStr">
        <is>
          <t>Find your way around the list</t>
        </is>
      </c>
      <c r="D110" s="12" t="inlineStr">
        <is>
          <t>Leads</t>
        </is>
      </c>
      <c r="E110" s="13" t="inlineStr">
        <is>
          <t>Find Sophia by part of her phone number</t>
        </is>
      </c>
      <c r="F110" s="14" t="inlineStr">
        <is>
          <t>1. On Leads, click the search box ("Search name, phone, email…")
2. Type 9765
3. Replace it with zzzz
4. Press "Clear All"</t>
        </is>
      </c>
      <c r="G110" s="14" t="inlineStr">
        <is>
          <t>9765 leaves only Sophia Wong, digits highlighted; zzzz shows "No results found"; "Clear All" brings every lead back.</t>
        </is>
      </c>
      <c r="H110" s="12" t="inlineStr">
        <is>
          <t>Different from 1.0: matches anything shown; phone at any length</t>
        </is>
      </c>
      <c r="I110" s="11" t="inlineStr">
        <is>
          <t>Dane</t>
        </is>
      </c>
      <c r="J110" s="15" t="n"/>
      <c r="K110" s="15" t="n"/>
      <c r="L110" s="15" t="n"/>
      <c r="M110" s="16" t="n"/>
      <c r="N110" s="17" t="n"/>
      <c r="O110" s="17" t="n"/>
      <c r="P110" s="15" t="n"/>
    </row>
    <row r="111">
      <c r="A111" s="11" t="n">
        <v>4</v>
      </c>
      <c r="B111" s="11" t="inlineStr">
        <is>
          <t>4.17</t>
        </is>
      </c>
      <c r="C111" s="12" t="inlineStr">
        <is>
          <t>Find your way around the list</t>
        </is>
      </c>
      <c r="D111" s="12" t="inlineStr">
        <is>
          <t>Leads</t>
        </is>
      </c>
      <c r="E111" s="13" t="inlineStr">
        <is>
          <t>Show only leads nobody owns yet</t>
        </is>
      </c>
      <c r="F111" s="14" t="inlineStr">
        <is>
          <t>1. Click the Filters icon ("Filters")
2. Open "Quick filters" and tick "Unassigned"
3. Press "Done"</t>
        </is>
      </c>
      <c r="G111" s="14" t="inlineStr">
        <is>
          <t>Only leads with "Assign" under Members remain — Sophia Wong and the new imports among them; the Filters icon shows 1.</t>
        </is>
      </c>
      <c r="H111" s="12" t="inlineStr">
        <is>
          <t>Different from 1.0: no Hot filter; Unseen added</t>
        </is>
      </c>
      <c r="I111" s="11" t="inlineStr">
        <is>
          <t>Dane</t>
        </is>
      </c>
      <c r="J111" s="15" t="n"/>
      <c r="K111" s="15" t="n"/>
      <c r="L111" s="15" t="n"/>
      <c r="M111" s="16" t="n"/>
      <c r="N111" s="17" t="n"/>
      <c r="O111" s="17" t="n"/>
      <c r="P111" s="15" t="n"/>
    </row>
    <row r="112">
      <c r="A112" s="11" t="n">
        <v>4</v>
      </c>
      <c r="B112" s="11" t="inlineStr">
        <is>
          <t>4.18</t>
        </is>
      </c>
      <c r="C112" s="12" t="inlineStr">
        <is>
          <t>Find your way around the list</t>
        </is>
      </c>
      <c r="D112" s="12" t="inlineStr">
        <is>
          <t>Leads</t>
        </is>
      </c>
      <c r="E112" s="13" t="inlineStr">
        <is>
          <t>Give two new leads to Alex in one go</t>
        </is>
      </c>
      <c r="F112" s="14" t="inlineStr">
        <is>
          <t>1. With the filter still on, tick Aaron Goh and Priscilla Low (not Sophia)
2. In the bar at the bottom press "Assign"
3. Tick "Alex", then press "Assign"</t>
        </is>
      </c>
      <c r="G112" s="14" t="inlineStr">
        <is>
          <t>The bar counts 2; "2 leads assigned to Alex" appears and both leave the Unassigned list; Sophia stays unassigned.</t>
        </is>
      </c>
      <c r="H112" s="12" t="inlineStr">
        <is>
          <t>Different from 1.0: adds members; never replaces or unassigns</t>
        </is>
      </c>
      <c r="I112" s="11" t="inlineStr">
        <is>
          <t>Dane</t>
        </is>
      </c>
      <c r="J112" s="15" t="n"/>
      <c r="K112" s="15" t="n"/>
      <c r="L112" s="15" t="n"/>
      <c r="M112" s="16" t="n"/>
      <c r="N112" s="17" t="n"/>
      <c r="O112" s="17" t="n"/>
      <c r="P112" s="15" t="n"/>
    </row>
    <row r="113">
      <c r="A113" s="11" t="n">
        <v>4</v>
      </c>
      <c r="B113" s="11" t="inlineStr">
        <is>
          <t>4.19</t>
        </is>
      </c>
      <c r="C113" s="12" t="inlineStr">
        <is>
          <t>Find your way around the list</t>
        </is>
      </c>
      <c r="D113" s="12" t="inlineStr">
        <is>
          <t>Leads</t>
        </is>
      </c>
      <c r="E113" s="13" t="inlineStr">
        <is>
          <t>Narrow the list to leads created this month</t>
        </is>
      </c>
      <c r="F113" s="14" t="inlineStr">
        <is>
          <t>1. Click "Filters", then "Date"
2. Choose "This month"
3. Press "Done"</t>
        </is>
      </c>
      <c r="G113" s="14" t="inlineStr">
        <is>
          <t>Only unassigned leads created since the 1st of this month remain, today's included; the Filters icon shows 2.</t>
        </is>
      </c>
      <c r="H113" s="12" t="inlineStr">
        <is>
          <t>Same as 1.0</t>
        </is>
      </c>
      <c r="I113" s="11" t="inlineStr">
        <is>
          <t>Dane</t>
        </is>
      </c>
      <c r="J113" s="15" t="n"/>
      <c r="K113" s="15" t="n"/>
      <c r="L113" s="15" t="n"/>
      <c r="M113" s="16" t="n"/>
      <c r="N113" s="17" t="n"/>
      <c r="O113" s="17" t="n"/>
      <c r="P113" s="15" t="n"/>
    </row>
    <row r="114">
      <c r="A114" s="11" t="n">
        <v>4</v>
      </c>
      <c r="B114" s="11" t="inlineStr">
        <is>
          <t>4.20</t>
        </is>
      </c>
      <c r="C114" s="12" t="inlineStr">
        <is>
          <t>Share and shape the list</t>
        </is>
      </c>
      <c r="D114" s="12" t="inlineStr">
        <is>
          <t>Leads</t>
        </is>
      </c>
      <c r="E114" s="13" t="inlineStr">
        <is>
          <t>Export exactly what the list shows</t>
        </is>
      </c>
      <c r="F114" s="14" t="inlineStr">
        <is>
          <t>1. Click ⋮ ("More options"), then "Export all as…"
2. Choose "What the list shows"; "Columns": As the list shows; "Choose file format": XLSX
3. Press "Export"
4. Then "Filters" › "Clear All" › "Done"</t>
        </is>
      </c>
      <c r="G114" s="14" t="inlineStr">
        <is>
          <t>The summary line counts those leads and columns; an XLSX downloads with "Exported … as XLSX"; Clear All brings every lead back.</t>
        </is>
      </c>
      <c r="H114" s="12" t="inlineStr">
        <is>
          <t>Different from 1.0: all or shown leads; four formats</t>
        </is>
      </c>
      <c r="I114" s="11" t="inlineStr">
        <is>
          <t>Dane</t>
        </is>
      </c>
      <c r="J114" s="15" t="n"/>
      <c r="K114" s="15" t="n"/>
      <c r="L114" s="15" t="n"/>
      <c r="M114" s="16" t="n"/>
      <c r="N114" s="17" t="n"/>
      <c r="O114" s="17" t="n"/>
      <c r="P114" s="15" t="n"/>
    </row>
    <row r="115">
      <c r="A115" s="11" t="n">
        <v>4</v>
      </c>
      <c r="B115" s="11" t="inlineStr">
        <is>
          <t>4.21</t>
        </is>
      </c>
      <c r="C115" s="12" t="inlineStr">
        <is>
          <t>Share and shape the list</t>
        </is>
      </c>
      <c r="D115" s="12" t="inlineStr">
        <is>
          <t>Leads</t>
        </is>
      </c>
      <c r="E115" s="13" t="inlineStr">
        <is>
          <t>Look at one stage, one source and one member</t>
        </is>
      </c>
      <c r="F115" s="14" t="inlineStr">
        <is>
          <t>1. Click "All Leads (…)" and pick "Contacted"
2. "Filters": in "Source" tick Qanvast, in "Members" tick Dane, in "Sort" pick "Oldest at the top"; "Done"
3. Read the list
4. "Filters" › "Clear All" › "Done"; then the pill › "All Leads"</t>
        </is>
      </c>
      <c r="G115" s="14" t="inlineStr">
        <is>
          <t>The pill reads "Contacted (2)" with a dot: Jasmine Lee above Gavin See; clearing both brings every lead back.</t>
        </is>
      </c>
      <c r="H115" s="12" t="inlineStr">
        <is>
          <t>Different from 1.0: stages on the pill; filters combine freely</t>
        </is>
      </c>
      <c r="I115" s="11" t="inlineStr">
        <is>
          <t>Dane</t>
        </is>
      </c>
      <c r="J115" s="15" t="n"/>
      <c r="K115" s="15" t="n"/>
      <c r="L115" s="15" t="n"/>
      <c r="M115" s="16" t="n"/>
      <c r="N115" s="17" t="n"/>
      <c r="O115" s="17" t="n"/>
      <c r="P115" s="15" t="n"/>
    </row>
    <row r="116">
      <c r="A116" s="11" t="n">
        <v>4</v>
      </c>
      <c r="B116" s="11" t="inlineStr">
        <is>
          <t>4.22</t>
        </is>
      </c>
      <c r="C116" s="12" t="inlineStr">
        <is>
          <t>Share and shape the list</t>
        </is>
      </c>
      <c r="D116" s="12" t="inlineStr">
        <is>
          <t>Leads</t>
        </is>
      </c>
      <c r="E116" s="13" t="inlineStr">
        <is>
          <t>Add the District and follow-up columns</t>
        </is>
      </c>
      <c r="F116" s="14" t="inlineStr">
        <is>
          <t>1. Click the "Column settings" icon (right of Filters)
2. Switch on "District", "Next follow-up" and "Last contact"
3. Press "Done"</t>
        </is>
      </c>
      <c r="G116" s="14" t="inlineStr">
        <is>
          <t>Three columns appear; on Sophia's row DISTRICT reads East and LAST CONTACT reads "No contact yet"; NEXT FOLLOW-UP shows when (day, date and time over "in n days"), while TASKS names the task.</t>
        </is>
      </c>
      <c r="H116" s="12" t="inlineStr">
        <is>
          <t>New in 2.0</t>
        </is>
      </c>
      <c r="I116" s="11" t="inlineStr">
        <is>
          <t>Dane</t>
        </is>
      </c>
      <c r="J116" s="15" t="n"/>
      <c r="K116" s="15" t="n"/>
      <c r="L116" s="15" t="n"/>
      <c r="M116" s="16" t="n"/>
      <c r="N116" s="17" t="n"/>
      <c r="O116" s="17" t="n"/>
      <c r="P116" s="15" t="n"/>
    </row>
    <row r="117">
      <c r="A117" s="11" t="n">
        <v>4</v>
      </c>
      <c r="B117" s="11" t="inlineStr">
        <is>
          <t>4.23</t>
        </is>
      </c>
      <c r="C117" s="12" t="inlineStr">
        <is>
          <t>Share and shape the list</t>
        </is>
      </c>
      <c r="D117" s="12" t="inlineStr">
        <is>
          <t>Leads</t>
        </is>
      </c>
      <c r="E117" s="13" t="inlineStr">
        <is>
          <t>See the board and the owner-first rule</t>
        </is>
      </c>
      <c r="F117" s="14" t="inlineStr">
        <is>
          <t>1. Switch to the board ("Kanban view", top right of the list)
2. Drag Sophia Wong's card from New to Contacted
3. Switch back to "Table view"</t>
        </is>
      </c>
      <c r="G117" s="14" t="inlineStr">
        <is>
          <t>Seven stage columns sit under ACTIVE and INACTIVE; Sophia's card springs back with "Assign a member first".</t>
        </is>
      </c>
      <c r="H117" s="12" t="inlineStr">
        <is>
          <t>Different from 1.0: seven stage columns, not four buckets</t>
        </is>
      </c>
      <c r="I117" s="11" t="inlineStr">
        <is>
          <t>Dane</t>
        </is>
      </c>
      <c r="J117" s="15" t="n"/>
      <c r="K117" s="15" t="n"/>
      <c r="L117" s="15" t="n"/>
      <c r="M117" s="16" t="n"/>
      <c r="N117" s="17" t="n"/>
      <c r="O117" s="17" t="n"/>
      <c r="P117" s="15" t="n"/>
    </row>
    <row r="118" ht="22" customHeight="1">
      <c r="A118" s="9" t="inlineStr">
        <is>
          <t>Chapter 5 · Work your lead — Sophia Wong: assign, call, notes, tasks, files, questionnaire, meeting.</t>
        </is>
      </c>
      <c r="M118" s="10" t="n"/>
    </row>
    <row r="119">
      <c r="A119" s="11" t="n">
        <v>5</v>
      </c>
      <c r="B119" s="11" t="inlineStr">
        <is>
          <t>5.01</t>
        </is>
      </c>
      <c r="C119" s="12" t="inlineStr">
        <is>
          <t>Meet your new lead</t>
        </is>
      </c>
      <c r="D119" s="12" t="inlineStr">
        <is>
          <t>Lead details</t>
        </is>
      </c>
      <c r="E119" s="13" t="inlineStr">
        <is>
          <t>Open Sophia's lead</t>
        </is>
      </c>
      <c r="F119" s="14" t="inlineStr">
        <is>
          <t>1. On Leads, click Sophia Wong's name
2. Read the header
3. Press the back arrow, look at her row, then open her again</t>
        </is>
      </c>
      <c r="G119" s="14" t="inlineStr">
        <is>
          <t>Her "Overview" opens with chips 9765 4321 · S$ 60K · HDB 4-ROOM · REFERRAL and "Stage: New"; her row's band is gone.</t>
        </is>
      </c>
      <c r="H119" s="12" t="inlineStr">
        <is>
          <t>Different from 1.0: a full page with tabs, not a drawer</t>
        </is>
      </c>
      <c r="I119" s="11" t="inlineStr">
        <is>
          <t>Dane</t>
        </is>
      </c>
      <c r="J119" s="15" t="n"/>
      <c r="K119" s="15" t="n"/>
      <c r="L119" s="15" t="n"/>
      <c r="M119" s="16" t="n"/>
      <c r="N119" s="17" t="n"/>
      <c r="O119" s="17" t="n"/>
      <c r="P119" s="15" t="n"/>
    </row>
    <row r="120">
      <c r="A120" s="11" t="n">
        <v>5</v>
      </c>
      <c r="B120" s="11" t="inlineStr">
        <is>
          <t>5.02</t>
        </is>
      </c>
      <c r="C120" s="12" t="inlineStr">
        <is>
          <t>Meet your new lead</t>
        </is>
      </c>
      <c r="D120" s="12" t="inlineStr">
        <is>
          <t>Lead details</t>
        </is>
      </c>
      <c r="E120" s="13" t="inlineStr">
        <is>
          <t>Check her details on the left</t>
        </is>
      </c>
      <c r="F120" s="14" t="inlineStr">
        <is>
          <t>1. On her Overview, read the left column
2. Look at "Lead info", "Property info" and "Other info"</t>
        </is>
      </c>
      <c r="G120" s="14" t="inlineStr">
        <is>
          <t>Lead info: Stage New, Source Referral, Budget (S$) 60,000; Property info: HDB 4-Room, District East, Resale, in 3 months, her address.</t>
        </is>
      </c>
      <c r="H120" s="12" t="inlineStr">
        <is>
          <t>Same as 1.0</t>
        </is>
      </c>
      <c r="I120" s="11" t="inlineStr">
        <is>
          <t>Dane</t>
        </is>
      </c>
      <c r="J120" s="15" t="n"/>
      <c r="K120" s="15" t="n"/>
      <c r="L120" s="15" t="n"/>
      <c r="M120" s="16" t="n"/>
      <c r="N120" s="17" t="n"/>
      <c r="O120" s="17" t="n"/>
      <c r="P120" s="15" t="n"/>
    </row>
    <row r="121">
      <c r="A121" s="11" t="n">
        <v>5</v>
      </c>
      <c r="B121" s="11" t="inlineStr">
        <is>
          <t>5.03</t>
        </is>
      </c>
      <c r="C121" s="12" t="inlineStr">
        <is>
          <t>Meet your new lead</t>
        </is>
      </c>
      <c r="D121" s="12" t="inlineStr">
        <is>
          <t>Lead details</t>
        </is>
      </c>
      <c r="E121" s="13" t="inlineStr">
        <is>
          <t>Try to move her before anyone owns her</t>
        </is>
      </c>
      <c r="F121" s="14" t="inlineStr">
        <is>
          <t>1. Click "Stage: New" and point at "Contacted"
2. Close the menu
3. Point at, then press, "Convert to Project"</t>
        </is>
      </c>
      <c r="G121" s="14" t="inlineStr">
        <is>
          <t>Contacted is greyed with "Assign a member first"; Convert to Project wears a lock and answers "Assign a member first".</t>
        </is>
      </c>
      <c r="H121" s="12" t="inlineStr">
        <is>
          <t>Same as 1.0</t>
        </is>
      </c>
      <c r="I121" s="11" t="inlineStr">
        <is>
          <t>Dane</t>
        </is>
      </c>
      <c r="J121" s="15" t="n"/>
      <c r="K121" s="15" t="n"/>
      <c r="L121" s="15" t="n"/>
      <c r="M121" s="16" t="n"/>
      <c r="N121" s="17" t="n"/>
      <c r="O121" s="17" t="n"/>
      <c r="P121" s="15" t="n"/>
    </row>
    <row r="122">
      <c r="A122" s="11" t="n">
        <v>5</v>
      </c>
      <c r="B122" s="11" t="inlineStr">
        <is>
          <t>5.04</t>
        </is>
      </c>
      <c r="C122" s="12" t="inlineStr">
        <is>
          <t>Give her an owner</t>
        </is>
      </c>
      <c r="D122" s="12" t="inlineStr">
        <is>
          <t>Lead details</t>
        </is>
      </c>
      <c r="E122" s="13" t="inlineStr">
        <is>
          <t>Assign the member the studio suggests</t>
        </is>
      </c>
      <c r="F122" s="14" t="inlineStr">
        <is>
          <t>1. In the left column, under "Collaborators", click "Assign Member"
2. Read the "Suggested · …" box
3. Press "Assign to Sarah"</t>
        </is>
      </c>
      <c r="G122" s="14" t="inlineStr">
        <is>
          <t>"Suggested · Sarah" explains why (HDB 4-Room, East area); one press assigns her: "Members updated" and Sarah shows under Collaborators.</t>
        </is>
      </c>
      <c r="H122" s="12" t="inlineStr">
        <is>
          <t>Different from 1.0: a line in Assign, scored the same way</t>
        </is>
      </c>
      <c r="I122" s="11" t="inlineStr">
        <is>
          <t>Dane</t>
        </is>
      </c>
      <c r="J122" s="15" t="n"/>
      <c r="K122" s="15" t="n"/>
      <c r="L122" s="15" t="n"/>
      <c r="M122" s="16" t="n"/>
      <c r="N122" s="17" t="n"/>
      <c r="O122" s="17" t="n"/>
      <c r="P122" s="15" t="n"/>
    </row>
    <row r="123">
      <c r="A123" s="11" t="n">
        <v>5</v>
      </c>
      <c r="B123" s="11" t="inlineStr">
        <is>
          <t>5.05</t>
        </is>
      </c>
      <c r="C123" s="12" t="inlineStr">
        <is>
          <t>Give her an owner</t>
        </is>
      </c>
      <c r="D123" s="12" t="inlineStr">
        <is>
          <t>Lead details</t>
        </is>
      </c>
      <c r="E123" s="13" t="inlineStr">
        <is>
          <t>Set a reminder to follow up tomorrow</t>
        </is>
      </c>
      <c r="F123" s="14" t="inlineStr">
        <is>
          <t>1. In the "LEAD STAGES" card click "Next follow-up" (None set)
2. In "Set a follow-up", pick tomorrow at 10:00 AM for "When"
3. Keep the "Task" name, press "Save"</t>
        </is>
      </c>
      <c r="G123" s="14" t="inlineStr">
        <is>
          <t>"Follow-up set for …" appears; Next follow-up now reads "Follow up with Sophia Wong" with tomorrow's day, date and "10:00 AM"; open the task and its Due keeps the time — change only the day and 10:00 AM stays.</t>
        </is>
      </c>
      <c r="H123" s="12" t="inlineStr">
        <is>
          <t>Different from 1.0: the follow-up is a task, not a lead date</t>
        </is>
      </c>
      <c r="I123" s="11" t="inlineStr">
        <is>
          <t>Dane</t>
        </is>
      </c>
      <c r="J123" s="15" t="n"/>
      <c r="K123" s="15" t="n"/>
      <c r="L123" s="15" t="n"/>
      <c r="M123" s="16" t="n"/>
      <c r="N123" s="17" t="n"/>
      <c r="O123" s="17" t="n"/>
      <c r="P123" s="15" t="n"/>
    </row>
    <row r="124">
      <c r="A124" s="11" t="n">
        <v>5</v>
      </c>
      <c r="B124" s="11" t="inlineStr">
        <is>
          <t>5.06</t>
        </is>
      </c>
      <c r="C124" s="12" t="inlineStr">
        <is>
          <t>Give her an owner</t>
        </is>
      </c>
      <c r="D124" s="12" t="inlineStr">
        <is>
          <t>Lead details</t>
        </is>
      </c>
      <c r="E124" s="13" t="inlineStr">
        <is>
          <t>Add her NRIC and correct her key collection</t>
        </is>
      </c>
      <c r="F124" s="14" t="inlineStr">
        <is>
          <t>1. Open ⋮ ("More options"), then "Edit"
2. "NRIC / FIN": S8812345D · "Key collection": Collected
3. Press "Save"
4. In Lead info, press "Show" beside NRIC / FIN</t>
        </is>
      </c>
      <c r="G124" s="14" t="inlineStr">
        <is>
          <t>"Details saved"; Lead info shows NRIC / FIN masked as •••••345D, and "Show" (Owners and Admins only) reveals S8812345D; Property info shows Key collection Collected.</t>
        </is>
      </c>
      <c r="H124" s="12" t="inlineStr">
        <is>
          <t>Same as 1.0</t>
        </is>
      </c>
      <c r="I124" s="11" t="inlineStr">
        <is>
          <t>Dane</t>
        </is>
      </c>
      <c r="J124" s="15" t="n"/>
      <c r="K124" s="15" t="n"/>
      <c r="L124" s="15" t="n"/>
      <c r="M124" s="16" t="n"/>
      <c r="N124" s="17" t="n"/>
      <c r="O124" s="17" t="n"/>
      <c r="P124" s="15" t="n"/>
    </row>
    <row r="125">
      <c r="A125" s="11" t="n">
        <v>5</v>
      </c>
      <c r="B125" s="11" t="inlineStr">
        <is>
          <t>5.07</t>
        </is>
      </c>
      <c r="C125" s="12" t="inlineStr">
        <is>
          <t>Log the first call</t>
        </is>
      </c>
      <c r="D125" s="12" t="inlineStr">
        <is>
          <t>Lead details</t>
        </is>
      </c>
      <c r="E125" s="13" t="inlineStr">
        <is>
          <t>Check the call log asks for what it needs</t>
        </is>
      </c>
      <c r="F125" s="14" t="inlineStr">
        <is>
          <t>1. Click "Stage: New", then "Contacted"
2. In the "Move stage" window press "Save" without filling anything</t>
        </is>
      </c>
      <c r="G125" s="14" t="inlineStr">
        <is>
          <t>"Moving to Contacted"; red messages under the empty fields and "Unable to move. Please fill in the required fields."; channels include "In person".</t>
        </is>
      </c>
      <c r="H125" s="12" t="inlineStr">
        <is>
          <t>Different from 1.0: a screenshot is needed to log contact</t>
        </is>
      </c>
      <c r="I125" s="11" t="inlineStr">
        <is>
          <t>Dane</t>
        </is>
      </c>
      <c r="J125" s="15" t="n"/>
      <c r="K125" s="15" t="n"/>
      <c r="L125" s="15" t="n"/>
      <c r="M125" s="16" t="n"/>
      <c r="N125" s="17" t="n"/>
      <c r="O125" s="17" t="n"/>
      <c r="P125" s="15" t="n"/>
    </row>
    <row r="126">
      <c r="A126" s="11" t="n">
        <v>5</v>
      </c>
      <c r="B126" s="11" t="inlineStr">
        <is>
          <t>5.08</t>
        </is>
      </c>
      <c r="C126" s="12" t="inlineStr">
        <is>
          <t>Log the first call</t>
        </is>
      </c>
      <c r="D126" s="12" t="inlineStr">
        <is>
          <t>Lead details</t>
        </is>
      </c>
      <c r="E126" s="13" t="inlineStr">
        <is>
          <t>Log the call and pick the suggested tasks</t>
        </is>
      </c>
      <c r="F126" s="14" t="inlineStr">
        <is>
          <t>1. "Contacted via" Call · "Date &amp; Time" today, now · "Outcome" Callback requested
2. Under "Schedule a call/meeting (optional)": two days from now, 11:00 AM · "Preferred mode" Call
3. Under "Attach screenshots of your call attempts" press "Attach", tick sophia-floor-plan.pdf (any file will do), press "Attach 1 File", then "Save"
4. In "Suggested tasks" tick the suggestion, press "Save"</t>
        </is>
      </c>
      <c r="G126" s="14" t="inlineStr">
        <is>
          <t>"Auto added" shows "Follow up with the client via Call on …"; then "Moved to Contacted" and the button reads "Stage: Contacted".</t>
        </is>
      </c>
      <c r="H126" s="12" t="inlineStr">
        <is>
          <t>Different from 1.0: a scheduled call becomes a task automatically</t>
        </is>
      </c>
      <c r="I126" s="11" t="inlineStr">
        <is>
          <t>Dane</t>
        </is>
      </c>
      <c r="J126" s="15" t="n"/>
      <c r="K126" s="15" t="n"/>
      <c r="L126" s="15" t="n"/>
      <c r="M126" s="16" t="n"/>
      <c r="N126" s="17" t="n"/>
      <c r="O126" s="17" t="n"/>
      <c r="P126" s="15" t="n"/>
    </row>
    <row r="127">
      <c r="A127" s="11" t="n">
        <v>5</v>
      </c>
      <c r="B127" s="11" t="inlineStr">
        <is>
          <t>5.09</t>
        </is>
      </c>
      <c r="C127" s="12" t="inlineStr">
        <is>
          <t>Log the first call</t>
        </is>
      </c>
      <c r="D127" s="12" t="inlineStr">
        <is>
          <t>Lead details</t>
        </is>
      </c>
      <c r="E127" s="13" t="inlineStr">
        <is>
          <t>Find the call in Notes &amp; Logs</t>
        </is>
      </c>
      <c r="F127" s="14" t="inlineStr">
        <is>
          <t>1. Open the "Notes &amp; Logs" tab
2. Click the Call contact log in the list</t>
        </is>
      </c>
      <c r="G127" s="14" t="inlineStr">
        <is>
          <t>The log shows Call · Callback requested; its header reads "Added during stage movement — view only".</t>
        </is>
      </c>
      <c r="H127" s="12" t="inlineStr">
        <is>
          <t>New in 2.0</t>
        </is>
      </c>
      <c r="I127" s="11" t="inlineStr">
        <is>
          <t>Dane</t>
        </is>
      </c>
      <c r="J127" s="15" t="n"/>
      <c r="K127" s="15" t="n"/>
      <c r="L127" s="15" t="n"/>
      <c r="M127" s="16" t="n"/>
      <c r="N127" s="17" t="n"/>
      <c r="O127" s="17" t="n"/>
      <c r="P127" s="15" t="n"/>
    </row>
    <row r="128">
      <c r="A128" s="11" t="n">
        <v>5</v>
      </c>
      <c r="B128" s="11" t="inlineStr">
        <is>
          <t>5.10</t>
        </is>
      </c>
      <c r="C128" s="12" t="inlineStr">
        <is>
          <t>Notes and tasks</t>
        </is>
      </c>
      <c r="D128" s="12" t="inlineStr">
        <is>
          <t>Lead details</t>
        </is>
      </c>
      <c r="E128" s="13" t="inlineStr">
        <is>
          <t>Write a quick note that saves itself</t>
        </is>
      </c>
      <c r="F128" s="14" t="inlineStr">
        <is>
          <t>1. In "Notes &amp; Logs" click "New", then "Note"
2. Title: Site visit prep; write a line about her kitchen
3. Click another item in the list</t>
        </is>
      </c>
      <c r="G128" s="14" t="inlineStr">
        <is>
          <t>The note stays in the list under its title — there is no Save button to press.</t>
        </is>
      </c>
      <c r="H128" s="12" t="inlineStr">
        <is>
          <t>Different from 1.0: many dated notes, not one field</t>
        </is>
      </c>
      <c r="I128" s="11" t="inlineStr">
        <is>
          <t>Dane</t>
        </is>
      </c>
      <c r="J128" s="15" t="n"/>
      <c r="K128" s="15" t="n"/>
      <c r="L128" s="15" t="n"/>
      <c r="M128" s="16" t="n"/>
      <c r="N128" s="17" t="n"/>
      <c r="O128" s="17" t="n"/>
      <c r="P128" s="15" t="n"/>
    </row>
    <row r="129">
      <c r="A129" s="11" t="n">
        <v>5</v>
      </c>
      <c r="B129" s="11" t="inlineStr">
        <is>
          <t>5.11</t>
        </is>
      </c>
      <c r="C129" s="12" t="inlineStr">
        <is>
          <t>Notes and tasks</t>
        </is>
      </c>
      <c r="D129" s="12" t="inlineStr">
        <is>
          <t>Lead details</t>
        </is>
      </c>
      <c r="E129" s="13" t="inlineStr">
        <is>
          <t>Log a WhatsApp chat with Auto Fill</t>
        </is>
      </c>
      <c r="F129" s="14" t="inlineStr">
        <is>
          <t>1. Click "New", then "Contact Log"
2. Press "Auto Fill", then "Upload", and pick sophia-whatsapp-chat.txt
3. Read the line at the top of the log, then in "Add tasks" press "Save"
4. Press "Save" under the log (if "Add tasks" opens again, press "Cancel")
5. Try "Auto Fill" once more with any photo</t>
        </is>
      </c>
      <c r="G129" s="14" t="inlineStr">
        <is>
          <t>The log fills from the chat's own words: WhatsApp, 8/10/2026 7:16 PM, Meeting scheduled, and the meeting on 10/10/2026 3:00 PM in person; the line says what filled, and the chat file is attached. "1 task added", then "Contact log saved". A photo is attached and fills nothing — the line says "We can't read pictures yet — type what was said".</t>
        </is>
      </c>
      <c r="H129" s="12" t="inlineStr">
        <is>
          <t>Different from 1.0: the file's words are read by rule (a chat export, an email or call notes) — no AI, no credits; a screenshot isn't read</t>
        </is>
      </c>
      <c r="I129" s="11" t="inlineStr">
        <is>
          <t>Dane</t>
        </is>
      </c>
      <c r="J129" s="15" t="n"/>
      <c r="K129" s="15" t="n"/>
      <c r="L129" s="15" t="n"/>
      <c r="M129" s="16" t="n"/>
      <c r="N129" s="17" t="n"/>
      <c r="O129" s="17" t="n"/>
      <c r="P129" s="15" t="n"/>
    </row>
    <row r="130">
      <c r="A130" s="11" t="n">
        <v>5</v>
      </c>
      <c r="B130" s="11" t="inlineStr">
        <is>
          <t>5.12</t>
        </is>
      </c>
      <c r="C130" s="12" t="inlineStr">
        <is>
          <t>Notes and tasks</t>
        </is>
      </c>
      <c r="D130" s="12" t="inlineStr">
        <is>
          <t>Lead details</t>
        </is>
      </c>
      <c r="E130" s="13" t="inlineStr">
        <is>
          <t>Tick off the follow-up you just did</t>
        </is>
      </c>
      <c r="F130" s="14" t="inlineStr">
        <is>
          <t>1. Open the "Tasks" tab
2. Find "Follow up with Sophia Wong"
3. Click its round check ("Mark as completed")</t>
        </is>
      </c>
      <c r="G130" s="14" t="inlineStr">
        <is>
          <t>The list holds your follow-ups with due dates and the suggestion; the ticked one now shows a filled check.</t>
        </is>
      </c>
      <c r="H130" s="12" t="inlineStr">
        <is>
          <t>New in 2.0</t>
        </is>
      </c>
      <c r="I130" s="11" t="inlineStr">
        <is>
          <t>Dane</t>
        </is>
      </c>
      <c r="J130" s="15" t="n"/>
      <c r="K130" s="15" t="n"/>
      <c r="L130" s="15" t="n"/>
      <c r="M130" s="16" t="n"/>
      <c r="N130" s="17" t="n"/>
      <c r="O130" s="17" t="n"/>
      <c r="P130" s="15" t="n"/>
    </row>
    <row r="131">
      <c r="A131" s="11" t="n">
        <v>5</v>
      </c>
      <c r="B131" s="11" t="inlineStr">
        <is>
          <t>5.13</t>
        </is>
      </c>
      <c r="C131" s="12" t="inlineStr">
        <is>
          <t>Notes and tasks</t>
        </is>
      </c>
      <c r="D131" s="12" t="inlineStr">
        <is>
          <t>Lead details</t>
        </is>
      </c>
      <c r="E131" s="13" t="inlineStr">
        <is>
          <t>Add a task and give it a due date</t>
        </is>
      </c>
      <c r="F131" s="14" t="inlineStr">
        <is>
          <t>1. Click "Add Task", then "Create New Task"
2. Type Send Sophia the HDB renovation checklist, press Enter
3. In its "Due date" cell click the calendar ("Set due date") and pick Friday, then "Done"</t>
        </is>
      </c>
      <c r="G131" s="14" t="inlineStr">
        <is>
          <t>The new task sits at the top of the list, glowing once, with its due date reading "Fri, … · 10:00 AM".</t>
        </is>
      </c>
      <c r="H131" s="12" t="inlineStr">
        <is>
          <t>New in 2.0</t>
        </is>
      </c>
      <c r="I131" s="11" t="inlineStr">
        <is>
          <t>Dane</t>
        </is>
      </c>
      <c r="J131" s="15" t="n"/>
      <c r="K131" s="15" t="n"/>
      <c r="L131" s="15" t="n"/>
      <c r="M131" s="16" t="n"/>
      <c r="N131" s="17" t="n"/>
      <c r="O131" s="17" t="n"/>
      <c r="P131" s="15" t="n"/>
    </row>
    <row r="132">
      <c r="A132" s="11" t="n">
        <v>5</v>
      </c>
      <c r="B132" s="11" t="inlineStr">
        <is>
          <t>5.14</t>
        </is>
      </c>
      <c r="C132" s="12" t="inlineStr">
        <is>
          <t>Her files</t>
        </is>
      </c>
      <c r="D132" s="12" t="inlineStr">
        <is>
          <t>Lead details</t>
        </is>
      </c>
      <c r="E132" s="13" t="inlineStr">
        <is>
          <t>Find her floor plan and make a folder</t>
        </is>
      </c>
      <c r="F132" s="14" t="inlineStr">
        <is>
          <t>1. Open the "Files" tab
2. Check sophia-floor-plan.pdf is there
3. Click the "New Folder" icon, name it Site photos, press "Save"</t>
        </is>
      </c>
      <c r="G132" s="14" t="inlineStr">
        <is>
          <t>The floor plan attached when she was created is listed; "Folder created" and a Site photos folder appears.</t>
        </is>
      </c>
      <c r="H132" s="12" t="inlineStr">
        <is>
          <t>Different from 1.0: folders, trash and comments</t>
        </is>
      </c>
      <c r="I132" s="11" t="inlineStr">
        <is>
          <t>Dane</t>
        </is>
      </c>
      <c r="J132" s="15" t="n"/>
      <c r="K132" s="15" t="n"/>
      <c r="L132" s="15" t="n"/>
      <c r="M132" s="16" t="n"/>
      <c r="N132" s="17" t="n"/>
      <c r="O132" s="17" t="n"/>
      <c r="P132" s="15" t="n"/>
    </row>
    <row r="133">
      <c r="A133" s="11" t="n">
        <v>5</v>
      </c>
      <c r="B133" s="11" t="inlineStr">
        <is>
          <t>5.15</t>
        </is>
      </c>
      <c r="C133" s="12" t="inlineStr">
        <is>
          <t>Her files</t>
        </is>
      </c>
      <c r="D133" s="12" t="inlineStr">
        <is>
          <t>Lead details</t>
        </is>
      </c>
      <c r="E133" s="13" t="inlineStr">
        <is>
          <t>Upload a photo into the folder</t>
        </is>
      </c>
      <c r="F133" s="14" t="inlineStr">
        <is>
          <t>1. Click the Site photos folder to open it
2. Click "New File", then "From Local Files"
3. Pick sophia-living-room.jpg</t>
        </is>
      </c>
      <c r="G133" s="14" t="inlineStr">
        <is>
          <t>"Uploading 1 file", then "File uploaded"; a tile named sophia-living-room.jpg appears, showing her living-room photo.</t>
        </is>
      </c>
      <c r="H133" s="12" t="inlineStr">
        <is>
          <t>Same as 1.0</t>
        </is>
      </c>
      <c r="I133" s="11" t="inlineStr">
        <is>
          <t>Dane</t>
        </is>
      </c>
      <c r="J133" s="15" t="n"/>
      <c r="K133" s="15" t="n"/>
      <c r="L133" s="15" t="n"/>
      <c r="M133" s="16" t="n"/>
      <c r="N133" s="17" t="n"/>
      <c r="O133" s="17" t="n"/>
      <c r="P133" s="15" t="n"/>
    </row>
    <row r="134">
      <c r="A134" s="11" t="n">
        <v>5</v>
      </c>
      <c r="B134" s="11" t="inlineStr">
        <is>
          <t>5.16</t>
        </is>
      </c>
      <c r="C134" s="12" t="inlineStr">
        <is>
          <t>Her files</t>
        </is>
      </c>
      <c r="D134" s="12" t="inlineStr">
        <is>
          <t>Lead details</t>
        </is>
      </c>
      <c r="E134" s="13" t="inlineStr">
        <is>
          <t>Leave your team a comment on the photo</t>
        </is>
      </c>
      <c r="F134" s="14" t="inlineStr">
        <is>
          <t>1. Double-click the photo to open it
2. Click the "Comments" icon (top right)
3. Type Check the window measurements, press Enter
4. Press the back arrow ("Back to Files")</t>
        </is>
      </c>
      <c r="G134" s="14" t="inlineStr">
        <is>
          <t>Your comment appears under your name; the panel notes "Clients can’t see these comments".</t>
        </is>
      </c>
      <c r="H134" s="12" t="inlineStr">
        <is>
          <t>New in 2.0</t>
        </is>
      </c>
      <c r="I134" s="11" t="inlineStr">
        <is>
          <t>Dane</t>
        </is>
      </c>
      <c r="J134" s="15" t="n"/>
      <c r="K134" s="15" t="n"/>
      <c r="L134" s="15" t="n"/>
      <c r="M134" s="16" t="n"/>
      <c r="N134" s="17" t="n"/>
      <c r="O134" s="17" t="n"/>
      <c r="P134" s="15" t="n"/>
    </row>
    <row r="135">
      <c r="A135" s="11" t="n">
        <v>5</v>
      </c>
      <c r="B135" s="11" t="inlineStr">
        <is>
          <t>5.17</t>
        </is>
      </c>
      <c r="C135" s="12" t="inlineStr">
        <is>
          <t>What does she need?</t>
        </is>
      </c>
      <c r="D135" s="12" t="inlineStr">
        <is>
          <t>Lead details</t>
        </is>
      </c>
      <c r="E135" s="13" t="inlineStr">
        <is>
          <t>Answer one of the studio's questions</t>
        </is>
      </c>
      <c r="F135" s="14" t="inlineStr">
        <is>
          <t>1. Open the "Questionnaire" tab
2. On the first question press "Answer"
3. Type a short answer, press "Save"</t>
        </is>
      </c>
      <c r="G135" s="14" t="inlineStr">
        <is>
          <t>Her lead already holds the studio's questions (Company › Questionnaire, chapter 3's included); "Answer saved" and your answer shows after "A:".</t>
        </is>
      </c>
      <c r="H135" s="12" t="inlineStr">
        <is>
          <t>Different from 1.0: the studio answers here; clients use the portal</t>
        </is>
      </c>
      <c r="I135" s="11" t="inlineStr">
        <is>
          <t>Dane</t>
        </is>
      </c>
      <c r="J135" s="15" t="n"/>
      <c r="K135" s="15" t="n"/>
      <c r="L135" s="15" t="n"/>
      <c r="M135" s="16" t="n"/>
      <c r="N135" s="17" t="n"/>
      <c r="O135" s="17" t="n"/>
      <c r="P135" s="15" t="n"/>
    </row>
    <row r="136">
      <c r="A136" s="11" t="n">
        <v>5</v>
      </c>
      <c r="B136" s="11" t="inlineStr">
        <is>
          <t>5.18</t>
        </is>
      </c>
      <c r="C136" s="12" t="inlineStr">
        <is>
          <t>What does she need?</t>
        </is>
      </c>
      <c r="D136" s="12" t="inlineStr">
        <is>
          <t>Lead details</t>
        </is>
      </c>
      <c r="E136" s="13" t="inlineStr">
        <is>
          <t>Ask Sophia to answer the rest herself</t>
        </is>
      </c>
      <c r="F136" s="14" t="inlineStr">
        <is>
          <t>1. Press "Ask Client"
2. In "Ask the client", read the ticked "Questions to ask", then press "Copy" beside "Portal link"
3. Press "Send via WhatsApp" — a WhatsApp tab opens: close it, do not send</t>
        </is>
      </c>
      <c r="G136" s="14" t="inlineStr">
        <is>
          <t>The box says it also invites Sophia to your portal; then "Asked Sophia Wong — … questions are on their page"; the summary now reads "Client asked on" with today's date.</t>
        </is>
      </c>
      <c r="H136" s="12" t="inlineStr">
        <is>
          <t>Same as 1.0 (a WhatsApp with her link; one ask per 5 minutes)</t>
        </is>
      </c>
      <c r="I136" s="11" t="inlineStr">
        <is>
          <t>Dane</t>
        </is>
      </c>
      <c r="J136" s="15" t="n"/>
      <c r="K136" s="15" t="n"/>
      <c r="L136" s="15" t="n"/>
      <c r="M136" s="16" t="n"/>
      <c r="N136" s="17" t="n"/>
      <c r="O136" s="17" t="n"/>
      <c r="P136" s="15" t="n"/>
    </row>
    <row r="137">
      <c r="A137" s="11" t="n">
        <v>5</v>
      </c>
      <c r="B137" s="11" t="inlineStr">
        <is>
          <t>5.19</t>
        </is>
      </c>
      <c r="C137" s="12" t="inlineStr">
        <is>
          <t>The showroom visit</t>
        </is>
      </c>
      <c r="D137" s="12" t="inlineStr">
        <is>
          <t>Lead details</t>
        </is>
      </c>
      <c r="E137" s="13" t="inlineStr">
        <is>
          <t>Record the showroom meeting</t>
        </is>
      </c>
      <c r="F137" s="14" t="inlineStr">
        <is>
          <t>1. Click "Stage: Contacted", then "Met"
2. "Where": Showroom · "Date &amp; Time": today, now
3. Press "Save"</t>
        </is>
      </c>
      <c r="G137" s="14" t="inlineStr">
        <is>
          <t>"Moved to Met"; the header button reads "Stage: Met".</t>
        </is>
      </c>
      <c r="H137" s="12" t="inlineStr">
        <is>
          <t>Different from 1.0: a meeting log with where and when</t>
        </is>
      </c>
      <c r="I137" s="11" t="inlineStr">
        <is>
          <t>Dane</t>
        </is>
      </c>
      <c r="J137" s="15" t="n"/>
      <c r="K137" s="15" t="n"/>
      <c r="L137" s="15" t="n"/>
      <c r="M137" s="16" t="n"/>
      <c r="N137" s="17" t="n"/>
      <c r="O137" s="17" t="n"/>
      <c r="P137" s="15" t="n"/>
    </row>
    <row r="138">
      <c r="A138" s="11" t="n">
        <v>5</v>
      </c>
      <c r="B138" s="11" t="inlineStr">
        <is>
          <t>5.20</t>
        </is>
      </c>
      <c r="C138" s="12" t="inlineStr">
        <is>
          <t>The showroom visit</t>
        </is>
      </c>
      <c r="D138" s="12" t="inlineStr">
        <is>
          <t>Lead details</t>
        </is>
      </c>
      <c r="E138" s="13" t="inlineStr">
        <is>
          <t>Look back at the call — stages never move back</t>
        </is>
      </c>
      <c r="F138" s="14" t="inlineStr">
        <is>
          <t>1. In the "LEAD STAGES" card, click the "Contacted" row
2. Read the window, then press "Cancel"</t>
        </is>
      </c>
      <c r="G138" s="14" t="inlineStr">
        <is>
          <t>"Contacted details" opens read-only, with "Edit" on the log and "Add Log" at the top; there is no Save button.</t>
        </is>
      </c>
      <c r="H138" s="12" t="inlineStr">
        <is>
          <t>Different from 1.0: done stages open read-only; nothing moves back</t>
        </is>
      </c>
      <c r="I138" s="11" t="inlineStr">
        <is>
          <t>Dane</t>
        </is>
      </c>
      <c r="J138" s="15" t="n"/>
      <c r="K138" s="15" t="n"/>
      <c r="L138" s="15" t="n"/>
      <c r="M138" s="16" t="n"/>
      <c r="N138" s="17" t="n"/>
      <c r="O138" s="17" t="n"/>
      <c r="P138" s="15" t="n"/>
    </row>
    <row r="139">
      <c r="A139" s="11" t="n">
        <v>5</v>
      </c>
      <c r="B139" s="11" t="inlineStr">
        <is>
          <t>5.21</t>
        </is>
      </c>
      <c r="C139" s="12" t="inlineStr">
        <is>
          <t>The showroom visit</t>
        </is>
      </c>
      <c r="D139" s="12" t="inlineStr">
        <is>
          <t>Lead details</t>
        </is>
      </c>
      <c r="E139" s="13" t="inlineStr">
        <is>
          <t>Read her journey at a glance</t>
        </is>
      </c>
      <c r="F139" s="14" t="inlineStr">
        <is>
          <t>1. On "Overview", read the "LEAD STAGES" card
2. Read the three lines under the stages</t>
        </is>
      </c>
      <c r="G139" s="14" t="inlineStr">
        <is>
          <t>New, Contacted ticked, Met current; Next follow-up shows your earliest dated task; Response time reads like "Assigned in … · First contact in …".</t>
        </is>
      </c>
      <c r="H139" s="12" t="inlineStr">
        <is>
          <t>Different from 1.0: one line instead of a Response time card</t>
        </is>
      </c>
      <c r="I139" s="11" t="inlineStr">
        <is>
          <t>Dane</t>
        </is>
      </c>
      <c r="J139" s="15" t="n"/>
      <c r="K139" s="15" t="n"/>
      <c r="L139" s="15" t="n"/>
      <c r="M139" s="16" t="n"/>
      <c r="N139" s="17" t="n"/>
      <c r="O139" s="17" t="n"/>
      <c r="P139" s="15" t="n"/>
    </row>
    <row r="140">
      <c r="A140" s="11" t="n">
        <v>5</v>
      </c>
      <c r="B140" s="11" t="inlineStr">
        <is>
          <t>5.22</t>
        </is>
      </c>
      <c r="C140" s="12" t="inlineStr">
        <is>
          <t>The day's record</t>
        </is>
      </c>
      <c r="D140" s="12" t="inlineStr">
        <is>
          <t>Lead details</t>
        </is>
      </c>
      <c r="E140" s="13" t="inlineStr">
        <is>
          <t>Read everything that happened to her lead</t>
        </is>
      </c>
      <c r="F140" s="14" t="inlineStr">
        <is>
          <t>1. Open the "Activity" tab
2. Scroll through today</t>
        </is>
      </c>
      <c r="G140" s="14" t="inlineStr">
        <is>
          <t>Among the lines: "You added Sarah to the lead.", "You changed the lead’s details — …" and "You asked Sophia Wong to answer … questions."</t>
        </is>
      </c>
      <c r="H140" s="12" t="inlineStr">
        <is>
          <t>Different from 1.0: built from records, plus logged edits and asks</t>
        </is>
      </c>
      <c r="I140" s="11" t="inlineStr">
        <is>
          <t>Dane</t>
        </is>
      </c>
      <c r="J140" s="15" t="n"/>
      <c r="K140" s="15" t="n"/>
      <c r="L140" s="15" t="n"/>
      <c r="M140" s="16" t="n"/>
      <c r="N140" s="17" t="n"/>
      <c r="O140" s="17" t="n"/>
      <c r="P140" s="15" t="n"/>
    </row>
    <row r="141">
      <c r="A141" s="11" t="n">
        <v>5</v>
      </c>
      <c r="B141" s="11" t="inlineStr">
        <is>
          <t>5.23</t>
        </is>
      </c>
      <c r="C141" s="12" t="inlineStr">
        <is>
          <t>The day's record</t>
        </is>
      </c>
      <c r="D141" s="12" t="inlineStr">
        <is>
          <t>Leads</t>
        </is>
      </c>
      <c r="E141" s="13" t="inlineStr">
        <is>
          <t>See Sophia's progress from the list</t>
        </is>
      </c>
      <c r="F141" s="14" t="inlineStr">
        <is>
          <t>1. Go back to "Leads"
2. Find Sophia Wong's row</t>
        </is>
      </c>
      <c r="G141" s="14" t="inlineStr">
        <is>
          <t>Stage Met, Sarah under Members, a task in Tasks, and the District, Next follow-up and Last contact columns filled in.</t>
        </is>
      </c>
      <c r="H141" s="12" t="inlineStr">
        <is>
          <t>Same as 1.0</t>
        </is>
      </c>
      <c r="I141" s="11" t="inlineStr">
        <is>
          <t>Dane</t>
        </is>
      </c>
      <c r="J141" s="15" t="n"/>
      <c r="K141" s="15" t="n"/>
      <c r="L141" s="15" t="n"/>
      <c r="M141" s="16" t="n"/>
      <c r="N141" s="17" t="n"/>
      <c r="O141" s="17" t="n"/>
      <c r="P141" s="15" t="n"/>
    </row>
    <row r="142" ht="22" customHeight="1">
      <c r="A142" s="9" t="inlineStr">
        <is>
          <t>Chapter 6 · Quote it — Sophia’s quote, from template to the client’s confirmation.</t>
        </is>
      </c>
      <c r="M142" s="10" t="n"/>
    </row>
    <row r="143">
      <c r="A143" s="11" t="n">
        <v>6</v>
      </c>
      <c r="B143" s="11" t="inlineStr">
        <is>
          <t>6.01</t>
        </is>
      </c>
      <c r="C143" s="12" t="inlineStr">
        <is>
          <t>Start Sophia’s quote</t>
        </is>
      </c>
      <c r="D143" s="12" t="inlineStr">
        <is>
          <t>Quotes</t>
        </is>
      </c>
      <c r="E143" s="13" t="inlineStr">
        <is>
          <t>Start Sophia’s quote from your default template</t>
        </is>
      </c>
      <c r="F143"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3" s="14" t="inlineStr">
        <is>
          <t>The quote editor opens as a Draft, "Version 1", titled Sophia Wong; the Template card in General Info shows your template marked "Default".</t>
        </is>
      </c>
      <c r="H143" s="12" t="inlineStr">
        <is>
          <t>Same as 1.0</t>
        </is>
      </c>
      <c r="I143" s="11" t="inlineStr">
        <is>
          <t>Dane</t>
        </is>
      </c>
      <c r="J143" s="15" t="n"/>
      <c r="K143" s="15" t="n"/>
      <c r="L143" s="15" t="n"/>
      <c r="M143" s="16" t="n"/>
      <c r="N143" s="17" t="n"/>
      <c r="O143" s="17" t="n"/>
      <c r="P143" s="15" t="n"/>
    </row>
    <row r="144">
      <c r="A144" s="11" t="n">
        <v>6</v>
      </c>
      <c r="B144" s="11" t="inlineStr">
        <is>
          <t>6.02</t>
        </is>
      </c>
      <c r="C144" s="12" t="inlineStr">
        <is>
          <t>Start Sophia’s quote</t>
        </is>
      </c>
      <c r="D144" s="12" t="inlineStr">
        <is>
          <t>Quotes</t>
        </is>
      </c>
      <c r="E144" s="13" t="inlineStr">
        <is>
          <t>Check what the quote filled in for you</t>
        </is>
      </c>
      <c r="F144" s="14" t="inlineStr">
        <is>
          <t>1. Look at "General Info"
2. Read "Client", "Property Type", "Prepared by" and "Quote Valid Until"
3. Scroll down to "Items"</t>
        </is>
      </c>
      <c r="G144" s="14" t="inlineStr">
        <is>
          <t>Client Sophia Wong, Property Type HDB 4-Room, Prepared by Dane and a valid-until date are filled; Items shows any starter sections your template has.</t>
        </is>
      </c>
      <c r="H144" s="12" t="inlineStr">
        <is>
          <t>Different from 1.0: settings belong to each quote, not the lead</t>
        </is>
      </c>
      <c r="I144" s="11" t="inlineStr">
        <is>
          <t>Dane</t>
        </is>
      </c>
      <c r="J144" s="15" t="n"/>
      <c r="K144" s="15" t="n"/>
      <c r="L144" s="15" t="n"/>
      <c r="M144" s="16" t="n"/>
      <c r="N144" s="17" t="n"/>
      <c r="O144" s="17" t="n"/>
      <c r="P144" s="15" t="n"/>
    </row>
    <row r="145">
      <c r="A145" s="11" t="n">
        <v>6</v>
      </c>
      <c r="B145" s="11" t="inlineStr">
        <is>
          <t>6.03</t>
        </is>
      </c>
      <c r="C145" s="12" t="inlineStr">
        <is>
          <t>Start Sophia’s quote</t>
        </is>
      </c>
      <c r="D145" s="12" t="inlineStr">
        <is>
          <t>Quotes</t>
        </is>
      </c>
      <c r="E145" s="13" t="inlineStr">
        <is>
          <t>Give the quote a clear name</t>
        </is>
      </c>
      <c r="F145" s="14" t="inlineStr">
        <is>
          <t>1. Click "More options" (⋮, top right of the editor)
2. Choose "Rename Quote"
3. Type "Tampines 4-room renovation" in "Quote title"
4. Click "Rename"</t>
        </is>
      </c>
      <c r="G145" s="14" t="inlineStr">
        <is>
          <t>The header title changes to Tampines 4-room renovation and the header says "Saved just now"; the quote keeps its number. (The ▾ beside the title lists Sophia Wong’s quotes, not versions.)</t>
        </is>
      </c>
      <c r="H145" s="12" t="inlineStr">
        <is>
          <t>Same as 1.0</t>
        </is>
      </c>
      <c r="I145" s="11" t="inlineStr">
        <is>
          <t>Dane</t>
        </is>
      </c>
      <c r="J145" s="15" t="n"/>
      <c r="K145" s="15" t="n"/>
      <c r="L145" s="15" t="n"/>
      <c r="M145" s="16" t="n"/>
      <c r="N145" s="17" t="n"/>
      <c r="O145" s="17" t="n"/>
      <c r="P145" s="15" t="n"/>
    </row>
    <row r="146">
      <c r="A146" s="11" t="n">
        <v>6</v>
      </c>
      <c r="B146" s="11" t="inlineStr">
        <is>
          <t>6.04</t>
        </is>
      </c>
      <c r="C146" s="12" t="inlineStr">
        <is>
          <t>Start Sophia’s quote</t>
        </is>
      </c>
      <c r="D146" s="12" t="inlineStr">
        <is>
          <t>Quotes</t>
        </is>
      </c>
      <c r="E146" s="13" t="inlineStr">
        <is>
          <t>Try to send the quote while it is still empty</t>
        </is>
      </c>
      <c r="F146" s="14" t="inlineStr">
        <is>
          <t>1. Click "Send" (top right)
2. Choose "Send for confirmation"
3. Click "Show me" on the message</t>
        </is>
      </c>
      <c r="G146" s="14" t="inlineStr">
        <is>
          <t>Nothing is sent: the message reads "Before you send: No items to price", and "Show me" takes you to Items.</t>
        </is>
      </c>
      <c r="H146" s="12" t="inlineStr">
        <is>
          <t>Different from 1.0: Send checks the quote before it goes</t>
        </is>
      </c>
      <c r="I146" s="11" t="inlineStr">
        <is>
          <t>Dane</t>
        </is>
      </c>
      <c r="J146" s="15" t="n"/>
      <c r="K146" s="15" t="n"/>
      <c r="L146" s="15" t="n"/>
      <c r="M146" s="16" t="n"/>
      <c r="N146" s="17" t="n"/>
      <c r="O146" s="17" t="n"/>
      <c r="P146" s="15" t="n"/>
    </row>
    <row r="147">
      <c r="A147" s="11" t="n">
        <v>6</v>
      </c>
      <c r="B147" s="11" t="inlineStr">
        <is>
          <t>6.05</t>
        </is>
      </c>
      <c r="C147" s="12" t="inlineStr">
        <is>
          <t>Add the work</t>
        </is>
      </c>
      <c r="D147" s="12" t="inlineStr">
        <is>
          <t>Quotes</t>
        </is>
      </c>
      <c r="E147" s="13" t="inlineStr">
        <is>
          <t>Add your fluted feature wall panel from My Items</t>
        </is>
      </c>
      <c r="F147" s="14" t="inlineStr">
        <is>
          <t>1. Make sure the button above the table reads "View by: None" (if not, click it and pick "None")
2. Click in the "Add Item" box under the table and type "Fluted"
3. Under "My Items", click "Fluted feature wall panel"</t>
        </is>
      </c>
      <c r="G147" s="14" t="inlineStr">
        <is>
          <t>A "Fluted feature wall panel" line appears with the unit and price you saved in chapter 3; the tab reads "Items (1)".</t>
        </is>
      </c>
      <c r="H147" s="12" t="inlineStr">
        <is>
          <t>Same as 1.0</t>
        </is>
      </c>
      <c r="I147" s="11" t="inlineStr">
        <is>
          <t>Dane</t>
        </is>
      </c>
      <c r="J147" s="15" t="n"/>
      <c r="K147" s="15" t="n"/>
      <c r="L147" s="15" t="n"/>
      <c r="M147" s="16" t="n"/>
      <c r="N147" s="17" t="n"/>
      <c r="O147" s="17" t="n"/>
      <c r="P147" s="15" t="n"/>
    </row>
    <row r="148">
      <c r="A148" s="11" t="n">
        <v>6</v>
      </c>
      <c r="B148" s="11" t="inlineStr">
        <is>
          <t>6.06</t>
        </is>
      </c>
      <c r="C148" s="12" t="inlineStr">
        <is>
          <t>Add the work</t>
        </is>
      </c>
      <c r="D148" s="12" t="inlineStr">
        <is>
          <t>Quotes</t>
        </is>
      </c>
      <c r="E148" s="13" t="inlineStr">
        <is>
          <t>Pick an item from the Price book window</t>
        </is>
      </c>
      <c r="F148" s="14" t="inlineStr">
        <is>
          <t>1. Click "Price book" (the link to the right of the "Add Item" box)
2. Under "My Items", tick "Design consultation and 3D drawings"
3. Click "Add 1 item"</t>
        </is>
      </c>
      <c r="G148" s="14" t="inlineStr">
        <is>
          <t>The "Price book" window closes and "Design consultation and 3D drawings" is added at the end of the table; the tab reads "Items (2)".</t>
        </is>
      </c>
      <c r="H148" s="12" t="inlineStr">
        <is>
          <t>Same as 1.0</t>
        </is>
      </c>
      <c r="I148" s="11" t="inlineStr">
        <is>
          <t>Dane</t>
        </is>
      </c>
      <c r="J148" s="15" t="n"/>
      <c r="K148" s="15" t="n"/>
      <c r="L148" s="15" t="n"/>
      <c r="M148" s="16" t="n"/>
      <c r="N148" s="17" t="n"/>
      <c r="O148" s="17" t="n"/>
      <c r="P148" s="15" t="n"/>
    </row>
    <row r="149">
      <c r="A149" s="11" t="n">
        <v>6</v>
      </c>
      <c r="B149" s="11" t="inlineStr">
        <is>
          <t>6.07</t>
        </is>
      </c>
      <c r="C149" s="12" t="inlineStr">
        <is>
          <t>Add the work</t>
        </is>
      </c>
      <c r="D149" s="12" t="inlineStr">
        <is>
          <t>Quotes</t>
        </is>
      </c>
      <c r="E149" s="13" t="inlineStr">
        <is>
          <t>Paste a block of lines copied from Excel</t>
        </is>
      </c>
      <c r="F149"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9" s="14" t="inlineStr">
        <is>
          <t>The window reads "9 rows · 8 columns…" with "First row is a header" ticked; eight lines land with their qty, unit, cost and category.</t>
        </is>
      </c>
      <c r="H149" s="12" t="inlineStr">
        <is>
          <t>Different from 1.0: paste anywhere, choosing what each column becomes</t>
        </is>
      </c>
      <c r="I149" s="11" t="inlineStr">
        <is>
          <t>Dane</t>
        </is>
      </c>
      <c r="J149" s="15" t="n"/>
      <c r="K149" s="15" t="n"/>
      <c r="L149" s="15" t="n"/>
      <c r="M149" s="16" t="n"/>
      <c r="N149" s="17" t="n"/>
      <c r="O149" s="17" t="n"/>
      <c r="P149" s="15" t="n"/>
    </row>
    <row r="150">
      <c r="A150" s="11" t="n">
        <v>6</v>
      </c>
      <c r="B150" s="11" t="inlineStr">
        <is>
          <t>6.08</t>
        </is>
      </c>
      <c r="C150" s="12" t="inlineStr">
        <is>
          <t>Add the work</t>
        </is>
      </c>
      <c r="D150" s="12" t="inlineStr">
        <is>
          <t>Quotes</t>
        </is>
      </c>
      <c r="E150" s="13" t="inlineStr">
        <is>
          <t>Edit quantities with the keyboard, as in Excel</t>
        </is>
      </c>
      <c r="F150" s="14" t="inlineStr">
        <is>
          <t>1. Click the "Qty" of "Waterproofing to bathroom floors", press ⌘A (Ctrl+A), type 3 and press Enter
2. Press Tab once, then click an empty part of the page
3. Press ⌘Z (Ctrl+Z on Windows)</t>
        </is>
      </c>
      <c r="G150" s="14" t="inlineStr">
        <is>
          <t>Enter jumps down to the next line’s Qty and Tab moves one box right; ⌘Z puts Waterproofing back to 2 and its total follows.</t>
        </is>
      </c>
      <c r="H150" s="12" t="inlineStr">
        <is>
          <t>Different from 1.0: one grid with Excel keys everywhere</t>
        </is>
      </c>
      <c r="I150" s="11" t="inlineStr">
        <is>
          <t>Dane</t>
        </is>
      </c>
      <c r="J150" s="15" t="n"/>
      <c r="K150" s="15" t="n"/>
      <c r="L150" s="15" t="n"/>
      <c r="M150" s="16" t="n"/>
      <c r="N150" s="17" t="n"/>
      <c r="O150" s="17" t="n"/>
      <c r="P150" s="15" t="n"/>
    </row>
    <row r="151">
      <c r="A151" s="11" t="n">
        <v>6</v>
      </c>
      <c r="B151" s="11" t="inlineStr">
        <is>
          <t>6.09</t>
        </is>
      </c>
      <c r="C151" s="12" t="inlineStr">
        <is>
          <t>Add the work</t>
        </is>
      </c>
      <c r="D151" s="12" t="inlineStr">
        <is>
          <t>Quotes</t>
        </is>
      </c>
      <c r="E151" s="13" t="inlineStr">
        <is>
          <t>Drag a line to a new place</t>
        </is>
      </c>
      <c r="F151" s="14" t="inlineStr">
        <is>
          <t>1. Hover "Painting, whole unit"
2. Grab its handle at the left of the row ("Drag to reorder")
3. Drag it above "Lighting points" and let go</t>
        </is>
      </c>
      <c r="G151" s="14" t="inlineStr">
        <is>
          <t>Painting now sits above Lighting points and the line numbers follow the new order.</t>
        </is>
      </c>
      <c r="H151" s="12" t="inlineStr">
        <is>
          <t>Same as 1.0</t>
        </is>
      </c>
      <c r="I151" s="11" t="inlineStr">
        <is>
          <t>Dane</t>
        </is>
      </c>
      <c r="J151" s="15" t="n"/>
      <c r="K151" s="15" t="n"/>
      <c r="L151" s="15" t="n"/>
      <c r="M151" s="16" t="n"/>
      <c r="N151" s="17" t="n"/>
      <c r="O151" s="17" t="n"/>
      <c r="P151" s="15" t="n"/>
    </row>
    <row r="152">
      <c r="A152" s="11" t="n">
        <v>6</v>
      </c>
      <c r="B152" s="11" t="inlineStr">
        <is>
          <t>6.10</t>
        </is>
      </c>
      <c r="C152" s="12" t="inlineStr">
        <is>
          <t>Add the work</t>
        </is>
      </c>
      <c r="D152" s="12" t="inlineStr">
        <is>
          <t>Quotes</t>
        </is>
      </c>
      <c r="E152" s="13" t="inlineStr">
        <is>
          <t>Group the kitchen lines into a section</t>
        </is>
      </c>
      <c r="F152" s="14" t="inlineStr">
        <is>
          <t>1. Tick the boxes of "Hacking of kitchen floor and wall tiles", "Homogeneous floor tiles, supply and lay", "Kitchen top and bottom cabinets" and "Quartz countertop"
2. Click "New section" above the table
3. Type "Kitchen" over "New section" and press Enter</t>
        </is>
      </c>
      <c r="G152" s="14" t="inlineStr">
        <is>
          <t>A "Kitchen" section now holds the four lines and shows their total; the other lines stay outside it.</t>
        </is>
      </c>
      <c r="H152" s="12" t="inlineStr">
        <is>
          <t>Different from 1.0: sections belong to this quote, not the lead</t>
        </is>
      </c>
      <c r="I152" s="11" t="inlineStr">
        <is>
          <t>Dane</t>
        </is>
      </c>
      <c r="J152" s="15" t="n"/>
      <c r="K152" s="15" t="n"/>
      <c r="L152" s="15" t="n"/>
      <c r="M152" s="16" t="n"/>
      <c r="N152" s="17" t="n"/>
      <c r="O152" s="17" t="n"/>
      <c r="P152" s="15" t="n"/>
    </row>
    <row r="153">
      <c r="A153" s="11" t="n">
        <v>6</v>
      </c>
      <c r="B153" s="11" t="inlineStr">
        <is>
          <t>6.11</t>
        </is>
      </c>
      <c r="C153" s="12" t="inlineStr">
        <is>
          <t>Add the work</t>
        </is>
      </c>
      <c r="D153" s="12" t="inlineStr">
        <is>
          <t>Quotes</t>
        </is>
      </c>
      <c r="E153" s="13" t="inlineStr">
        <is>
          <t>Add a sub-section inside Kitchen</t>
        </is>
      </c>
      <c r="F153" s="14" t="inlineStr">
        <is>
          <t>1. Inside Kitchen, tick "Kitchen top and bottom cabinets" and "Quartz countertop"
2. In the bar at the bottom of the screen, click "Section"
3. Type "Cabinetry" and press Enter</t>
        </is>
      </c>
      <c r="G153" s="14" t="inlineStr">
        <is>
          <t>A "Cabinetry" sub-section sits inside Kitchen with the two lines, numbered one level down; above the table a line says your template prints lines by trade, so these sections don’t show on the printed quote ("Change template" beside it).</t>
        </is>
      </c>
      <c r="H153" s="12" t="inlineStr">
        <is>
          <t>Same as 1.0</t>
        </is>
      </c>
      <c r="I153" s="11" t="inlineStr">
        <is>
          <t>Dane</t>
        </is>
      </c>
      <c r="J153" s="15" t="n"/>
      <c r="K153" s="15" t="n"/>
      <c r="L153" s="15" t="n"/>
      <c r="M153" s="16" t="n"/>
      <c r="N153" s="17" t="n"/>
      <c r="O153" s="17" t="n"/>
      <c r="P153" s="15" t="n"/>
    </row>
    <row r="154">
      <c r="A154" s="11" t="n">
        <v>6</v>
      </c>
      <c r="B154" s="11" t="inlineStr">
        <is>
          <t>6.12</t>
        </is>
      </c>
      <c r="C154" s="12" t="inlineStr">
        <is>
          <t>Decide how each line prints</t>
        </is>
      </c>
      <c r="D154" s="12" t="inlineStr">
        <is>
          <t>Quotes</t>
        </is>
      </c>
      <c r="E154" s="13" t="inlineStr">
        <is>
          <t>Give the design work free of charge</t>
        </is>
      </c>
      <c r="F154" s="14" t="inlineStr">
        <is>
          <t>1. Hover "Design consultation and 3D drawings" and click its "More options" (⋮)
2. Choose "Print as"
3. Choose "FOC" (note "By client" is in the list too)</t>
        </is>
      </c>
      <c r="G154" s="14" t="inlineStr">
        <is>
          <t>An "FOC" tag appears beside the line, the message says it prints as FOC and is not counted, and the Subtotal drops.</t>
        </is>
      </c>
      <c r="H154" s="12" t="inlineStr">
        <is>
          <t>Same as 1.0</t>
        </is>
      </c>
      <c r="I154" s="11" t="inlineStr">
        <is>
          <t>Dane</t>
        </is>
      </c>
      <c r="J154" s="15" t="n"/>
      <c r="K154" s="15" t="n"/>
      <c r="L154" s="15" t="n"/>
      <c r="M154" s="16" t="n"/>
      <c r="N154" s="17" t="n"/>
      <c r="O154" s="17" t="n"/>
      <c r="P154" s="15" t="n"/>
    </row>
    <row r="155">
      <c r="A155" s="11" t="n">
        <v>6</v>
      </c>
      <c r="B155" s="11" t="inlineStr">
        <is>
          <t>6.13</t>
        </is>
      </c>
      <c r="C155" s="12" t="inlineStr">
        <is>
          <t>Decide how each line prints</t>
        </is>
      </c>
      <c r="D155" s="12" t="inlineStr">
        <is>
          <t>Quotes</t>
        </is>
      </c>
      <c r="E155" s="13" t="inlineStr">
        <is>
          <t>Highlight the countertop line</t>
        </is>
      </c>
      <c r="F155" s="14" t="inlineStr">
        <is>
          <t>1. Open "More options" (⋮) on "Quartz countertop"
2. Choose "Highlight"
3. Choose "Accent text"</t>
        </is>
      </c>
      <c r="G155" s="14" t="inlineStr">
        <is>
          <t>The line’s words turn your brand’s accent colour and the message says "Highlighted — Accent text".</t>
        </is>
      </c>
      <c r="H155" s="12" t="inlineStr">
        <is>
          <t>Same as 1.0</t>
        </is>
      </c>
      <c r="I155" s="11" t="inlineStr">
        <is>
          <t>Dane</t>
        </is>
      </c>
      <c r="J155" s="15" t="n"/>
      <c r="K155" s="15" t="n"/>
      <c r="L155" s="15" t="n"/>
      <c r="M155" s="16" t="n"/>
      <c r="N155" s="17" t="n"/>
      <c r="O155" s="17" t="n"/>
      <c r="P155" s="15" t="n"/>
    </row>
    <row r="156">
      <c r="A156" s="11" t="n">
        <v>6</v>
      </c>
      <c r="B156" s="11" t="inlineStr">
        <is>
          <t>6.14</t>
        </is>
      </c>
      <c r="C156" s="12" t="inlineStr">
        <is>
          <t>Decide how each line prints</t>
        </is>
      </c>
      <c r="D156" s="12" t="inlineStr">
        <is>
          <t>Quotes</t>
        </is>
      </c>
      <c r="E156" s="13" t="inlineStr">
        <is>
          <t>Offer the fluted wall as an optional extra</t>
        </is>
      </c>
      <c r="F156" s="14" t="inlineStr">
        <is>
          <t>1. Open "More options" (⋮) on "Fluted feature wall panel"
2. Choose "Mark as Optional"</t>
        </is>
      </c>
      <c r="G156" s="14" t="inlineStr">
        <is>
          <t>The message says it prints in its own section, out of the totals; the Subtotal no longer includes the panel.</t>
        </is>
      </c>
      <c r="H156" s="12" t="inlineStr">
        <is>
          <t>Different from 1.0: optional lines never count in the totals</t>
        </is>
      </c>
      <c r="I156" s="11" t="inlineStr">
        <is>
          <t>Dane</t>
        </is>
      </c>
      <c r="J156" s="15" t="n"/>
      <c r="K156" s="15" t="n"/>
      <c r="L156" s="15" t="n"/>
      <c r="M156" s="16" t="n"/>
      <c r="N156" s="17" t="n"/>
      <c r="O156" s="17" t="n"/>
      <c r="P156" s="15" t="n"/>
    </row>
    <row r="157">
      <c r="A157" s="11" t="n">
        <v>6</v>
      </c>
      <c r="B157" s="11" t="inlineStr">
        <is>
          <t>6.15</t>
        </is>
      </c>
      <c r="C157" s="12" t="inlineStr">
        <is>
          <t>Decide how each line prints</t>
        </is>
      </c>
      <c r="D157" s="12" t="inlineStr">
        <is>
          <t>Quotes</t>
        </is>
      </c>
      <c r="E157" s="13" t="inlineStr">
        <is>
          <t>See the warning when a line sells below cost</t>
        </is>
      </c>
      <c r="F157" s="14" t="inlineStr">
        <is>
          <t>1. Make sure the "Cost" column shows (turn it on in "Column settings" if not)
2. Click the "Unit Price" of "Lighting points", press ⌘A (Ctrl+A), type 40 and press Enter
3. Hover the red "Below cost" tag
4. Click "Undo" (the curved arrow above the table)</t>
        </is>
      </c>
      <c r="G157" s="14" t="inlineStr">
        <is>
          <t>A red "Below cost" tag appears and the line’s Unit Price and Total turn red; the tag’s tip says how far under cost it sells. Undo puts 65 back and the tag goes.</t>
        </is>
      </c>
      <c r="H157" s="12" t="inlineStr">
        <is>
          <t>Same as 1.0</t>
        </is>
      </c>
      <c r="I157" s="11" t="inlineStr">
        <is>
          <t>Dane</t>
        </is>
      </c>
      <c r="J157" s="15" t="n"/>
      <c r="K157" s="15" t="n"/>
      <c r="L157" s="15" t="n"/>
      <c r="M157" s="16" t="n"/>
      <c r="N157" s="17" t="n"/>
      <c r="O157" s="17" t="n"/>
      <c r="P157" s="15" t="n"/>
    </row>
    <row r="158">
      <c r="A158" s="11" t="n">
        <v>6</v>
      </c>
      <c r="B158" s="11" t="inlineStr">
        <is>
          <t>6.16</t>
        </is>
      </c>
      <c r="C158" s="12" t="inlineStr">
        <is>
          <t>Decide how each line prints</t>
        </is>
      </c>
      <c r="D158" s="12" t="inlineStr">
        <is>
          <t>Quotes</t>
        </is>
      </c>
      <c r="E158" s="13" t="inlineStr">
        <is>
          <t>Show who supplies a line and its product link</t>
        </is>
      </c>
      <c r="F158" s="14" t="inlineStr">
        <is>
          <t>1. Click "Column settings" (the sliders icon above the table), switch on "Vendor/Sub" and "Website Link", click "Done"
2. On "Kitchen top and bottom cabinets", click "Add vendor", type Wood in "Search" and pick "Wood Craft Carpentry"
3. In the same line’s "Add link" box type "woodcraft.sg" and press Enter</t>
        </is>
      </c>
      <c r="G158" s="14" t="inlineStr">
        <is>
          <t>Both columns appear; the cabinets line shows vendor Wood Craft Carpentry (from Company › Finance › Vendors) and the link woodcraft.sg. Neither ever prints for the client.</t>
        </is>
      </c>
      <c r="H158" s="12" t="inlineStr">
        <is>
          <t>Same as 1.0</t>
        </is>
      </c>
      <c r="I158" s="11" t="inlineStr">
        <is>
          <t>Dane</t>
        </is>
      </c>
      <c r="J158" s="15" t="n"/>
      <c r="K158" s="15" t="n"/>
      <c r="L158" s="15" t="n"/>
      <c r="M158" s="16" t="n"/>
      <c r="N158" s="17" t="n"/>
      <c r="O158" s="17" t="n"/>
      <c r="P158" s="15" t="n"/>
    </row>
    <row r="159">
      <c r="A159" s="11" t="n">
        <v>6</v>
      </c>
      <c r="B159" s="11" t="inlineStr">
        <is>
          <t>6.17</t>
        </is>
      </c>
      <c r="C159" s="12" t="inlineStr">
        <is>
          <t>Get the money right</t>
        </is>
      </c>
      <c r="D159" s="12" t="inlineStr">
        <is>
          <t>Quotes</t>
        </is>
      </c>
      <c r="E159" s="13" t="inlineStr">
        <is>
          <t>Add a named discount</t>
        </is>
      </c>
      <c r="F159" s="14" t="inlineStr">
        <is>
          <t>1. In the totals card under the table, click "Add a discount"
2. Type "Opening promotion" in "Discount name"
3. Click the "%" button next to it, choose "S$", then type 500
4. Click anywhere outside the box</t>
        </is>
      </c>
      <c r="G159" s="14" t="inlineStr">
        <is>
          <t>A row "Opening promotion −S$500.00" appears above GST and the Total drops by the discount and its GST.</t>
        </is>
      </c>
      <c r="H159" s="12" t="inlineStr">
        <is>
          <t>Different from 1.0: several named discounts per quote, not one per lead</t>
        </is>
      </c>
      <c r="I159" s="11" t="inlineStr">
        <is>
          <t>Dane</t>
        </is>
      </c>
      <c r="J159" s="15" t="n"/>
      <c r="K159" s="15" t="n"/>
      <c r="L159" s="15" t="n"/>
      <c r="M159" s="16" t="n"/>
      <c r="N159" s="17" t="n"/>
      <c r="O159" s="17" t="n"/>
      <c r="P159" s="15" t="n"/>
    </row>
    <row r="160">
      <c r="A160" s="11" t="n">
        <v>6</v>
      </c>
      <c r="B160" s="11" t="inlineStr">
        <is>
          <t>6.18</t>
        </is>
      </c>
      <c r="C160" s="12" t="inlineStr">
        <is>
          <t>Get the money right</t>
        </is>
      </c>
      <c r="D160" s="12" t="inlineStr">
        <is>
          <t>Quotes</t>
        </is>
      </c>
      <c r="E160" s="13" t="inlineStr">
        <is>
          <t>Check your margin by category, then look at rounding</t>
        </is>
      </c>
      <c r="F160" s="14" t="inlineStr">
        <is>
          <t>1. In "By category" (left of the totals), click "Margin"
2. Read each category’s margin and "Margin · owners only" in the totals
3. Click "Round Prices" next to Total, look at the list, then click "Cancel"</t>
        </is>
      </c>
      <c r="G160" s="14" t="inlineStr">
        <is>
          <t>As owner you see a margin % per category; "Round selling prices" lists the lines it would change and Cancel leaves them as they are.</t>
        </is>
      </c>
      <c r="H160" s="12" t="inlineStr">
        <is>
          <t>Same as 1.0</t>
        </is>
      </c>
      <c r="I160" s="11" t="inlineStr">
        <is>
          <t>Dane</t>
        </is>
      </c>
      <c r="J160" s="15" t="n"/>
      <c r="K160" s="15" t="n"/>
      <c r="L160" s="15" t="n"/>
      <c r="M160" s="16" t="n"/>
      <c r="N160" s="17" t="n"/>
      <c r="O160" s="17" t="n"/>
      <c r="P160" s="15" t="n"/>
    </row>
    <row r="161">
      <c r="A161" s="11" t="n">
        <v>6</v>
      </c>
      <c r="B161" s="11" t="inlineStr">
        <is>
          <t>6.19</t>
        </is>
      </c>
      <c r="C161" s="12" t="inlineStr">
        <is>
          <t>Schedule, terms, files and signature</t>
        </is>
      </c>
      <c r="D161" s="12" t="inlineStr">
        <is>
          <t>Quotes</t>
        </is>
      </c>
      <c r="E161" s="13" t="inlineStr">
        <is>
          <t>Try another payment split, then undo it</t>
        </is>
      </c>
      <c r="F161" s="14" t="inlineStr">
        <is>
          <t>1. Click the "Payment Schedule" tab
2. Click the split button (it shows the current split, e.g. "Default: 10/30/30/30")
3. Choose "20/40/40"
4. Click "Undo" on the message</t>
        </is>
      </c>
      <c r="G161" s="14" t="inlineStr">
        <is>
          <t>The rows change to 20/40/40 with amounts worked out from the quote total; Undo brings the original split back.</t>
        </is>
      </c>
      <c r="H161" s="12" t="inlineStr">
        <is>
          <t>Same as 1.0</t>
        </is>
      </c>
      <c r="I161" s="11" t="inlineStr">
        <is>
          <t>Dane</t>
        </is>
      </c>
      <c r="J161" s="15" t="n"/>
      <c r="K161" s="15" t="n"/>
      <c r="L161" s="15" t="n"/>
      <c r="M161" s="16" t="n"/>
      <c r="N161" s="17" t="n"/>
      <c r="O161" s="17" t="n"/>
      <c r="P161" s="15" t="n"/>
    </row>
    <row r="162">
      <c r="A162" s="11" t="n">
        <v>6</v>
      </c>
      <c r="B162" s="11" t="inlineStr">
        <is>
          <t>6.20</t>
        </is>
      </c>
      <c r="C162" s="12" t="inlineStr">
        <is>
          <t>Schedule, terms, files and signature</t>
        </is>
      </c>
      <c r="D162" s="12" t="inlineStr">
        <is>
          <t>Quotes</t>
        </is>
      </c>
      <c r="E162" s="13" t="inlineStr">
        <is>
          <t>Add your standard Terms and Conditions</t>
        </is>
      </c>
      <c r="F162" s="14" t="inlineStr">
        <is>
          <t>1. Click the "Terms and Conditions" tab
2. Click "My Templates", then open the "HDB" folder
3. Click "Add" beside "Terms and Conditions for HDB Works"</t>
        </is>
      </c>
      <c r="G162" s="14" t="inlineStr">
        <is>
          <t>The terms fill the box, the message says "“Terms and Conditions for HDB Works” added", and "Show in client view" is on.</t>
        </is>
      </c>
      <c r="H162" s="12" t="inlineStr">
        <is>
          <t>Same as 1.0</t>
        </is>
      </c>
      <c r="I162" s="11" t="inlineStr">
        <is>
          <t>Dane</t>
        </is>
      </c>
      <c r="J162" s="15" t="n"/>
      <c r="K162" s="15" t="n"/>
      <c r="L162" s="15" t="n"/>
      <c r="M162" s="16" t="n"/>
      <c r="N162" s="17" t="n"/>
      <c r="O162" s="17" t="n"/>
      <c r="P162" s="15" t="n"/>
    </row>
    <row r="163">
      <c r="A163" s="11" t="n">
        <v>6</v>
      </c>
      <c r="B163" s="11" t="inlineStr">
        <is>
          <t>6.21</t>
        </is>
      </c>
      <c r="C163" s="12" t="inlineStr">
        <is>
          <t>Schedule, terms, files and signature</t>
        </is>
      </c>
      <c r="D163" s="12" t="inlineStr">
        <is>
          <t>Quotes</t>
        </is>
      </c>
      <c r="E163" s="13" t="inlineStr">
        <is>
          <t>Let Maison AI draft the Additional Notes</t>
        </is>
      </c>
      <c r="F163" s="14" t="inlineStr">
        <is>
          <t>1. Click the "Additional Notes" tab
2. Click "Write with AI"
3. In "Write from this quote", read the notes it proposes, then click "Use these words"</t>
        </is>
      </c>
      <c r="G163" s="14" t="inlineStr">
        <is>
          <t>A "Write from this quote" window proposes notes drawn from this quote, with "Not now" and "Use these words"; nothing goes in until that press — then "Additional Notes written", with Undo.</t>
        </is>
      </c>
      <c r="H163" s="12" t="inlineStr">
        <is>
          <t>Different from 1.0: proposes the words first, worked out by rule</t>
        </is>
      </c>
      <c r="I163" s="11" t="inlineStr">
        <is>
          <t>Dane</t>
        </is>
      </c>
      <c r="J163" s="15" t="n"/>
      <c r="K163" s="15" t="n"/>
      <c r="L163" s="15" t="n"/>
      <c r="M163" s="16" t="n"/>
      <c r="N163" s="17" t="n"/>
      <c r="O163" s="17" t="n"/>
      <c r="P163" s="15" t="n"/>
    </row>
    <row r="164">
      <c r="A164" s="11" t="n">
        <v>6</v>
      </c>
      <c r="B164" s="11" t="inlineStr">
        <is>
          <t>6.22</t>
        </is>
      </c>
      <c r="C164" s="12" t="inlineStr">
        <is>
          <t>Schedule, terms, files and signature</t>
        </is>
      </c>
      <c r="D164" s="12" t="inlineStr">
        <is>
          <t>Quotes</t>
        </is>
      </c>
      <c r="E164" s="13" t="inlineStr">
        <is>
          <t>Share a mood-board file with the quote</t>
        </is>
      </c>
      <c r="F164" s="14" t="inlineStr">
        <is>
          <t>1. Click the "Files (0)" tab
2. Drag uat-files/kitchen-moodboard.jpg from your computer onto "Drop your file or browse"
3. Hover "Show in client view" and read its tip</t>
        </is>
      </c>
      <c r="G164" s="14" t="inlineStr">
        <is>
          <t>A tile for the file appears, the tab reads "Files (1)", and the tip says the files show on the client’s confirmation page.</t>
        </is>
      </c>
      <c r="H164" s="12" t="inlineStr">
        <is>
          <t>Same as 1.0</t>
        </is>
      </c>
      <c r="I164" s="11" t="inlineStr">
        <is>
          <t>Dane</t>
        </is>
      </c>
      <c r="J164" s="15" t="n"/>
      <c r="K164" s="15" t="n"/>
      <c r="L164" s="15" t="n"/>
      <c r="M164" s="16" t="n"/>
      <c r="N164" s="17" t="n"/>
      <c r="O164" s="17" t="n"/>
      <c r="P164" s="15" t="n"/>
    </row>
    <row r="165">
      <c r="A165" s="11" t="n">
        <v>6</v>
      </c>
      <c r="B165" s="11" t="inlineStr">
        <is>
          <t>6.23</t>
        </is>
      </c>
      <c r="C165" s="12" t="inlineStr">
        <is>
          <t>Schedule, terms, files and signature</t>
        </is>
      </c>
      <c r="D165" s="12" t="inlineStr">
        <is>
          <t>Quotes</t>
        </is>
      </c>
      <c r="E165" s="13" t="inlineStr">
        <is>
          <t>Sign the quote with a drawn signature</t>
        </is>
      </c>
      <c r="F165" s="14" t="inlineStr">
        <is>
          <t>1. Click the "Signature" tab
2. Click "Edit" beside your name
3. Under "Show signature as" pick "Draw" and draw in the box
4. Click "Save"</t>
        </is>
      </c>
      <c r="G165" s="14" t="inlineStr">
        <is>
          <t>The message says "Signature saved" and your drawing shows in the box, beside the client’s side.</t>
        </is>
      </c>
      <c r="H165" s="12" t="inlineStr">
        <is>
          <t>Same as 1.0</t>
        </is>
      </c>
      <c r="I165" s="11" t="inlineStr">
        <is>
          <t>Dane</t>
        </is>
      </c>
      <c r="J165" s="15" t="n"/>
      <c r="K165" s="15" t="n"/>
      <c r="L165" s="15" t="n"/>
      <c r="M165" s="16" t="n"/>
      <c r="N165" s="17" t="n"/>
      <c r="O165" s="17" t="n"/>
      <c r="P165" s="15" t="n"/>
    </row>
    <row r="166">
      <c r="A166" s="11" t="n">
        <v>6</v>
      </c>
      <c r="B166" s="11" t="inlineStr">
        <is>
          <t>6.24</t>
        </is>
      </c>
      <c r="C166" s="12" t="inlineStr">
        <is>
          <t>See it as Sophia will</t>
        </is>
      </c>
      <c r="D166" s="12" t="inlineStr">
        <is>
          <t>Quotes</t>
        </is>
      </c>
      <c r="E166" s="13" t="inlineStr">
        <is>
          <t>Watch the client’s view while you edit</t>
        </is>
      </c>
      <c r="F166" s="14" t="inlineStr">
        <is>
          <t>1. Click the eye icon ("Client view") in the header
2. Scroll through the pages in the pane
3. Read the note at the foot of the pane</t>
        </is>
      </c>
      <c r="G166" s="14" t="inlineStr">
        <is>
          <t>A "Client view" pane shows the quote as Sophia will get it; the note says "Redraws as you build. Cost and markup never print."</t>
        </is>
      </c>
      <c r="H166" s="12" t="inlineStr">
        <is>
          <t>New in 2.0</t>
        </is>
      </c>
      <c r="I166" s="11" t="inlineStr">
        <is>
          <t>Dane</t>
        </is>
      </c>
      <c r="J166" s="15" t="n"/>
      <c r="K166" s="15" t="n"/>
      <c r="L166" s="15" t="n"/>
      <c r="M166" s="16" t="n"/>
      <c r="N166" s="17" t="n"/>
      <c r="O166" s="17" t="n"/>
      <c r="P166" s="15" t="n"/>
    </row>
    <row r="167">
      <c r="A167" s="11" t="n">
        <v>6</v>
      </c>
      <c r="B167" s="11" t="inlineStr">
        <is>
          <t>6.25</t>
        </is>
      </c>
      <c r="C167" s="12" t="inlineStr">
        <is>
          <t>See it as Sophia will</t>
        </is>
      </c>
      <c r="D167" s="12" t="inlineStr">
        <is>
          <t>Quotes</t>
        </is>
      </c>
      <c r="E167" s="13" t="inlineStr">
        <is>
          <t>Preview the quote and choose what Sophia sees</t>
        </is>
      </c>
      <c r="F167" s="14" t="inlineStr">
        <is>
          <t>1. Click "Preview" in the header
2. Click "What your client sees" and make sure "Optional works" is on
3. Switch on "Internal copy", read the grey card, then switch it off
4. Click the back arrow ("Back to the editor")</t>
        </is>
      </c>
      <c r="G167" s="14" t="inlineStr">
        <is>
          <t>The pages match the client view; "Internal copy" adds a watermark plus "Internal — never printed for the client" with Cost, Selling and Margin.</t>
        </is>
      </c>
      <c r="H167" s="12" t="inlineStr">
        <is>
          <t>Different from 1.0: you choose, per quote, what the client sees</t>
        </is>
      </c>
      <c r="I167" s="11" t="inlineStr">
        <is>
          <t>Dane</t>
        </is>
      </c>
      <c r="J167" s="15" t="n"/>
      <c r="K167" s="15" t="n"/>
      <c r="L167" s="15" t="n"/>
      <c r="M167" s="16" t="n"/>
      <c r="N167" s="17" t="n"/>
      <c r="O167" s="17" t="n"/>
      <c r="P167" s="15" t="n"/>
    </row>
    <row r="168">
      <c r="A168" s="11" t="n">
        <v>6</v>
      </c>
      <c r="B168" s="11" t="inlineStr">
        <is>
          <t>6.26</t>
        </is>
      </c>
      <c r="C168" s="12" t="inlineStr">
        <is>
          <t>Before it goes out</t>
        </is>
      </c>
      <c r="D168" s="12" t="inlineStr">
        <is>
          <t>Quotes</t>
        </is>
      </c>
      <c r="E168" s="13" t="inlineStr">
        <is>
          <t>Save this quote’s setup as a new template</t>
        </is>
      </c>
      <c r="F168" s="14" t="inlineStr">
        <is>
          <t>1. Click "More options" (⋮) › "Save as Template"
2. Keep the name "Tampines 4-room renovation template"
3. Click "Save template"</t>
        </is>
      </c>
      <c r="G168" s="14" t="inlineStr">
        <is>
          <t>The message says "Saved as a draft in Company › Templates › Quotes", with "Open"; it waits there as a draft.</t>
        </is>
      </c>
      <c r="H168" s="12" t="inlineStr">
        <is>
          <t>Different from 1.0: keeps settings and sections, never the lines</t>
        </is>
      </c>
      <c r="I168" s="11" t="inlineStr">
        <is>
          <t>Dane</t>
        </is>
      </c>
      <c r="J168" s="15" t="n"/>
      <c r="K168" s="15" t="n"/>
      <c r="L168" s="15" t="n"/>
      <c r="M168" s="16" t="n"/>
      <c r="N168" s="17" t="n"/>
      <c r="O168" s="17" t="n"/>
      <c r="P168" s="15" t="n"/>
    </row>
    <row r="169">
      <c r="A169" s="11" t="n">
        <v>6</v>
      </c>
      <c r="B169" s="11" t="inlineStr">
        <is>
          <t>6.27</t>
        </is>
      </c>
      <c r="C169" s="12" t="inlineStr">
        <is>
          <t>Before it goes out</t>
        </is>
      </c>
      <c r="D169" s="12" t="inlineStr">
        <is>
          <t>Quotes</t>
        </is>
      </c>
      <c r="E169" s="13" t="inlineStr">
        <is>
          <t>Leave a note on a line for your team</t>
        </is>
      </c>
      <c r="F169" s="14" t="inlineStr">
        <is>
          <t>1. Open "More options" (⋮) on "Full-height wardrobe" › "Comment"
2. Type "Check hinge brand with supplier" in "Chat with your team here"
3. Click "Submit", then close the panel
4. Click the "Comments" icon in the header</t>
        </is>
      </c>
      <c r="G169" s="14" t="inlineStr">
        <is>
          <t>Your comment shows as "You" with "Clients can’t see these comments"; the line shows a comment count; the header’s Comments lists the thread.</t>
        </is>
      </c>
      <c r="H169" s="12" t="inlineStr">
        <is>
          <t>Same as 1.0</t>
        </is>
      </c>
      <c r="I169" s="11" t="inlineStr">
        <is>
          <t>Dane</t>
        </is>
      </c>
      <c r="J169" s="15" t="n"/>
      <c r="K169" s="15" t="n"/>
      <c r="L169" s="15" t="n"/>
      <c r="M169" s="16" t="n"/>
      <c r="N169" s="17" t="n"/>
      <c r="O169" s="17" t="n"/>
      <c r="P169" s="15" t="n"/>
    </row>
    <row r="170">
      <c r="A170" s="11" t="n">
        <v>6</v>
      </c>
      <c r="B170" s="11" t="inlineStr">
        <is>
          <t>6.28</t>
        </is>
      </c>
      <c r="C170" s="12" t="inlineStr">
        <is>
          <t>Send it to Sophia</t>
        </is>
      </c>
      <c r="D170" s="12" t="inlineStr">
        <is>
          <t>Quotes</t>
        </is>
      </c>
      <c r="E170" s="13" t="inlineStr">
        <is>
          <t>Send the quote to Sophia for confirmation</t>
        </is>
      </c>
      <c r="F170" s="14" t="inlineStr">
        <is>
          <t>1. Click "Send" › "Send for confirmation"
2. Check "Client name" and the phone 9765 4321
3. Leave "Follow up in 3 days" as it is
4. Click "Send via WhatsApp" — a WhatsApp tab opens: close it, do not send</t>
        </is>
      </c>
      <c r="G170" s="14" t="inlineStr">
        <is>
          <t>No approval step for you: the status turns "Sent to Client", the message names the follow-up day, and a banner says Sophia has version 1, with "Revise — new version".</t>
        </is>
      </c>
      <c r="H170" s="12" t="inlineStr">
        <is>
          <t>Same as 1.0</t>
        </is>
      </c>
      <c r="I170" s="11" t="inlineStr">
        <is>
          <t>Dane</t>
        </is>
      </c>
      <c r="J170" s="15" t="n"/>
      <c r="K170" s="15" t="n"/>
      <c r="L170" s="15" t="n"/>
      <c r="M170" s="16" t="n"/>
      <c r="N170" s="17" t="n"/>
      <c r="O170" s="17" t="n"/>
      <c r="P170" s="15" t="n"/>
    </row>
    <row r="171">
      <c r="A171" s="11" t="n">
        <v>6</v>
      </c>
      <c r="B171" s="11" t="inlineStr">
        <is>
          <t>6.29</t>
        </is>
      </c>
      <c r="C171" s="12" t="inlineStr">
        <is>
          <t>Send it to Sophia</t>
        </is>
      </c>
      <c r="D171" s="12" t="inlineStr">
        <is>
          <t>Quotes</t>
        </is>
      </c>
      <c r="E171" s="13" t="inlineStr">
        <is>
          <t>Open the confirmation link the way Sophia will</t>
        </is>
      </c>
      <c r="F171" s="14" t="inlineStr">
        <is>
          <t>1. In the editor click "More options" (⋮) › "Copy confirmation link"
2. Open a new browser tab, paste the link and press Enter
3. Look through the page — do not confirm yet
4. Keep this tab open for later</t>
        </is>
      </c>
      <c r="G171" s="14" t="inlineStr">
        <is>
          <t>Your studio and "Private link" on top, the quote, and "Confirm this quote" with the total, the fluted panel under "Optional works" and your file.</t>
        </is>
      </c>
      <c r="H171" s="12" t="inlineStr">
        <is>
          <t>Different from 1.0: the client confirms on a link, no code</t>
        </is>
      </c>
      <c r="I171" s="18" t="inlineStr">
        <is>
          <t>Sophia (client)</t>
        </is>
      </c>
      <c r="J171" s="15" t="n"/>
      <c r="K171" s="15" t="n"/>
      <c r="L171" s="15" t="n"/>
      <c r="M171" s="16" t="n"/>
      <c r="N171" s="17" t="n"/>
      <c r="O171" s="17" t="n"/>
      <c r="P171" s="15" t="n"/>
    </row>
    <row r="172">
      <c r="A172" s="11" t="n">
        <v>6</v>
      </c>
      <c r="B172" s="11" t="inlineStr">
        <is>
          <t>6.30</t>
        </is>
      </c>
      <c r="C172" s="12" t="inlineStr">
        <is>
          <t>Send it to Sophia</t>
        </is>
      </c>
      <c r="D172" s="12" t="inlineStr">
        <is>
          <t>Quotes</t>
        </is>
      </c>
      <c r="E172" s="13" t="inlineStr">
        <is>
          <t>Move the due date the send set, and its follow-up task</t>
        </is>
      </c>
      <c r="F172" s="14" t="inlineStr">
        <is>
          <t>1. Back in the editor, click "Close" (✕) to return to Sophia’s "Quotes" tab
2. In the "Due" column click the date the send set (three days from today)
3. Pick the day after it
4. Click "View" on the message</t>
        </is>
      </c>
      <c r="G172" s="14" t="inlineStr">
        <is>
          <t>Due already reads three days out — the send set it. After the pick: "Due date set — follow-up task added"; Tasks lists one "Follow up on quote …" on the new day, for Dane.</t>
        </is>
      </c>
      <c r="H172" s="12" t="inlineStr">
        <is>
          <t>New in 2.0</t>
        </is>
      </c>
      <c r="I172" s="11" t="inlineStr">
        <is>
          <t>Dane</t>
        </is>
      </c>
      <c r="J172" s="15" t="n"/>
      <c r="K172" s="15" t="n"/>
      <c r="L172" s="15" t="n"/>
      <c r="M172" s="16" t="n"/>
      <c r="N172" s="17" t="n"/>
      <c r="O172" s="17" t="n"/>
      <c r="P172" s="15" t="n"/>
    </row>
    <row r="173">
      <c r="A173" s="11" t="n">
        <v>6</v>
      </c>
      <c r="B173" s="11" t="inlineStr">
        <is>
          <t>6.31</t>
        </is>
      </c>
      <c r="C173" s="12" t="inlineStr">
        <is>
          <t>Send it to Sophia</t>
        </is>
      </c>
      <c r="D173" s="12" t="inlineStr">
        <is>
          <t>Quotes</t>
        </is>
      </c>
      <c r="E173" s="13" t="inlineStr">
        <is>
          <t>See how a quote past its valid-until date is flagged</t>
        </is>
      </c>
      <c r="F173"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3" s="14" t="inlineStr">
        <is>
          <t>The blue "Sent to the client" banner now adds "Its validity ended on …"; in the Quotes tab the grey line under the title reads "Expired …" and Valid until is red — nothing is blocked; the new date clears both. (The flag shows only while the quote is Sent to Client.)</t>
        </is>
      </c>
      <c r="H173" s="12" t="inlineStr">
        <is>
          <t>Different from 1.0: a passed validity date is now flagged</t>
        </is>
      </c>
      <c r="I173" s="11" t="inlineStr">
        <is>
          <t>Dane</t>
        </is>
      </c>
      <c r="J173" s="15" t="n"/>
      <c r="K173" s="15" t="n"/>
      <c r="L173" s="15" t="n"/>
      <c r="M173" s="16" t="n"/>
      <c r="N173" s="17" t="n"/>
      <c r="O173" s="17" t="n"/>
      <c r="P173" s="15" t="n"/>
    </row>
    <row r="174">
      <c r="A174" s="11" t="n">
        <v>6</v>
      </c>
      <c r="B174" s="11" t="inlineStr">
        <is>
          <t>6.32</t>
        </is>
      </c>
      <c r="C174" s="12" t="inlineStr">
        <is>
          <t>Sophia asks for two more lights</t>
        </is>
      </c>
      <c r="D174" s="12" t="inlineStr">
        <is>
          <t>Quotes</t>
        </is>
      </c>
      <c r="E174" s="13" t="inlineStr">
        <is>
          <t>Start version 2 of the quote</t>
        </is>
      </c>
      <c r="F174" s="14" t="inlineStr">
        <is>
          <t>1. In the banner, click "Revise — new version"
2. Click "Start version 2"
3. Reload Sophia’s link in the other tab</t>
        </is>
      </c>
      <c r="G174" s="14" t="inlineStr">
        <is>
          <t>The chips read "Version 2" and "Draft" ("version 1 is kept in Version History"); Sophia’s link now says "Not ready yet" — "… is updating this quote. It’ll be back here once it’s ready."</t>
        </is>
      </c>
      <c r="H174" s="12" t="inlineStr">
        <is>
          <t>Different from 1.0: versions belong to the quote, made by Revise</t>
        </is>
      </c>
      <c r="I174" s="11" t="inlineStr">
        <is>
          <t>Dane</t>
        </is>
      </c>
      <c r="J174" s="15" t="n"/>
      <c r="K174" s="15" t="n"/>
      <c r="L174" s="15" t="n"/>
      <c r="M174" s="16" t="n"/>
      <c r="N174" s="17" t="n"/>
      <c r="O174" s="17" t="n"/>
      <c r="P174" s="15" t="n"/>
    </row>
    <row r="175">
      <c r="A175" s="11" t="n">
        <v>6</v>
      </c>
      <c r="B175" s="11" t="inlineStr">
        <is>
          <t>6.33</t>
        </is>
      </c>
      <c r="C175" s="12" t="inlineStr">
        <is>
          <t>Sophia asks for two more lights</t>
        </is>
      </c>
      <c r="D175" s="12" t="inlineStr">
        <is>
          <t>Quotes</t>
        </is>
      </c>
      <c r="E175" s="13" t="inlineStr">
        <is>
          <t>Add two lighting points, then look back at version 1</t>
        </is>
      </c>
      <c r="F175" s="14" t="inlineStr">
        <is>
          <t>1. Click the "Qty" of "Lighting points", press ⌘A (Ctrl+A), type 18 and press Enter
2. Click "More options" (⋮) › "Version History"
3. Click "Open" on "Version 1"
4. Click the back arrow to return to the editor</t>
        </is>
      </c>
      <c r="G175" s="14" t="inlineStr">
        <is>
          <t>The drawer lists "Version 2 current" and "Version 1" kept by Dane; Open shows it as "Version 1 of 2 — read-only".</t>
        </is>
      </c>
      <c r="H175" s="12" t="inlineStr">
        <is>
          <t>Same as 1.0</t>
        </is>
      </c>
      <c r="I175" s="11" t="inlineStr">
        <is>
          <t>Dane</t>
        </is>
      </c>
      <c r="J175" s="15" t="n"/>
      <c r="K175" s="15" t="n"/>
      <c r="L175" s="15" t="n"/>
      <c r="M175" s="16" t="n"/>
      <c r="N175" s="17" t="n"/>
      <c r="O175" s="17" t="n"/>
      <c r="P175" s="15" t="n"/>
    </row>
    <row r="176">
      <c r="A176" s="11" t="n">
        <v>6</v>
      </c>
      <c r="B176" s="11" t="inlineStr">
        <is>
          <t>6.34</t>
        </is>
      </c>
      <c r="C176" s="12" t="inlineStr">
        <is>
          <t>Sophia asks for two more lights</t>
        </is>
      </c>
      <c r="D176" s="12" t="inlineStr">
        <is>
          <t>Quotes</t>
        </is>
      </c>
      <c r="E176" s="13" t="inlineStr">
        <is>
          <t>Bring version 1 back, then make the change again</t>
        </is>
      </c>
      <c r="F176" s="14" t="inlineStr">
        <is>
          <t>1. Open "Version History" and click "Bring back" on "Version 1"
2. Click "Bring back version 1"
3. Check "Lighting points" shows 16 again
4. Set its "Qty" to 18 again (⌘A, type 18, Enter)</t>
        </is>
      </c>
      <c r="G176" s="14" t="inlineStr">
        <is>
          <t>The page reloads with "Version 1 is back — the draft holds its lines again"; the quote is still Version 2, Draft.</t>
        </is>
      </c>
      <c r="H176" s="12" t="inlineStr">
        <is>
          <t>Different from 1.0: bringing a version back now works</t>
        </is>
      </c>
      <c r="I176" s="11" t="inlineStr">
        <is>
          <t>Dane</t>
        </is>
      </c>
      <c r="J176" s="15" t="n"/>
      <c r="K176" s="15" t="n"/>
      <c r="L176" s="15" t="n"/>
      <c r="M176" s="16" t="n"/>
      <c r="N176" s="17" t="n"/>
      <c r="O176" s="17" t="n"/>
      <c r="P176" s="15" t="n"/>
    </row>
    <row r="177">
      <c r="A177" s="11" t="n">
        <v>6</v>
      </c>
      <c r="B177" s="11" t="inlineStr">
        <is>
          <t>6.35</t>
        </is>
      </c>
      <c r="C177" s="12" t="inlineStr">
        <is>
          <t>Sophia asks for two more lights</t>
        </is>
      </c>
      <c r="D177" s="12" t="inlineStr">
        <is>
          <t>Quotes</t>
        </is>
      </c>
      <c r="E177" s="13" t="inlineStr">
        <is>
          <t>Show Sophia what changed since version 1</t>
        </is>
      </c>
      <c r="F177" s="14" t="inlineStr">
        <is>
          <t>1. Click "Preview"
2. Click "What your client sees"
3. Make sure "Show changes from version 1" is on</t>
        </is>
      </c>
      <c r="G177" s="14" t="inlineStr">
        <is>
          <t>The switch reads "0 added · 0 removed · 1 changed" and the Lighting points line is marked as changed on the page.</t>
        </is>
      </c>
      <c r="H177" s="12" t="inlineStr">
        <is>
          <t>Different from 1.0: the revision prints its own changes</t>
        </is>
      </c>
      <c r="I177" s="11" t="inlineStr">
        <is>
          <t>Dane</t>
        </is>
      </c>
      <c r="J177" s="15" t="n"/>
      <c r="K177" s="15" t="n"/>
      <c r="L177" s="15" t="n"/>
      <c r="M177" s="16" t="n"/>
      <c r="N177" s="17" t="n"/>
      <c r="O177" s="17" t="n"/>
      <c r="P177" s="15" t="n"/>
    </row>
    <row r="178">
      <c r="A178" s="11" t="n">
        <v>6</v>
      </c>
      <c r="B178" s="11" t="inlineStr">
        <is>
          <t>6.36</t>
        </is>
      </c>
      <c r="C178" s="12" t="inlineStr">
        <is>
          <t>Sophia confirms</t>
        </is>
      </c>
      <c r="D178" s="12" t="inlineStr">
        <is>
          <t>Quotes</t>
        </is>
      </c>
      <c r="E178" s="13" t="inlineStr">
        <is>
          <t>Send version 2 to Sophia</t>
        </is>
      </c>
      <c r="F178" s="14" t="inlineStr">
        <is>
          <t>1. Back in the editor, click "Send" › "Send for confirmation"
2. Click "Send via WhatsApp" — close the WhatsApp tab, do not send</t>
        </is>
      </c>
      <c r="G178" s="14" t="inlineStr">
        <is>
          <t>The status is "Sent to Client" again, now for version 2.</t>
        </is>
      </c>
      <c r="H178" s="12" t="inlineStr">
        <is>
          <t>Same as 1.0</t>
        </is>
      </c>
      <c r="I178" s="11" t="inlineStr">
        <is>
          <t>Dane</t>
        </is>
      </c>
      <c r="J178" s="15" t="n"/>
      <c r="K178" s="15" t="n"/>
      <c r="L178" s="15" t="n"/>
      <c r="M178" s="16" t="n"/>
      <c r="N178" s="17" t="n"/>
      <c r="O178" s="17" t="n"/>
      <c r="P178" s="15" t="n"/>
    </row>
    <row r="179">
      <c r="A179" s="11" t="n">
        <v>6</v>
      </c>
      <c r="B179" s="11" t="inlineStr">
        <is>
          <t>6.37</t>
        </is>
      </c>
      <c r="C179" s="12" t="inlineStr">
        <is>
          <t>Sophia confirms</t>
        </is>
      </c>
      <c r="D179" s="12" t="inlineStr">
        <is>
          <t>Quotes</t>
        </is>
      </c>
      <c r="E179" s="13" t="inlineStr">
        <is>
          <t>Confirm the quote as Sophia, adding the fluted wall</t>
        </is>
      </c>
      <c r="F179" s="14" t="inlineStr">
        <is>
          <t>1. Reload Sophia’s link in the other tab
2. Under "Optional works", tick "Fluted feature wall panel"
3. Keep "Sophia Wong" in "Your full name"
4. Click "Confirm quote"</t>
        </is>
      </c>
      <c r="G179" s="14" t="inlineStr">
        <is>
          <t>A "With your picks" total appears; after confirming, the card reads "Confirmed" by Sophia Wong and notes she asked for the fluted panel too.</t>
        </is>
      </c>
      <c r="H179" s="12" t="inlineStr">
        <is>
          <t>Different from 1.0: the client’s optional picks are kept</t>
        </is>
      </c>
      <c r="I179" s="18" t="inlineStr">
        <is>
          <t>Sophia (client)</t>
        </is>
      </c>
      <c r="J179" s="15" t="n"/>
      <c r="K179" s="15" t="n"/>
      <c r="L179" s="15" t="n"/>
      <c r="M179" s="16" t="n"/>
      <c r="N179" s="17" t="n"/>
      <c r="O179" s="17" t="n"/>
      <c r="P179" s="15" t="n"/>
    </row>
    <row r="180">
      <c r="A180" s="11" t="n">
        <v>6</v>
      </c>
      <c r="B180" s="11" t="inlineStr">
        <is>
          <t>6.38</t>
        </is>
      </c>
      <c r="C180" s="12" t="inlineStr">
        <is>
          <t>Sophia confirms</t>
        </is>
      </c>
      <c r="D180" s="12" t="inlineStr">
        <is>
          <t>Quotes</t>
        </is>
      </c>
      <c r="E180" s="13" t="inlineStr">
        <is>
          <t>See Sophia’s confirmation in the studio</t>
        </is>
      </c>
      <c r="F180" s="14" t="inlineStr">
        <is>
          <t>1. Go back to the editor tab and reload it
2. Read the status, the banner and the fluted panel’s line
3. Open the "Activity" tab</t>
        </is>
      </c>
      <c r="G180" s="14" t="inlineStr">
        <is>
          <t>Status "Confirmed"; the panel shows "Client wants it"; Activity lists "Quote approved by Dane" and Sophia’s confirmation; Send now reads "Send for signature".</t>
        </is>
      </c>
      <c r="H180" s="12" t="inlineStr">
        <is>
          <t>Different from 1.0: Confirmed comes before the signature</t>
        </is>
      </c>
      <c r="I180" s="11" t="inlineStr">
        <is>
          <t>Dane</t>
        </is>
      </c>
      <c r="J180" s="15" t="n"/>
      <c r="K180" s="15" t="n"/>
      <c r="L180" s="15" t="n"/>
      <c r="M180" s="16" t="n"/>
      <c r="N180" s="17" t="n"/>
      <c r="O180" s="17" t="n"/>
      <c r="P180" s="15" t="n"/>
    </row>
    <row r="181">
      <c r="A181" s="11" t="n">
        <v>6</v>
      </c>
      <c r="B181" s="11" t="inlineStr">
        <is>
          <t>6.39</t>
        </is>
      </c>
      <c r="C181" s="12" t="inlineStr">
        <is>
          <t>Move the lead along</t>
        </is>
      </c>
      <c r="D181" s="12" t="inlineStr">
        <is>
          <t>Lead details</t>
        </is>
      </c>
      <c r="E181" s="13" t="inlineStr">
        <is>
          <t>Move Sophia to Quote Sent yourself</t>
        </is>
      </c>
      <c r="F181" s="14" t="inlineStr">
        <is>
          <t>1. Open Sophia Wong’s "Overview"
2. Click "Stage: Met" › "Quote Sent"
3. Under "Attach approved quote" › "From System", pick "Tampines 4-room renovation"
4. Click "Save"</t>
        </is>
      </c>
      <c r="G181" s="14" t="inlineStr">
        <is>
          <t>The quote’s row shows its number, amount and "Approved on …"; after Save you see "Moved to Quote Sent".</t>
        </is>
      </c>
      <c r="H181" s="12" t="inlineStr">
        <is>
          <t>Same as 1.0</t>
        </is>
      </c>
      <c r="I181" s="11" t="inlineStr">
        <is>
          <t>Dane</t>
        </is>
      </c>
      <c r="J181" s="15" t="n"/>
      <c r="K181" s="15" t="n"/>
      <c r="L181" s="15" t="n"/>
      <c r="M181" s="16" t="n"/>
      <c r="N181" s="17" t="n"/>
      <c r="O181" s="17" t="n"/>
      <c r="P181" s="15" t="n"/>
    </row>
    <row r="182">
      <c r="A182" s="11" t="n">
        <v>6</v>
      </c>
      <c r="B182" s="11" t="inlineStr">
        <is>
          <t>6.40</t>
        </is>
      </c>
      <c r="C182" s="12" t="inlineStr">
        <is>
          <t>Move the lead along</t>
        </is>
      </c>
      <c r="D182" s="12" t="inlineStr">
        <is>
          <t>Quotes</t>
        </is>
      </c>
      <c r="E182" s="13" t="inlineStr">
        <is>
          <t>Find the quote among all the studio’s quotes</t>
        </is>
      </c>
      <c r="F182" s="14" t="inlineStr">
        <is>
          <t>1. Click "Tools" in the side navigation › "Quotes"
2. Type "Tampines" in the search box
3. Read the row</t>
        </is>
      </c>
      <c r="G182" s="14" t="inlineStr">
        <is>
          <t>The row shows Tampines 4-room renovation with its number · Shared, Client "Sophia Wong", status "Confirmed" and your due date.</t>
        </is>
      </c>
      <c r="H182" s="12" t="inlineStr">
        <is>
          <t>Same as 1.0</t>
        </is>
      </c>
      <c r="I182" s="11" t="inlineStr">
        <is>
          <t>Dane</t>
        </is>
      </c>
      <c r="J182" s="15" t="n"/>
      <c r="K182" s="15" t="n"/>
      <c r="L182" s="15" t="n"/>
      <c r="M182" s="16" t="n"/>
      <c r="N182" s="17" t="n"/>
      <c r="O182" s="17" t="n"/>
      <c r="P182" s="15" t="n"/>
    </row>
    <row r="183">
      <c r="A183" s="11" t="n">
        <v>6</v>
      </c>
      <c r="B183" s="11" t="inlineStr">
        <is>
          <t>6.41</t>
        </is>
      </c>
      <c r="C183" s="12" t="inlineStr">
        <is>
          <t>An old quote from 1.0</t>
        </is>
      </c>
      <c r="D183" s="12" t="inlineStr">
        <is>
          <t>Quotes</t>
        </is>
      </c>
      <c r="E183" s="13" t="inlineStr">
        <is>
          <t>Upload Gerald Tan’s old spreadsheet quote</t>
        </is>
      </c>
      <c r="F183" s="14" t="inlineStr">
        <is>
          <t>1. On Tools › Quotes click "Create Quote"; the "Client" list opens — type Tan and pick "Gerald Tan"
2. Click "Upload a quote" and choose uat-files/sophia-floor-plan.pdf
3. Click "Choose another file" and choose uat-files/gerald-tan-old-quote.xlsx
4. Click "Create the quote"</t>
        </is>
      </c>
      <c r="G183" s="14" t="inlineStr">
        <is>
          <t>The tile reads "XLSX · CSV · PDF · 5 AI credits"; the floor plan is read by its own words and refused ("We couldn’t read sophia-floor-plan.pdf. Your 5 AI credits are back." — "The file has no lines we could use."); the sheet shows "6 lines read … · S$14,880.00"; the new quote opens with a section per trade.</t>
        </is>
      </c>
      <c r="H183" s="12" t="inlineStr">
        <is>
          <t>Different from 1.0: sheets and PDFs read by rule, no AI scan</t>
        </is>
      </c>
      <c r="I183" s="11" t="inlineStr">
        <is>
          <t>Dane</t>
        </is>
      </c>
      <c r="J183" s="15" t="n"/>
      <c r="K183" s="15" t="n"/>
      <c r="L183" s="15" t="n"/>
      <c r="M183" s="16" t="n"/>
      <c r="N183" s="17" t="n"/>
      <c r="O183" s="17" t="n"/>
      <c r="P183" s="15" t="n"/>
    </row>
    <row r="184">
      <c r="A184" s="11" t="n">
        <v>6</v>
      </c>
      <c r="B184" s="11" t="inlineStr">
        <is>
          <t>6.42</t>
        </is>
      </c>
      <c r="C184" s="12" t="inlineStr">
        <is>
          <t>An old quote from 1.0</t>
        </is>
      </c>
      <c r="D184" s="12" t="inlineStr">
        <is>
          <t>Quotes</t>
        </is>
      </c>
      <c r="E184" s="13" t="inlineStr">
        <is>
          <t>Delete the uploaded quote, then restore it</t>
        </is>
      </c>
      <c r="F184" s="14" t="inlineStr">
        <is>
          <t>1. In Gerald’s quote click "More options" (⋮) › "Delete", then "Delete" in "Delete Quote"
2. On Tools › Quotes click "More options" (⋮, top right) › "Deleted Quotes"
3. Click "Restore" on Gerald Tan’s quote</t>
        </is>
      </c>
      <c r="G184" s="14" t="inlineStr">
        <is>
          <t>Delete says "Quote deleted — find it under Deleted Quotes"; Restore says "Quote restored" and it is back in the list.</t>
        </is>
      </c>
      <c r="H184" s="12" t="inlineStr">
        <is>
          <t>Different from 1.0: deleted quotes wait in Deleted Quotes</t>
        </is>
      </c>
      <c r="I184" s="11" t="inlineStr">
        <is>
          <t>Dane</t>
        </is>
      </c>
      <c r="J184" s="15" t="n"/>
      <c r="K184" s="15" t="n"/>
      <c r="L184" s="15" t="n"/>
      <c r="M184" s="16" t="n"/>
      <c r="N184" s="17" t="n"/>
      <c r="O184" s="17" t="n"/>
      <c r="P184" s="15" t="n"/>
    </row>
    <row r="185">
      <c r="A185" s="11" t="n">
        <v>6</v>
      </c>
      <c r="B185" s="11" t="inlineStr">
        <is>
          <t>6.43</t>
        </is>
      </c>
      <c r="C185" s="12" t="inlineStr">
        <is>
          <t>An old quote from 1.0</t>
        </is>
      </c>
      <c r="D185" s="12" t="inlineStr">
        <is>
          <t>Quotes</t>
        </is>
      </c>
      <c r="E185" s="13" t="inlineStr">
        <is>
          <t>Delete Gerald’s uploaded quote for good</t>
        </is>
      </c>
      <c r="F185" s="14" t="inlineStr">
        <is>
          <t>1. On Gerald Tan’s row click "More actions" (⋮) › "Delete", then "Delete" in "Delete Quote"
2. Open "Deleted Quotes" again
3. Click "Delete Forever", then "Delete Forever" in "Delete forever?"</t>
        </is>
      </c>
      <c r="G185" s="14" t="inlineStr">
        <is>
          <t>The confirm warns it cannot be undone; then "Quote deleted forever" and the row leaves Deleted Quotes.</t>
        </is>
      </c>
      <c r="H185" s="12" t="inlineStr">
        <is>
          <t>Different from 1.0: deleted quotes wait in Deleted Quotes</t>
        </is>
      </c>
      <c r="I185" s="11" t="inlineStr">
        <is>
          <t>Dane</t>
        </is>
      </c>
      <c r="J185" s="15" t="n"/>
      <c r="K185" s="15" t="n"/>
      <c r="L185" s="15" t="n"/>
      <c r="M185" s="16" t="n"/>
      <c r="N185" s="17" t="n"/>
      <c r="O185" s="17" t="n"/>
      <c r="P185" s="15" t="n"/>
    </row>
    <row r="186">
      <c r="A186" s="11" t="n">
        <v>6</v>
      </c>
      <c r="B186" s="11" t="inlineStr">
        <is>
          <t>6.44</t>
        </is>
      </c>
      <c r="C186" s="12" t="inlineStr">
        <is>
          <t>Let Sophia look any time</t>
        </is>
      </c>
      <c r="D186" s="12" t="inlineStr">
        <is>
          <t>Quotes</t>
        </is>
      </c>
      <c r="E186" s="13" t="inlineStr">
        <is>
          <t>Give Sophia a link that only shows her quote</t>
        </is>
      </c>
      <c r="F186" s="14" t="inlineStr">
        <is>
          <t>1. On Tools › "Quotes" open Sophia’s "Tampines 4-room renovation"
2. "More options" (⋮) › "Share a view-only link"; read the window
3. Press "Copy link" (not WhatsApp), paste it into a new tab and read the page</t>
        </is>
      </c>
      <c r="G186" s="14" t="inlineStr">
        <is>
          <t>"Share a view-only link": "Your client sees the quote in their browser as you work on it. There’s nothing for them to confirm or sign there." and "Anyone with this link can see the quote until you stop it." beside "Stop the link". "View-only link copied". The tab shows her quote with the chip "View only", "Hi Sophia, this quote was confirmed by Sophia Wong on … It stays here for you to look at.", "Last changed …" and "Download a copy" — nothing to confirm or sign.</t>
        </is>
      </c>
      <c r="H186" s="12" t="inlineStr">
        <is>
          <t>Same as 1.0</t>
        </is>
      </c>
      <c r="I186" s="11" t="inlineStr">
        <is>
          <t>Dane</t>
        </is>
      </c>
      <c r="J186" s="15" t="n"/>
      <c r="K186" s="15" t="n"/>
      <c r="L186" s="15" t="n"/>
      <c r="M186" s="16" t="n"/>
      <c r="N186" s="17" t="n"/>
      <c r="O186" s="17" t="n"/>
      <c r="P186" s="15" t="n"/>
    </row>
    <row r="187">
      <c r="A187" s="11" t="n">
        <v>6</v>
      </c>
      <c r="B187" s="11" t="inlineStr">
        <is>
          <t>6.45</t>
        </is>
      </c>
      <c r="C187" s="12" t="inlineStr">
        <is>
          <t>Let Sophia look any time</t>
        </is>
      </c>
      <c r="D187" s="12" t="inlineStr">
        <is>
          <t>Quotes</t>
        </is>
      </c>
      <c r="E187" s="13" t="inlineStr">
        <is>
          <t>Stop the view-only link, then put it back</t>
        </is>
      </c>
      <c r="F187" s="14" t="inlineStr">
        <is>
          <t>1. Back in the editor: ⋮ › "Share a view-only link" › "Stop the link"
2. Look at the other tab (reload it if it hasn’t changed)
3. Press "Undo" in the message, then reload the other tab</t>
        </is>
      </c>
      <c r="G187" s="14" t="inlineStr">
        <is>
          <t>"The view-only link to OM-… is stopped — it no longer opens" with Undo. The other tab turns to "This link is no longer active" — "Please ask Demo Studio Pte Ltd for an updated link." Undo answers "The view-only link opens again" and the same link shows the quote again.</t>
        </is>
      </c>
      <c r="H187" s="12" t="inlineStr">
        <is>
          <t>Different from 1.0: a stopped link can be put back</t>
        </is>
      </c>
      <c r="I187" s="11" t="inlineStr">
        <is>
          <t>Dane</t>
        </is>
      </c>
      <c r="J187" s="15" t="n"/>
      <c r="K187" s="15" t="n"/>
      <c r="L187" s="15" t="n"/>
      <c r="M187" s="16" t="n"/>
      <c r="N187" s="17" t="n"/>
      <c r="O187" s="17" t="n"/>
      <c r="P187" s="15" t="n"/>
    </row>
    <row r="188">
      <c r="A188" s="11" t="n">
        <v>6</v>
      </c>
      <c r="B188" s="11" t="inlineStr">
        <is>
          <t>6.46</t>
        </is>
      </c>
      <c r="C188" s="12" t="inlineStr">
        <is>
          <t>Plain words in the terms</t>
        </is>
      </c>
      <c r="D188" s="12" t="inlineStr">
        <is>
          <t>Quotes</t>
        </is>
      </c>
      <c r="E188" s="13" t="inlineStr">
        <is>
          <t>See what Write with AI offers on Sophia’s terms</t>
        </is>
      </c>
      <c r="F188" s="14" t="inlineStr">
        <is>
          <t>1. In the editor open the "Terms and Conditions" tab
2. Press "Write with AI" beside the words and read every row
3. Press Esc</t>
        </is>
      </c>
      <c r="G188" s="14" t="inlineStr">
        <is>
          <t>The menu "Write with AI" lists "Improve the writing", "Shorten", "Add what’s missing", "Rewrite from this quote" and "Plain English"; each row says what it would do here, or why it can’t. Plain English is greyed with "Already in plain words" — the HDB terms you added hold no formal words. Nothing changes until you pick a row.</t>
        </is>
      </c>
      <c r="H188" s="12" t="inlineStr">
        <is>
          <t>Different from 1.0: each row says what it would do first</t>
        </is>
      </c>
      <c r="I188" s="11" t="inlineStr">
        <is>
          <t>Dane</t>
        </is>
      </c>
      <c r="J188" s="15" t="n"/>
      <c r="K188" s="15" t="n"/>
      <c r="L188" s="15" t="n"/>
      <c r="M188" s="16" t="n"/>
      <c r="N188" s="17" t="n"/>
      <c r="O188" s="17" t="n"/>
      <c r="P188" s="15" t="n"/>
    </row>
    <row r="189">
      <c r="A189" s="11" t="n">
        <v>6</v>
      </c>
      <c r="B189" s="11" t="inlineStr">
        <is>
          <t>6.47</t>
        </is>
      </c>
      <c r="C189" s="12" t="inlineStr">
        <is>
          <t>Plain words in the terms</t>
        </is>
      </c>
      <c r="D189" s="12" t="inlineStr">
        <is>
          <t>Quotes</t>
        </is>
      </c>
      <c r="E189" s="13" t="inlineStr">
        <is>
          <t>Put a formal line into plain English, then undo it</t>
        </is>
      </c>
      <c r="F189" s="14" t="inlineStr">
        <is>
          <t>1. Click at the end of the terms, press Enter and type: Works shall commence within 14 days of the deposit.
2. "Write with AI" › "Plain English"; press "Changes", "Before" and "After"
3. Press "Use these words", then "Undo" in the message
4. Delete the line you typed</t>
        </is>
      </c>
      <c r="G189" s="14" t="inlineStr">
        <is>
          <t>The row now reads "2 changes to everyday words". The "Plain English" window marks the two changes — "2 changes to everyday words — shall → will · commence → start" — and says "Worked out from your records — nothing changes until you press Use these words." Then "Terms and Conditions in plain English" with Undo; Undo puts your line back as you typed it.</t>
        </is>
      </c>
      <c r="H189" s="12" t="inlineStr">
        <is>
          <t>Different from 1.0: the change is shown before it goes in</t>
        </is>
      </c>
      <c r="I189" s="11" t="inlineStr">
        <is>
          <t>Dane</t>
        </is>
      </c>
      <c r="J189" s="15" t="n"/>
      <c r="K189" s="15" t="n"/>
      <c r="L189" s="15" t="n"/>
      <c r="M189" s="16" t="n"/>
      <c r="N189" s="17" t="n"/>
      <c r="O189" s="17" t="n"/>
      <c r="P189" s="15" t="n"/>
    </row>
    <row r="190">
      <c r="A190" s="11" t="n">
        <v>6</v>
      </c>
      <c r="B190" s="11" t="inlineStr">
        <is>
          <t>6.48</t>
        </is>
      </c>
      <c r="C190" s="12" t="inlineStr">
        <is>
          <t>Big quotes, tidy sections</t>
        </is>
      </c>
      <c r="D190" s="12" t="inlineStr">
        <is>
          <t>Quotes</t>
        </is>
      </c>
      <c r="E190" s="13" t="inlineStr">
        <is>
          <t>Fold every section at once, and add at a section’s end</t>
        </is>
      </c>
      <c r="F190" s="14" t="inlineStr">
        <is>
          <t>1. On Tools › "Quotes" open Olivia Martinez’s OM-10001; in Items press "Collapse All", then "Expand All"
2. Read the row at the end of "Bedrooms"
3. Press "Add sub-section" on that row; press Esc and read the new row
4. On the new row open ⋮ ("More options for New sub-section") › "Remove"</t>
        </is>
      </c>
      <c r="G190" s="14" t="inlineStr">
        <is>
          <t>Collapse All folds Bathrooms and Bedrooms to their head rows and the button turns into "Expand All", which opens them again. The end of Bedrooms reads "Add item · Add sub-section · Price book · Paste lines". A "New sub-section" appears inside Bedrooms, its own end reading "Nothing in New sub-section yet —"; Remove takes it away.</t>
        </is>
      </c>
      <c r="H190" s="12" t="inlineStr">
        <is>
          <t>New in 2.0</t>
        </is>
      </c>
      <c r="I190" s="11" t="inlineStr">
        <is>
          <t>Dane</t>
        </is>
      </c>
      <c r="J190" s="15" t="n"/>
      <c r="K190" s="15" t="n"/>
      <c r="L190" s="15" t="n"/>
      <c r="M190" s="16" t="n"/>
      <c r="N190" s="17" t="n"/>
      <c r="O190" s="17" t="n"/>
      <c r="P190" s="15" t="n"/>
    </row>
    <row r="191">
      <c r="A191" s="11" t="n">
        <v>6</v>
      </c>
      <c r="B191" s="11" t="inlineStr">
        <is>
          <t>6.49</t>
        </is>
      </c>
      <c r="C191" s="12" t="inlineStr">
        <is>
          <t>Big quotes, tidy sections</t>
        </is>
      </c>
      <c r="D191" s="12" t="inlineStr">
        <is>
          <t>Settings</t>
        </is>
      </c>
      <c r="E191" s="13" t="inlineStr">
        <is>
          <t>Add your own unit and find it on a quote line</t>
        </is>
      </c>
      <c r="F191" s="14" t="inlineStr">
        <is>
          <t>1. "Settings" › "Quotes &amp; pricing" › "Units": type sqm in "Add a unit", press "Add"
2. Type SQFT in the same box, read the line under it, then clear the box
3. On OM-10001 click the Unit of "Vinyl flooring, supply and install", type sq, then press Esc
4. Back in Units press ✕ on sqm ("Remove sqm")</t>
        </is>
      </c>
      <c r="G191" s="14" t="inlineStr">
        <is>
          <t>Units lists Pieces, Lot, sqft, ft run, point, hour, set. "sqm added to the units". SQFT reads "Already in the list as “sqft”" and Add rests. The Unit menu ("Search or type a unit") narrows to sqft and sqm. "sqm removed — lines already using it keep it" with Undo.</t>
        </is>
      </c>
      <c r="H191" s="12" t="inlineStr">
        <is>
          <t>New in 2.0</t>
        </is>
      </c>
      <c r="I191" s="11" t="inlineStr">
        <is>
          <t>Dane</t>
        </is>
      </c>
      <c r="J191" s="15" t="n"/>
      <c r="K191" s="15" t="n"/>
      <c r="L191" s="15" t="n"/>
      <c r="M191" s="16" t="n"/>
      <c r="N191" s="17" t="n"/>
      <c r="O191" s="17" t="n"/>
      <c r="P191" s="15" t="n"/>
    </row>
    <row r="192" ht="22" customHeight="1">
      <c r="A192" s="9" t="inlineStr">
        <is>
          <t>Chapter 7 · A rival quote — Quote X-Ray against another studio’s quote.</t>
        </is>
      </c>
      <c r="M192" s="10" t="n"/>
    </row>
    <row r="193">
      <c r="A193" s="11" t="n">
        <v>7</v>
      </c>
      <c r="B193" s="11" t="inlineStr">
        <is>
          <t>7.01</t>
        </is>
      </c>
      <c r="C193" s="12" t="inlineStr">
        <is>
          <t>Sophia shows you another studio’s quote</t>
        </is>
      </c>
      <c r="D193" s="12" t="inlineStr">
        <is>
          <t>Quote X-Ray</t>
        </is>
      </c>
      <c r="E193" s="13" t="inlineStr">
        <is>
          <t>Open Quote X-Ray on Sophia’s quote</t>
        </is>
      </c>
      <c r="F193" s="14" t="inlineStr">
        <is>
          <t>1. Open Sophia Wong › "Quotes" tab
2. Hover the quote’s row and click "More actions" (⋮)
3. Choose "Compare with another quote"</t>
        </is>
      </c>
      <c r="G193" s="14" t="inlineStr">
        <is>
          <t>Quote X-Ray opens for Sophia Wong: the lead is fixed and "… · Tampines 4-room renovation" is already chosen, "Confirmed · 9 lines".</t>
        </is>
      </c>
      <c r="H193" s="12" t="inlineStr">
        <is>
          <t>New in 2.0</t>
        </is>
      </c>
      <c r="I193" s="11" t="inlineStr">
        <is>
          <t>Dane</t>
        </is>
      </c>
      <c r="J193" s="15" t="n"/>
      <c r="K193" s="15" t="n"/>
      <c r="L193" s="15" t="n"/>
      <c r="M193" s="16" t="n"/>
      <c r="N193" s="17" t="n"/>
      <c r="O193" s="17" t="n"/>
      <c r="P193" s="15" t="n"/>
    </row>
    <row r="194">
      <c r="A194" s="11" t="n">
        <v>7</v>
      </c>
      <c r="B194" s="11" t="inlineStr">
        <is>
          <t>7.02</t>
        </is>
      </c>
      <c r="C194" s="12" t="inlineStr">
        <is>
          <t>Sophia shows you another studio’s quote</t>
        </is>
      </c>
      <c r="D194" s="12" t="inlineStr">
        <is>
          <t>Quote X-Ray</t>
        </is>
      </c>
      <c r="E194" s="13" t="inlineStr">
        <is>
          <t>Add the rival studio’s quote</t>
        </is>
      </c>
      <c r="F194" s="14" t="inlineStr">
        <is>
          <t>1. Drop uat-files/rival-quote-urban-nest.xlsx on "The other studio’s quote" (or click it to browse)
2. Type "Urban Nest Interiors" in "Their studio’s name (optional)"</t>
        </is>
      </c>
      <c r="G194" s="14" t="inlineStr">
        <is>
          <t>Under the file it says "10 lines read · S$13,470.00" at once; the hint clears and "Compare" can be clicked.</t>
        </is>
      </c>
      <c r="H194" s="12" t="inlineStr">
        <is>
          <t>Different from 1.0: spreadsheets are read as you pick them</t>
        </is>
      </c>
      <c r="I194" s="11" t="inlineStr">
        <is>
          <t>Dane</t>
        </is>
      </c>
      <c r="J194" s="15" t="n"/>
      <c r="K194" s="15" t="n"/>
      <c r="L194" s="15" t="n"/>
      <c r="M194" s="16" t="n"/>
      <c r="N194" s="17" t="n"/>
      <c r="O194" s="17" t="n"/>
      <c r="P194" s="15" t="n"/>
    </row>
    <row r="195">
      <c r="A195" s="11" t="n">
        <v>7</v>
      </c>
      <c r="B195" s="11" t="inlineStr">
        <is>
          <t>7.03</t>
        </is>
      </c>
      <c r="C195" s="12" t="inlineStr">
        <is>
          <t>Sophia shows you another studio’s quote</t>
        </is>
      </c>
      <c r="D195" s="12" t="inlineStr">
        <is>
          <t>Quote X-Ray</t>
        </is>
      </c>
      <c r="E195" s="13" t="inlineStr">
        <is>
          <t>Run the comparison</t>
        </is>
      </c>
      <c r="F195" s="14" t="inlineStr">
        <is>
          <t>1. Click "Compare"
2. Watch the progress card until the result opens</t>
        </is>
      </c>
      <c r="G195" s="14" t="inlineStr">
        <is>
          <t>"Comparing the two quotes…" ticks through four steps, then "Sophia Wong · vs Urban Nest Interiors" opens with the date and items compared.</t>
        </is>
      </c>
      <c r="H195" s="12" t="inlineStr">
        <is>
          <t>Same as 1.0</t>
        </is>
      </c>
      <c r="I195" s="11" t="inlineStr">
        <is>
          <t>Dane</t>
        </is>
      </c>
      <c r="J195" s="15" t="n"/>
      <c r="K195" s="15" t="n"/>
      <c r="L195" s="15" t="n"/>
      <c r="M195" s="16" t="n"/>
      <c r="N195" s="17" t="n"/>
      <c r="O195" s="17" t="n"/>
      <c r="P195" s="15" t="n"/>
    </row>
    <row r="196">
      <c r="A196" s="11" t="n">
        <v>7</v>
      </c>
      <c r="B196" s="11" t="inlineStr">
        <is>
          <t>7.04</t>
        </is>
      </c>
      <c r="C196" s="12" t="inlineStr">
        <is>
          <t>Read the result</t>
        </is>
      </c>
      <c r="D196" s="12" t="inlineStr">
        <is>
          <t>Quote X-Ray</t>
        </is>
      </c>
      <c r="E196" s="13" t="inlineStr">
        <is>
          <t>Read the real price difference</t>
        </is>
      </c>
      <c r="F196" s="14" t="inlineStr">
        <is>
          <t>1. Read the sentence under the caption
2. Read the three figures
3. Read the note under them
4. Hover the quote’s name in the caption — it links to your quote</t>
        </is>
      </c>
      <c r="G196" s="14" t="inlineStr">
        <is>
          <t>About S$ 17.7K yours, S$ 13.5K theirs, "Real difference" S$ 3.8K "ours more, like-for-like"; the note says both sides are before discounts and GST.</t>
        </is>
      </c>
      <c r="H196" s="12" t="inlineStr">
        <is>
          <t>Different from 1.0: both sides compared on line totals, before GST</t>
        </is>
      </c>
      <c r="I196" s="11" t="inlineStr">
        <is>
          <t>Dane</t>
        </is>
      </c>
      <c r="J196" s="15" t="n"/>
      <c r="K196" s="15" t="n"/>
      <c r="L196" s="15" t="n"/>
      <c r="M196" s="16" t="n"/>
      <c r="N196" s="17" t="n"/>
      <c r="O196" s="17" t="n"/>
      <c r="P196" s="15" t="n"/>
    </row>
    <row r="197">
      <c r="A197" s="11" t="n">
        <v>7</v>
      </c>
      <c r="B197" s="11" t="inlineStr">
        <is>
          <t>7.05</t>
        </is>
      </c>
      <c r="C197" s="12" t="inlineStr">
        <is>
          <t>Read the result</t>
        </is>
      </c>
      <c r="D197" s="12" t="inlineStr">
        <is>
          <t>Quote X-Ray</t>
        </is>
      </c>
      <c r="E197" s="13" t="inlineStr">
        <is>
          <t>Check the item-by-item table</t>
        </is>
      </c>
      <c r="F197" s="14" t="inlineStr">
        <is>
          <t>1. Scroll to "Item by item"
2. Find "Lighting points", "Hacking of kitchen floor and wall tiles" and "Haulage and disposal of debris"</t>
        </is>
      </c>
      <c r="G197" s="14" t="inlineStr">
        <is>
          <t>Lighting shows both quantities (18 vs 16 points); hacking is "Matched" despite different words; haulage reads "No price given".</t>
        </is>
      </c>
      <c r="H197" s="12" t="inlineStr">
        <is>
          <t>Different from 1.0: rates are compared and both quantities shown</t>
        </is>
      </c>
      <c r="I197" s="11" t="inlineStr">
        <is>
          <t>Dane</t>
        </is>
      </c>
      <c r="J197" s="15" t="n"/>
      <c r="K197" s="15" t="n"/>
      <c r="L197" s="15" t="n"/>
      <c r="M197" s="16" t="n"/>
      <c r="N197" s="17" t="n"/>
      <c r="O197" s="17" t="n"/>
      <c r="P197" s="15" t="n"/>
    </row>
    <row r="198">
      <c r="A198" s="11" t="n">
        <v>7</v>
      </c>
      <c r="B198" s="11" t="inlineStr">
        <is>
          <t>7.06</t>
        </is>
      </c>
      <c r="C198" s="12" t="inlineStr">
        <is>
          <t>Put the matching right</t>
        </is>
      </c>
      <c r="D198" s="12" t="inlineStr">
        <is>
          <t>Quote X-Ray</t>
        </is>
      </c>
      <c r="E198" s="13" t="inlineStr">
        <is>
          <t>Tell X-Ray two lines are not the same item</t>
        </is>
      </c>
      <c r="F198" s="14" t="inlineStr">
        <is>
          <t>1. Hover the "Kitchen top and bottom cabinets" row (its Status reads Matched) and click "More actions" (⋮)
2. Choose "Not the same item"</t>
        </is>
      </c>
      <c r="G198" s="14" t="inlineStr">
        <is>
          <t>"Marked as not the same item" (with Undo); the row splits into "Only in yours" and "Only in theirs" and the figures change.</t>
        </is>
      </c>
      <c r="H198" s="12" t="inlineStr">
        <is>
          <t>Different from 1.0: you can correct a match on the result</t>
        </is>
      </c>
      <c r="I198" s="11" t="inlineStr">
        <is>
          <t>Dane</t>
        </is>
      </c>
      <c r="J198" s="15" t="n"/>
      <c r="K198" s="15" t="n"/>
      <c r="L198" s="15" t="n"/>
      <c r="M198" s="16" t="n"/>
      <c r="N198" s="17" t="n"/>
      <c r="O198" s="17" t="n"/>
      <c r="P198" s="15" t="n"/>
    </row>
    <row r="199">
      <c r="A199" s="11" t="n">
        <v>7</v>
      </c>
      <c r="B199" s="11" t="inlineStr">
        <is>
          <t>7.07</t>
        </is>
      </c>
      <c r="C199" s="12" t="inlineStr">
        <is>
          <t>Put the matching right</t>
        </is>
      </c>
      <c r="D199" s="12" t="inlineStr">
        <is>
          <t>Quote X-Ray</t>
        </is>
      </c>
      <c r="E199" s="13" t="inlineStr">
        <is>
          <t>Pair the two cabinet lines again by hand</t>
        </is>
      </c>
      <c r="F199" s="14" t="inlineStr">
        <is>
          <t>1. On the "Kitchen top and bottom cabinets" row open "More actions" (⋮) › "Same item as…"
2. Pick "Kitchen top and bottom cabinets with Blum soft-closing hinges" in the list
3. Click "Pair"</t>
        </is>
      </c>
      <c r="G199" s="14" t="inlineStr">
        <is>
          <t>The row is matched again with the status "Paired by you"; the foot of the page reads "Corrected by Dane on …".</t>
        </is>
      </c>
      <c r="H199" s="12" t="inlineStr">
        <is>
          <t>Different from 1.0: you can correct a match on the result</t>
        </is>
      </c>
      <c r="I199" s="11" t="inlineStr">
        <is>
          <t>Dane</t>
        </is>
      </c>
      <c r="J199" s="15" t="n"/>
      <c r="K199" s="15" t="n"/>
      <c r="L199" s="15" t="n"/>
      <c r="M199" s="16" t="n"/>
      <c r="N199" s="17" t="n"/>
      <c r="O199" s="17" t="n"/>
      <c r="P199" s="15" t="n"/>
    </row>
    <row r="200">
      <c r="A200" s="11" t="n">
        <v>7</v>
      </c>
      <c r="B200" s="11" t="inlineStr">
        <is>
          <t>7.08</t>
        </is>
      </c>
      <c r="C200" s="12" t="inlineStr">
        <is>
          <t>Tell Sophia</t>
        </is>
      </c>
      <c r="D200" s="12" t="inlineStr">
        <is>
          <t>Quote X-Ray</t>
        </is>
      </c>
      <c r="E200" s="13" t="inlineStr">
        <is>
          <t>See what to tell Sophia</t>
        </is>
      </c>
      <c r="F200" s="14" t="inlineStr">
        <is>
          <t>1. Read the three points under "Say this"
2. On the wardrobe point, click "Say it as a question"
3. Read "Key points you can use"</t>
        </is>
      </c>
      <c r="G200" s="14" t="inlineStr">
        <is>
          <t>Points: wardrobe priced well below ours, a laminate worktop question, missing waterproofing. Key points: Nippon Paint "Your advantage", KDK "Impact: high", Dulux checked.</t>
        </is>
      </c>
      <c r="H200" s="12" t="inlineStr">
        <is>
          <t>Different from 1.0: brand notes are curated, not searched online</t>
        </is>
      </c>
      <c r="I200" s="11" t="inlineStr">
        <is>
          <t>Dane</t>
        </is>
      </c>
      <c r="J200" s="15" t="n"/>
      <c r="K200" s="15" t="n"/>
      <c r="L200" s="15" t="n"/>
      <c r="M200" s="16" t="n"/>
      <c r="N200" s="17" t="n"/>
      <c r="O200" s="17" t="n"/>
      <c r="P200" s="15" t="n"/>
    </row>
    <row r="201">
      <c r="A201" s="11" t="n">
        <v>7</v>
      </c>
      <c r="B201" s="11" t="inlineStr">
        <is>
          <t>7.09</t>
        </is>
      </c>
      <c r="C201" s="12" t="inlineStr">
        <is>
          <t>Tell Sophia</t>
        </is>
      </c>
      <c r="D201" s="12" t="inlineStr">
        <is>
          <t>Quote X-Ray</t>
        </is>
      </c>
      <c r="E201" s="13" t="inlineStr">
        <is>
          <t>Send Sophia the summary on WhatsApp (without really sending)</t>
        </is>
      </c>
      <c r="F201" s="14" t="inlineStr">
        <is>
          <t>1. Click "Send to client"
2. Check the message never names Urban Nest Interiors, and change a word
3. Click "Send via WhatsApp" — a WhatsApp tab opens: close it, do not send
4. Click "Send to client" again</t>
        </is>
      </c>
      <c r="G201" s="14" t="inlineStr">
        <is>
          <t>The wardrobe point goes as your question; the header shows "Sent …"; the dialog reopens on your edited text, with "Reset message".</t>
        </is>
      </c>
      <c r="H201" s="12" t="inlineStr">
        <is>
          <t>Different from 1.0: what you sent is kept and shown</t>
        </is>
      </c>
      <c r="I201" s="11" t="inlineStr">
        <is>
          <t>Dane</t>
        </is>
      </c>
      <c r="J201" s="15" t="n"/>
      <c r="K201" s="15" t="n"/>
      <c r="L201" s="15" t="n"/>
      <c r="M201" s="16" t="n"/>
      <c r="N201" s="17" t="n"/>
      <c r="O201" s="17" t="n"/>
      <c r="P201" s="15" t="n"/>
    </row>
    <row r="202">
      <c r="A202" s="11" t="n">
        <v>7</v>
      </c>
      <c r="B202" s="11" t="inlineStr">
        <is>
          <t>7.10</t>
        </is>
      </c>
      <c r="C202" s="12" t="inlineStr">
        <is>
          <t>Compare two files without a lead</t>
        </is>
      </c>
      <c r="D202" s="12" t="inlineStr">
        <is>
          <t>Quote X-Ray</t>
        </is>
      </c>
      <c r="E202" s="13" t="inlineStr">
        <is>
          <t>Compare two files with no lead attached</t>
        </is>
      </c>
      <c r="F202"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202" s="14" t="inlineStr">
        <is>
          <t>The photo is refused ("kitchen-moodboard.jpg is a photo or a scan — it has no words to read here…"); the PDF is known by its words: "20 lines read from Cove Interior’s quote"; the result opens.</t>
        </is>
      </c>
      <c r="H202" s="12" t="inlineStr">
        <is>
          <t>Different from 1.0: a PDF is read by its words; photos aren’t</t>
        </is>
      </c>
      <c r="I202" s="11" t="inlineStr">
        <is>
          <t>Dane</t>
        </is>
      </c>
      <c r="J202" s="15" t="n"/>
      <c r="K202" s="15" t="n"/>
      <c r="L202" s="15" t="n"/>
      <c r="M202" s="16" t="n"/>
      <c r="N202" s="17" t="n"/>
      <c r="O202" s="17" t="n"/>
      <c r="P202" s="15" t="n"/>
    </row>
    <row r="203">
      <c r="A203" s="11" t="n">
        <v>7</v>
      </c>
      <c r="B203" s="11" t="inlineStr">
        <is>
          <t>7.11</t>
        </is>
      </c>
      <c r="C203" s="12" t="inlineStr">
        <is>
          <t>Compare two files without a lead</t>
        </is>
      </c>
      <c r="D203" s="12" t="inlineStr">
        <is>
          <t>Quote X-Ray</t>
        </is>
      </c>
      <c r="E203" s="13" t="inlineStr">
        <is>
          <t>Delete that practice comparison</t>
        </is>
      </c>
      <c r="F203" s="14" t="inlineStr">
        <is>
          <t>1. On its result click "More options" (⋮) › "Delete"
2. Click "Delete" in "Delete this comparison?"</t>
        </is>
      </c>
      <c r="G203" s="14" t="inlineStr">
        <is>
          <t>It warns this can’t be undone; you land back on Quote X-Ray and it is gone from "Recent comparisons".</t>
        </is>
      </c>
      <c r="H203" s="12" t="inlineStr">
        <is>
          <t>Different from 1.0: only its maker, an Owner or an Admin deletes</t>
        </is>
      </c>
      <c r="I203" s="11" t="inlineStr">
        <is>
          <t>Dane</t>
        </is>
      </c>
      <c r="J203" s="15" t="n"/>
      <c r="K203" s="15" t="n"/>
      <c r="L203" s="15" t="n"/>
      <c r="M203" s="16" t="n"/>
      <c r="N203" s="17" t="n"/>
      <c r="O203" s="17" t="n"/>
      <c r="P203" s="15" t="n"/>
    </row>
    <row r="204">
      <c r="A204" s="11" t="n">
        <v>7</v>
      </c>
      <c r="B204" s="11" t="inlineStr">
        <is>
          <t>7.12</t>
        </is>
      </c>
      <c r="C204" s="12" t="inlineStr">
        <is>
          <t>Other leads’ readings</t>
        </is>
      </c>
      <c r="D204" s="12" t="inlineStr">
        <is>
          <t>Quote X-Ray</t>
        </is>
      </c>
      <c r="E204" s="13" t="inlineStr">
        <is>
          <t>Rerun a reading whose quote has changed since</t>
        </is>
      </c>
      <c r="F204" s="14" t="inlineStr">
        <is>
          <t>1. On Quote X-Ray, find Sophia’s reading under "Recent comparisons" (it says "Sent …")
2. Open "Olivia Martinez · vs Flo Design"
3. Click "Run again" in the banner</t>
        </is>
      </c>
      <c r="G204" s="14" t="inlineStr">
        <is>
          <t>A banner says the quote has changed since this comparison; "Run again" opens a fresh reading: "Run again — the earlier comparison is kept".</t>
        </is>
      </c>
      <c r="H204" s="12" t="inlineStr">
        <is>
          <t>Different from 1.0: it tells you when your quote changed</t>
        </is>
      </c>
      <c r="I204" s="11" t="inlineStr">
        <is>
          <t>Dane</t>
        </is>
      </c>
      <c r="J204" s="15" t="n"/>
      <c r="K204" s="15" t="n"/>
      <c r="L204" s="15" t="n"/>
      <c r="M204" s="16" t="n"/>
      <c r="N204" s="17" t="n"/>
      <c r="O204" s="17" t="n"/>
      <c r="P204" s="15" t="n"/>
    </row>
    <row r="205">
      <c r="A205" s="11" t="n">
        <v>7</v>
      </c>
      <c r="B205" s="11" t="inlineStr">
        <is>
          <t>7.13</t>
        </is>
      </c>
      <c r="C205" s="12" t="inlineStr">
        <is>
          <t>Other leads’ readings</t>
        </is>
      </c>
      <c r="D205" s="12" t="inlineStr">
        <is>
          <t>Lead details</t>
        </is>
      </c>
      <c r="E205" s="13" t="inlineStr">
        <is>
          <t>Mark a lost lead with the competitor from X-Ray</t>
        </is>
      </c>
      <c r="F205" s="14" t="inlineStr">
        <is>
          <t>1. Open Vivien Lee from the Leads list
2. Click "Stage: Quote Sent" › "Lost"
3. In "Reason" pick "Went with another firm", then read "Competitor (optional)"
4. Click "Save &amp; Move"</t>
        </is>
      </c>
      <c r="G205" s="14" t="inlineStr">
        <is>
          <t>Competitor already reads "Flo Design", noted "From the Quote X-Ray of …"; after saving, "Moved to Lost" and Vivien Lee shows Lost.</t>
        </is>
      </c>
      <c r="H205" s="12" t="inlineStr">
        <is>
          <t>Different from 1.0: the competitor comes from the lead’s X-Ray</t>
        </is>
      </c>
      <c r="I205" s="11" t="inlineStr">
        <is>
          <t>Dane</t>
        </is>
      </c>
      <c r="J205" s="15" t="n"/>
      <c r="K205" s="15" t="n"/>
      <c r="L205" s="15" t="n"/>
      <c r="M205" s="16" t="n"/>
      <c r="N205" s="17" t="n"/>
      <c r="O205" s="17" t="n"/>
      <c r="P205" s="15" t="n"/>
    </row>
    <row r="206">
      <c r="A206" s="11" t="n">
        <v>7</v>
      </c>
      <c r="B206" s="11" t="inlineStr">
        <is>
          <t>7.14</t>
        </is>
      </c>
      <c r="C206" s="12" t="inlineStr">
        <is>
          <t>Compare two files without a lead</t>
        </is>
      </c>
      <c r="D206" s="12" t="inlineStr">
        <is>
          <t>Quote X-Ray</t>
        </is>
      </c>
      <c r="E206" s="13" t="inlineStr">
        <is>
          <t>Read any studio's PDF quote by its words</t>
        </is>
      </c>
      <c r="F206" s="14" t="inlineStr">
        <is>
          <t>1. Click "Tools" › "Quote X-Ray", then "Upload two quotes"
2. Drop uat-files/sophia-items-to-paste.xlsx on "Your quote" and uat-files/urban-nest-competitor-quote.pdf on "The other studio’s quote"
3. Read the file's tile, then click "Compare"
4. In the result, read "Say this" and the "Item by item" table</t>
        </is>
      </c>
      <c r="G206" s="14" t="inlineStr">
        <is>
          <t>The PDF is read by its words — the tile reads "23 lines read from Urban Nest Design &amp; Renovation’s quote · S$40,210.00 — the same as its own total"; its lines are lump sums, so nothing is flagged "Their numbers don’t add up" (that only comes when a line’s amount isn’t its rate × quantity). A scanned or photographed quote is refused with the reason.</t>
        </is>
      </c>
      <c r="H206" s="12" t="inlineStr">
        <is>
          <t>Different from 1.0: any text PDF is read by rule (1.0 sent it to a model); a scan is refused (S21)</t>
        </is>
      </c>
      <c r="I206" s="11" t="inlineStr">
        <is>
          <t>Dane</t>
        </is>
      </c>
      <c r="J206" s="15" t="n"/>
      <c r="K206" s="15" t="n"/>
      <c r="L206" s="15" t="n"/>
      <c r="M206" s="16" t="n"/>
      <c r="N206" s="17" t="n"/>
      <c r="O206" s="17" t="n"/>
      <c r="P206" s="15" t="n"/>
    </row>
    <row r="207" ht="22" customHeight="1">
      <c r="A207" s="9" t="inlineStr">
        <is>
          <t>Chapter 8 · Sign the deal — Sophia’s contract, sent and signed.</t>
        </is>
      </c>
      <c r="M207" s="10" t="n"/>
    </row>
    <row r="208">
      <c r="A208" s="11" t="n">
        <v>8</v>
      </c>
      <c r="B208" s="11" t="inlineStr">
        <is>
          <t>8.01</t>
        </is>
      </c>
      <c r="C208" s="12" t="inlineStr">
        <is>
          <t>Raise Sophia’s contract</t>
        </is>
      </c>
      <c r="D208" s="12" t="inlineStr">
        <is>
          <t>Contracts</t>
        </is>
      </c>
      <c r="E208" s="13" t="inlineStr">
        <is>
          <t>Start Sophia’s contract from her confirmed quote</t>
        </is>
      </c>
      <c r="F208" s="14" t="inlineStr">
        <is>
          <t>1. Open Sophia Wong › "Quotes" and open her quote
2. Click "Send for signature" (or the ⋮ "More options" menu › "Create contract from this quote")</t>
        </is>
      </c>
      <c r="G208" s="14" t="inlineStr">
        <is>
          <t>"Choose a contract template" opens with "Interior Design Service Agreement" marked "Default" and already picked, beside the "Agreements" and "Variations" folders</t>
        </is>
      </c>
      <c r="H208" s="12" t="inlineStr">
        <is>
          <t>Different from 1.0: started only from the lead drawer</t>
        </is>
      </c>
      <c r="I208" s="11" t="inlineStr">
        <is>
          <t>Dane</t>
        </is>
      </c>
      <c r="J208" s="15" t="n"/>
      <c r="K208" s="15" t="n"/>
      <c r="L208" s="15" t="n"/>
      <c r="M208" s="16" t="n"/>
      <c r="N208" s="17" t="n"/>
      <c r="O208" s="17" t="n"/>
      <c r="P208" s="15" t="n"/>
    </row>
    <row r="209">
      <c r="A209" s="11" t="n">
        <v>8</v>
      </c>
      <c r="B209" s="11" t="inlineStr">
        <is>
          <t>8.02</t>
        </is>
      </c>
      <c r="C209" s="12" t="inlineStr">
        <is>
          <t>Raise Sophia’s contract</t>
        </is>
      </c>
      <c r="D209" s="12" t="inlineStr">
        <is>
          <t>Contracts</t>
        </is>
      </c>
      <c r="E209" s="13" t="inlineStr">
        <is>
          <t>Use the studio’s service agreement template</t>
        </is>
      </c>
      <c r="F209" s="14" t="inlineStr">
        <is>
          <t>1. Keep "Interior Design Service Agreement" (marked "Default") picked
2. Click "Use template"</t>
        </is>
      </c>
      <c r="G209" s="14" t="inlineStr">
        <is>
          <t>"Use template" reads "Creating…" for a moment, then the contract opens as a Draft with a "From template" chip; the top row shows Sophia Wong · 9765 4321 and her quote’s number and total</t>
        </is>
      </c>
      <c r="H209" s="12" t="inlineStr">
        <is>
          <t>Different from 1.0: 1.0 kept no contract record</t>
        </is>
      </c>
      <c r="I209" s="11" t="inlineStr">
        <is>
          <t>Dane</t>
        </is>
      </c>
      <c r="J209" s="15" t="n"/>
      <c r="K209" s="15" t="n"/>
      <c r="L209" s="15" t="n"/>
      <c r="M209" s="16" t="n"/>
      <c r="N209" s="17" t="n"/>
      <c r="O209" s="17" t="n"/>
      <c r="P209" s="15" t="n"/>
    </row>
    <row r="210">
      <c r="A210" s="11" t="n">
        <v>8</v>
      </c>
      <c r="B210" s="11" t="inlineStr">
        <is>
          <t>8.03</t>
        </is>
      </c>
      <c r="C210" s="12" t="inlineStr">
        <is>
          <t>Raise Sophia’s contract</t>
        </is>
      </c>
      <c r="D210" s="12" t="inlineStr">
        <is>
          <t>Contracts</t>
        </is>
      </c>
      <c r="E210" s="13" t="inlineStr">
        <is>
          <t>Add the quote’s validity date with Insert a field</t>
        </is>
      </c>
      <c r="F210" s="14" t="inlineStr">
        <is>
          <t>1. Click at the end of clause 2’s paragraph ("2. Contract sum")
2. Click "Insert a field" › "Studio" and find "GST reg. no.", then click "‹ Studio" to go back
3. Click "Quote" and then "Quote valid until"</t>
        </is>
      </c>
      <c r="G210" s="14" t="inlineStr">
        <is>
          <t>Each record shows what it prints for Sophia (or "Empty"); Studio lists "GST reg. no."; a "Quote valid until" chip appears where you clicked</t>
        </is>
      </c>
      <c r="H210" s="12" t="inlineStr">
        <is>
          <t>Different from 1.0: more records, each showing its value</t>
        </is>
      </c>
      <c r="I210" s="11" t="inlineStr">
        <is>
          <t>Dane</t>
        </is>
      </c>
      <c r="J210" s="15" t="n"/>
      <c r="K210" s="15" t="n"/>
      <c r="L210" s="15" t="n"/>
      <c r="M210" s="16" t="n"/>
      <c r="N210" s="17" t="n"/>
      <c r="O210" s="17" t="n"/>
      <c r="P210" s="15" t="n"/>
    </row>
    <row r="211">
      <c r="A211" s="11" t="n">
        <v>8</v>
      </c>
      <c r="B211" s="11" t="inlineStr">
        <is>
          <t>8.04</t>
        </is>
      </c>
      <c r="C211" s="12" t="inlineStr">
        <is>
          <t>Raise Sophia’s contract</t>
        </is>
      </c>
      <c r="D211" s="12" t="inlineStr">
        <is>
          <t>Contracts</t>
        </is>
      </c>
      <c r="E211" s="13" t="inlineStr">
        <is>
          <t>Jump to a clause from the Outline</t>
        </is>
      </c>
      <c r="F211" s="14" t="inlineStr">
        <is>
          <t>1. Look at the "Outline" list left of the page (if hidden, click the list icon "Show outline")
2. Click "8. Defects liability"</t>
        </is>
      </c>
      <c r="G211" s="14" t="inlineStr">
        <is>
          <t>The Outline lists every heading of the agreement; clicking one scrolls the page straight to that clause</t>
        </is>
      </c>
      <c r="H211" s="12" t="inlineStr">
        <is>
          <t>New in 2.0</t>
        </is>
      </c>
      <c r="I211" s="11" t="inlineStr">
        <is>
          <t>Dane</t>
        </is>
      </c>
      <c r="J211" s="15" t="n"/>
      <c r="K211" s="15" t="n"/>
      <c r="L211" s="15" t="n"/>
      <c r="M211" s="16" t="n"/>
      <c r="N211" s="17" t="n"/>
      <c r="O211" s="17" t="n"/>
      <c r="P211" s="15" t="n"/>
    </row>
    <row r="212">
      <c r="A212" s="11" t="n">
        <v>8</v>
      </c>
      <c r="B212" s="11" t="inlineStr">
        <is>
          <t>8.05</t>
        </is>
      </c>
      <c r="C212" s="12" t="inlineStr">
        <is>
          <t>Get it ready to send</t>
        </is>
      </c>
      <c r="D212" s="12" t="inlineStr">
        <is>
          <t>Contracts</t>
        </is>
      </c>
      <c r="E212" s="13" t="inlineStr">
        <is>
          <t>Make Sophia read to the end and tick before signing</t>
        </is>
      </c>
      <c r="F21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12" s="14" t="inlineStr">
        <is>
          <t>The panel lists four fillable fields (Studio / Client signature and initial); both switches stay on and your words are kept</t>
        </is>
      </c>
      <c r="H212" s="12" t="inlineStr">
        <is>
          <t>Different from 1.0: only library documents had these checks</t>
        </is>
      </c>
      <c r="I212" s="11" t="inlineStr">
        <is>
          <t>Dane</t>
        </is>
      </c>
      <c r="J212" s="15" t="n"/>
      <c r="K212" s="15" t="n"/>
      <c r="L212" s="15" t="n"/>
      <c r="M212" s="16" t="n"/>
      <c r="N212" s="17" t="n"/>
      <c r="O212" s="17" t="n"/>
      <c r="P212" s="15" t="n"/>
    </row>
    <row r="213">
      <c r="A213" s="11" t="n">
        <v>8</v>
      </c>
      <c r="B213" s="11" t="inlineStr">
        <is>
          <t>8.06</t>
        </is>
      </c>
      <c r="C213" s="12" t="inlineStr">
        <is>
          <t>Get it ready to send</t>
        </is>
      </c>
      <c r="D213" s="12" t="inlineStr">
        <is>
          <t>Contracts</t>
        </is>
      </c>
      <c r="E213" s="13" t="inlineStr">
        <is>
          <t>Ask for a follow-up and a thank-you reminder</t>
        </is>
      </c>
      <c r="F213" s="14" t="inlineStr">
        <is>
          <t>1. Click the bell icon in the contract’s header (tooltip "Automation")
2. Switch on "Remind me to follow up"
3. Switch on "Remind me to thank the client"</t>
        </is>
      </c>
      <c r="G213" s="14" t="inlineStr">
        <is>
          <t>Both switches stay on, each explaining the task it adds, and the bell icon stays highlighted</t>
        </is>
      </c>
      <c r="H213" s="12" t="inlineStr">
        <is>
          <t>New in 2.0</t>
        </is>
      </c>
      <c r="I213" s="11" t="inlineStr">
        <is>
          <t>Dane</t>
        </is>
      </c>
      <c r="J213" s="15" t="n"/>
      <c r="K213" s="15" t="n"/>
      <c r="L213" s="15" t="n"/>
      <c r="M213" s="16" t="n"/>
      <c r="N213" s="17" t="n"/>
      <c r="O213" s="17" t="n"/>
      <c r="P213" s="15" t="n"/>
    </row>
    <row r="214">
      <c r="A214" s="11" t="n">
        <v>8</v>
      </c>
      <c r="B214" s="11" t="inlineStr">
        <is>
          <t>8.07</t>
        </is>
      </c>
      <c r="C214" s="12" t="inlineStr">
        <is>
          <t>Get it ready to send</t>
        </is>
      </c>
      <c r="D214" s="12" t="inlineStr">
        <is>
          <t>Contracts</t>
        </is>
      </c>
      <c r="E214" s="13" t="inlineStr">
        <is>
          <t>Send the contract and copy Sophia’s signing link</t>
        </is>
      </c>
      <c r="F214" s="14" t="inlineStr">
        <is>
          <t>1. Click "Send"
2. Check "Client name" and "Client phone (for the code)"
3. Click "Copy link" (not WhatsApp), then close the window with ✕</t>
        </is>
      </c>
      <c r="G214" s="14" t="inlineStr">
        <is>
          <t>Sophia Wong and 9765 4321 are filled in, and the window says the code is demo only — no text is sent, any six digits sign; after "Copy link" the status reads "Sent to Client" and a banner says "not opened yet"</t>
        </is>
      </c>
      <c r="H214" s="12" t="inlineStr">
        <is>
          <t>Different from 1.0: sent on WhatsApp or a copied link, not SMS</t>
        </is>
      </c>
      <c r="I214" s="11" t="inlineStr">
        <is>
          <t>Dane</t>
        </is>
      </c>
      <c r="J214" s="15" t="n"/>
      <c r="K214" s="15" t="n"/>
      <c r="L214" s="15" t="n"/>
      <c r="M214" s="16" t="n"/>
      <c r="N214" s="17" t="n"/>
      <c r="O214" s="17" t="n"/>
      <c r="P214" s="15" t="n"/>
    </row>
    <row r="215">
      <c r="A215" s="11" t="n">
        <v>8</v>
      </c>
      <c r="B215" s="11" t="inlineStr">
        <is>
          <t>8.08</t>
        </is>
      </c>
      <c r="C215" s="12" t="inlineStr">
        <is>
          <t>Sophia signs online</t>
        </is>
      </c>
      <c r="D215" s="12" t="inlineStr">
        <is>
          <t>Contracts</t>
        </is>
      </c>
      <c r="E215" s="13" t="inlineStr">
        <is>
          <t>Open the signing link as Sophia would</t>
        </is>
      </c>
      <c r="F215" s="14" t="inlineStr">
        <is>
          <t>1. Open a private window (Chrome: ⌘⇧N / Ctrl+Shift+N) — the studio’s own browser never counts as Sophia opening it
2. Paste the copied link into the address bar and press Enter</t>
        </is>
      </c>
      <c r="G215" s="14" t="inlineStr">
        <is>
          <t>Studio name and "Secure signing" on top; the agreement carries Sophia’s name and quote total; the card says "Hi Sophia, please read the agreement. When you’re ready, a one-time code confirms it’s you."</t>
        </is>
      </c>
      <c r="H215" s="12" t="inlineStr">
        <is>
          <t>Different from 1.0: she reads first, then gets the code</t>
        </is>
      </c>
      <c r="I215" s="18" t="inlineStr">
        <is>
          <t>Sophia Wong (client)</t>
        </is>
      </c>
      <c r="J215" s="15" t="n"/>
      <c r="K215" s="15" t="n"/>
      <c r="L215" s="15" t="n"/>
      <c r="M215" s="16" t="n"/>
      <c r="N215" s="17" t="n"/>
      <c r="O215" s="17" t="n"/>
      <c r="P215" s="15" t="n"/>
    </row>
    <row r="216">
      <c r="A216" s="11" t="n">
        <v>8</v>
      </c>
      <c r="B216" s="11" t="inlineStr">
        <is>
          <t>8.09</t>
        </is>
      </c>
      <c r="C216" s="12" t="inlineStr">
        <is>
          <t>Sophia signs online</t>
        </is>
      </c>
      <c r="D216" s="12" t="inlineStr">
        <is>
          <t>Contracts</t>
        </is>
      </c>
      <c r="E216" s="13" t="inlineStr">
        <is>
          <t>Check the quote this agreement signs</t>
        </is>
      </c>
      <c r="F216" s="14" t="inlineStr">
        <is>
          <t>1. In the card, click "It signs quotation … — view the quote"
2. Look it over, then close that tab</t>
        </is>
      </c>
      <c r="G216" s="14" t="inlineStr">
        <is>
          <t>Sophia’s quote opens in its own tab as the client sees it, with "Back to the agreement"; nothing on it can be changed</t>
        </is>
      </c>
      <c r="H216" s="12" t="inlineStr">
        <is>
          <t>Different from 1.0: the quote opens beside, not as a step</t>
        </is>
      </c>
      <c r="I216" s="18" t="inlineStr">
        <is>
          <t>Sophia Wong (client)</t>
        </is>
      </c>
      <c r="J216" s="15" t="n"/>
      <c r="K216" s="15" t="n"/>
      <c r="L216" s="15" t="n"/>
      <c r="M216" s="16" t="n"/>
      <c r="N216" s="17" t="n"/>
      <c r="O216" s="17" t="n"/>
      <c r="P216" s="15" t="n"/>
    </row>
    <row r="217">
      <c r="A217" s="11" t="n">
        <v>8</v>
      </c>
      <c r="B217" s="11" t="inlineStr">
        <is>
          <t>8.10</t>
        </is>
      </c>
      <c r="C217" s="12" t="inlineStr">
        <is>
          <t>Sophia signs online</t>
        </is>
      </c>
      <c r="D217" s="12" t="inlineStr">
        <is>
          <t>Contracts</t>
        </is>
      </c>
      <c r="E217" s="13" t="inlineStr">
        <is>
          <t>Read to the end and accept the terms</t>
        </is>
      </c>
      <c r="F217" s="14" t="inlineStr">
        <is>
          <t>1. Note that "Send code" is greyed out
2. Scroll to the very end of the agreement
3. Tick "I have read and agree to the service agreement."
4. In the CaseTrust deposit protection box, tick "I have read the CaseTrust deposit-protection disclosure"</t>
        </is>
      </c>
      <c r="G217" s="14" t="inlineStr">
        <is>
          <t>The card changes to "You’ve read to the end"; after both ticks "Send code" can be pressed</t>
        </is>
      </c>
      <c r="H217" s="12" t="inlineStr">
        <is>
          <t>Same as 1.0 · the CaseTrust tick, as 1.0’s CaseTrust studios had</t>
        </is>
      </c>
      <c r="I217" s="18" t="inlineStr">
        <is>
          <t>Sophia Wong (client)</t>
        </is>
      </c>
      <c r="J217" s="15" t="n"/>
      <c r="K217" s="15" t="n"/>
      <c r="L217" s="15" t="n"/>
      <c r="M217" s="16" t="n"/>
      <c r="N217" s="17" t="n"/>
      <c r="O217" s="17" t="n"/>
      <c r="P217" s="15" t="n"/>
    </row>
    <row r="218">
      <c r="A218" s="11" t="n">
        <v>8</v>
      </c>
      <c r="B218" s="11" t="inlineStr">
        <is>
          <t>8.11</t>
        </is>
      </c>
      <c r="C218" s="12" t="inlineStr">
        <is>
          <t>Sophia signs online</t>
        </is>
      </c>
      <c r="D218" s="12" t="inlineStr">
        <is>
          <t>Contracts</t>
        </is>
      </c>
      <c r="E218" s="13" t="inlineStr">
        <is>
          <t>Change the contract while Sophia is signing</t>
        </is>
      </c>
      <c r="F218" s="14" t="inlineStr">
        <is>
          <t>1. Click "Send code", type any six digits (e.g. 123456), click "Verify"
2. Switch to the studio window, type a word into clause 1 and wait for "Saved just now"
3. Back in Sophia’s window, click "Sign agreement"</t>
        </is>
      </c>
      <c r="G218" s="14" t="inlineStr">
        <is>
          <t>The code step says "Demo only — no text is sent: any six digits sign it." (no "Code sent" message, no "Send again"); on Sign agreement a message says the agreement was updated while she was reading, and the page goes back to the start with the new text</t>
        </is>
      </c>
      <c r="H218" s="12" t="inlineStr">
        <is>
          <t>Same as 1.0</t>
        </is>
      </c>
      <c r="I218" s="18" t="inlineStr">
        <is>
          <t>Sophia Wong (client)</t>
        </is>
      </c>
      <c r="J218" s="15" t="n"/>
      <c r="K218" s="15" t="n"/>
      <c r="L218" s="15" t="n"/>
      <c r="M218" s="16" t="n"/>
      <c r="N218" s="17" t="n"/>
      <c r="O218" s="17" t="n"/>
      <c r="P218" s="15" t="n"/>
    </row>
    <row r="219">
      <c r="A219" s="11" t="n">
        <v>8</v>
      </c>
      <c r="B219" s="11" t="inlineStr">
        <is>
          <t>8.12</t>
        </is>
      </c>
      <c r="C219" s="12" t="inlineStr">
        <is>
          <t>Sophia signs online</t>
        </is>
      </c>
      <c r="D219" s="12" t="inlineStr">
        <is>
          <t>Contracts</t>
        </is>
      </c>
      <c r="E219" s="13" t="inlineStr">
        <is>
          <t>Sign by drawing, with an NRIC</t>
        </is>
      </c>
      <c r="F219" s="14" t="inlineStr">
        <is>
          <t>1. Scroll to the end, tick both boxes (the agreement and the CaseTrust disclosure), click "Send code", type 123456, click "Verify"
2. Choose "Draw" and sign on the pad with the mouse
3. Type S1234567A in "NRIC / FIN (optional)"
4. Click "Sign agreement"</t>
        </is>
      </c>
      <c r="G219" s="14" t="inlineStr">
        <is>
          <t>Under the NRIC it reads "Kept as •••••567A"; the sentence above names the agreement and her quote; the card then shows "Signed"</t>
        </is>
      </c>
      <c r="H219" s="12" t="inlineStr">
        <is>
          <t>Different from 1.0: type or draw; NRIC optional, kept masked</t>
        </is>
      </c>
      <c r="I219" s="18" t="inlineStr">
        <is>
          <t>Sophia Wong (client)</t>
        </is>
      </c>
      <c r="J219" s="15" t="n"/>
      <c r="K219" s="15" t="n"/>
      <c r="L219" s="15" t="n"/>
      <c r="M219" s="16" t="n"/>
      <c r="N219" s="17" t="n"/>
      <c r="O219" s="17" t="n"/>
      <c r="P219" s="15" t="n"/>
    </row>
    <row r="220">
      <c r="A220" s="11" t="n">
        <v>8</v>
      </c>
      <c r="B220" s="11" t="inlineStr">
        <is>
          <t>8.13</t>
        </is>
      </c>
      <c r="C220" s="12" t="inlineStr">
        <is>
          <t>Sophia signs online</t>
        </is>
      </c>
      <c r="D220" s="12" t="inlineStr">
        <is>
          <t>Contracts</t>
        </is>
      </c>
      <c r="E220" s="13" t="inlineStr">
        <is>
          <t>Look at the proof of signing</t>
        </is>
      </c>
      <c r="F220" s="14" t="inlineStr">
        <is>
          <t>1. Scroll below the agreement to "Signing record"
2. Click "Download a copy" in the card, then cancel the print</t>
        </is>
      </c>
      <c r="G220" s="14" t="inlineStr">
        <is>
          <t>The record lists Sophia Wong, "Drawn by hand", •••••567A, "Confirmed by": "A one-time code — demo only, no text was sent", the device, when the link was opened, the times and a fingerprint; the print shows letterhead and signatures</t>
        </is>
      </c>
      <c r="H220" s="12" t="inlineStr">
        <is>
          <t>Different from 1.0: on the page, not a PDF certificate</t>
        </is>
      </c>
      <c r="I220" s="18" t="inlineStr">
        <is>
          <t>Sophia Wong (client)</t>
        </is>
      </c>
      <c r="J220" s="15" t="n"/>
      <c r="K220" s="15" t="n"/>
      <c r="L220" s="15" t="n"/>
      <c r="M220" s="16" t="n"/>
      <c r="N220" s="17" t="n"/>
      <c r="O220" s="17" t="n"/>
      <c r="P220" s="15" t="n"/>
    </row>
    <row r="221">
      <c r="A221" s="11" t="n">
        <v>8</v>
      </c>
      <c r="B221" s="11" t="inlineStr">
        <is>
          <t>8.14</t>
        </is>
      </c>
      <c r="C221" s="12" t="inlineStr">
        <is>
          <t>Back at the studio</t>
        </is>
      </c>
      <c r="D221" s="12" t="inlineStr">
        <is>
          <t>Contracts</t>
        </is>
      </c>
      <c r="E221" s="13" t="inlineStr">
        <is>
          <t>See the signed contract locked in the studio</t>
        </is>
      </c>
      <c r="F221" s="14" t="inlineStr">
        <is>
          <t>1. Go back to the studio window and refresh the page
2. Try to type in the agreement or change the title
3. Click "Signing record" in the banner</t>
        </is>
      </c>
      <c r="G221" s="14" t="inlineStr">
        <is>
          <t>Status "Signed" with a signed-date chip; the banner says Sophia signed online and it stays signed; nothing edits — the formatting tools rest greyed and there is no "Write with AI"; the record matches hers</t>
        </is>
      </c>
      <c r="H221" s="12" t="inlineStr">
        <is>
          <t>Same as 1.0</t>
        </is>
      </c>
      <c r="I221" s="11" t="inlineStr">
        <is>
          <t>Dane</t>
        </is>
      </c>
      <c r="J221" s="15" t="n"/>
      <c r="K221" s="15" t="n"/>
      <c r="L221" s="15" t="n"/>
      <c r="M221" s="16" t="n"/>
      <c r="N221" s="17" t="n"/>
      <c r="O221" s="17" t="n"/>
      <c r="P221" s="15" t="n"/>
    </row>
    <row r="222">
      <c r="A222" s="11" t="n">
        <v>8</v>
      </c>
      <c r="B222" s="11" t="inlineStr">
        <is>
          <t>8.15</t>
        </is>
      </c>
      <c r="C222" s="12" t="inlineStr">
        <is>
          <t>Back at the studio</t>
        </is>
      </c>
      <c r="D222" s="12" t="inlineStr">
        <is>
          <t>Quotes</t>
        </is>
      </c>
      <c r="E222" s="13" t="inlineStr">
        <is>
          <t>Check her quote is now signed</t>
        </is>
      </c>
      <c r="F222" s="14" t="inlineStr">
        <is>
          <t>1. Close the contract with ✕ — you land back on her quote
2. Look at the status and the chips beside the title
3. Click the "Contract · Signed" chip</t>
        </is>
      </c>
      <c r="G222" s="14" t="inlineStr">
        <is>
          <t>The quote reads "Signed"; a "Contract · Signed" chip sits by the title and opens the contract</t>
        </is>
      </c>
      <c r="H222" s="12" t="inlineStr">
        <is>
          <t>Same as 1.0</t>
        </is>
      </c>
      <c r="I222" s="11" t="inlineStr">
        <is>
          <t>Dane</t>
        </is>
      </c>
      <c r="J222" s="15" t="n"/>
      <c r="K222" s="15" t="n"/>
      <c r="L222" s="15" t="n"/>
      <c r="M222" s="16" t="n"/>
      <c r="N222" s="17" t="n"/>
      <c r="O222" s="17" t="n"/>
      <c r="P222" s="15" t="n"/>
    </row>
    <row r="223">
      <c r="A223" s="11" t="n">
        <v>8</v>
      </c>
      <c r="B223" s="11" t="inlineStr">
        <is>
          <t>8.16</t>
        </is>
      </c>
      <c r="C223" s="12" t="inlineStr">
        <is>
          <t>Back at the studio</t>
        </is>
      </c>
      <c r="D223" s="12" t="inlineStr">
        <is>
          <t>Lead details</t>
        </is>
      </c>
      <c r="E223" s="13" t="inlineStr">
        <is>
          <t>Check the two reminders became tasks</t>
        </is>
      </c>
      <c r="F223" s="14" t="inlineStr">
        <is>
          <t>1. Open Sophia Wong › "Tasks"</t>
        </is>
      </c>
      <c r="G223" s="14" t="inlineStr">
        <is>
          <t>"Follow up on “Interior Design Service Agreement” — not signed yet" is completed; "Thank Sophia Wong for signing “Interior Design Service Agreement”" is due today</t>
        </is>
      </c>
      <c r="H223" s="12" t="inlineStr">
        <is>
          <t>New in 2.0</t>
        </is>
      </c>
      <c r="I223" s="11" t="inlineStr">
        <is>
          <t>Dane</t>
        </is>
      </c>
      <c r="J223" s="15" t="n"/>
      <c r="K223" s="15" t="n"/>
      <c r="L223" s="15" t="n"/>
      <c r="M223" s="16" t="n"/>
      <c r="N223" s="17" t="n"/>
      <c r="O223" s="17" t="n"/>
      <c r="P223" s="15" t="n"/>
    </row>
    <row r="224">
      <c r="A224" s="11" t="n">
        <v>8</v>
      </c>
      <c r="B224" s="11" t="inlineStr">
        <is>
          <t>8.17</t>
        </is>
      </c>
      <c r="C224" s="12" t="inlineStr">
        <is>
          <t>Back at the studio</t>
        </is>
      </c>
      <c r="D224" s="12" t="inlineStr">
        <is>
          <t>Notifications</t>
        </is>
      </c>
      <c r="E224" s="13" t="inlineStr">
        <is>
          <t>See the studio was told she signed</t>
        </is>
      </c>
      <c r="F224" s="14" t="inlineStr">
        <is>
          <t>1. Click "Notifications" (the bell) in the side navigation</t>
        </is>
      </c>
      <c r="G224" s="14" t="inlineStr">
        <is>
          <t>The newest notice reads "Sophia Wong signed Interior Design Service Agreement"; it opens her Overview with the Move stage window at Won and her contract picked — press Cancel (Won comes in chapter 9)</t>
        </is>
      </c>
      <c r="H224" s="12" t="inlineStr">
        <is>
          <t>Different from 1.0: the signed notice takes you to the next step, Won</t>
        </is>
      </c>
      <c r="I224" s="11" t="inlineStr">
        <is>
          <t>Dane</t>
        </is>
      </c>
      <c r="J224" s="15" t="n"/>
      <c r="K224" s="15" t="n"/>
      <c r="L224" s="15" t="n"/>
      <c r="M224" s="16" t="n"/>
      <c r="N224" s="17" t="n"/>
      <c r="O224" s="17" t="n"/>
      <c r="P224" s="15" t="n"/>
    </row>
    <row r="225">
      <c r="A225" s="11" t="n">
        <v>8</v>
      </c>
      <c r="B225" s="11" t="inlineStr">
        <is>
          <t>8.18</t>
        </is>
      </c>
      <c r="C225" s="12" t="inlineStr">
        <is>
          <t>Back at the studio</t>
        </is>
      </c>
      <c r="D225" s="12" t="inlineStr">
        <is>
          <t>Contracts</t>
        </is>
      </c>
      <c r="E225" s="13" t="inlineStr">
        <is>
          <t>Read the contract’s row and try to un-sign it</t>
        </is>
      </c>
      <c r="F225" s="14" t="inlineStr">
        <is>
          <t>1. Open Sophia Wong › "Contracts"
2. Look at the "Signed Copy" and "Sent" columns
3. Click the status "Signed" and try "Draft"</t>
        </is>
      </c>
      <c r="G225" s="14" t="inlineStr">
        <is>
          <t>Signed Copy names the signed-online file; Sent shows "Viewed" with a date (Sophia opened it in her own window — the studio’s browser never counts); "Draft" and "Sent to Client" say "signed by the client" and do nothing</t>
        </is>
      </c>
      <c r="H225" s="12" t="inlineStr">
        <is>
          <t>Different from 1.0: Viewed is a date, not a status</t>
        </is>
      </c>
      <c r="I225" s="11" t="inlineStr">
        <is>
          <t>Dane</t>
        </is>
      </c>
      <c r="J225" s="15" t="n"/>
      <c r="K225" s="15" t="n"/>
      <c r="L225" s="15" t="n"/>
      <c r="M225" s="16" t="n"/>
      <c r="N225" s="17" t="n"/>
      <c r="O225" s="17" t="n"/>
      <c r="P225" s="15" t="n"/>
    </row>
    <row r="226">
      <c r="A226" s="11" t="n">
        <v>8</v>
      </c>
      <c r="B226" s="11" t="inlineStr">
        <is>
          <t>8.19</t>
        </is>
      </c>
      <c r="C226" s="12" t="inlineStr">
        <is>
          <t>Gerald Tan: paper and a pair of documents</t>
        </is>
      </c>
      <c r="D226" s="12" t="inlineStr">
        <is>
          <t>Contracts</t>
        </is>
      </c>
      <c r="E226" s="13" t="inlineStr">
        <is>
          <t>Record Gerald Tan’s contract signed on paper</t>
        </is>
      </c>
      <c r="F226" s="14" t="inlineStr">
        <is>
          <t>1. Open Gerald Tan › "Contracts" — he has none yet — and click "Import from File" on the empty card
2. Type "Signed paper contract" in "Contract title" and upload the PDF
3. Switch on "This copy is already signed"
4. Click "Import"</t>
        </is>
      </c>
      <c r="G226" s="14" t="inlineStr">
        <is>
          <t>"Signed contract imported"; it opens with "Signed …" and "Uploaded PDF" chips and a banner "Marked signed on …"</t>
        </is>
      </c>
      <c r="H226" s="12" t="inlineStr">
        <is>
          <t>Different from 1.0: the upload becomes a contract, not a lead flag</t>
        </is>
      </c>
      <c r="I226" s="11" t="inlineStr">
        <is>
          <t>Dane</t>
        </is>
      </c>
      <c r="J226" s="15" t="n"/>
      <c r="K226" s="15" t="n"/>
      <c r="L226" s="15" t="n"/>
      <c r="M226" s="16" t="n"/>
      <c r="N226" s="17" t="n"/>
      <c r="O226" s="17" t="n"/>
      <c r="P226" s="15" t="n"/>
    </row>
    <row r="227">
      <c r="A227" s="11" t="n">
        <v>8</v>
      </c>
      <c r="B227" s="11" t="inlineStr">
        <is>
          <t>8.20</t>
        </is>
      </c>
      <c r="C227" s="12" t="inlineStr">
        <is>
          <t>Gerald Tan: paper and a pair of documents</t>
        </is>
      </c>
      <c r="D227" s="12" t="inlineStr">
        <is>
          <t>Contracts</t>
        </is>
      </c>
      <c r="E227" s="13" t="inlineStr">
        <is>
          <t>Take back a signing recorded by mistake</t>
        </is>
      </c>
      <c r="F227" s="14" t="inlineStr">
        <is>
          <t>1. Click the status "Signed" › "Draft"
2. Read the question, then click "Move back"</t>
        </is>
      </c>
      <c r="G227" s="14" t="inlineStr">
        <is>
          <t>"Move back to Draft?" says the signed date and copies are cleared; then the status reads "Draft" and the Signed chip is gone</t>
        </is>
      </c>
      <c r="H227" s="12" t="inlineStr">
        <is>
          <t>Different from 1.0: 1.0 never reopened a signed contract</t>
        </is>
      </c>
      <c r="I227" s="11" t="inlineStr">
        <is>
          <t>Dane</t>
        </is>
      </c>
      <c r="J227" s="15" t="n"/>
      <c r="K227" s="15" t="n"/>
      <c r="L227" s="15" t="n"/>
      <c r="M227" s="16" t="n"/>
      <c r="N227" s="17" t="n"/>
      <c r="O227" s="17" t="n"/>
      <c r="P227" s="15" t="n"/>
    </row>
    <row r="228">
      <c r="A228" s="11" t="n">
        <v>8</v>
      </c>
      <c r="B228" s="11" t="inlineStr">
        <is>
          <t>8.21</t>
        </is>
      </c>
      <c r="C228" s="12" t="inlineStr">
        <is>
          <t>Gerald Tan: paper and a pair of documents</t>
        </is>
      </c>
      <c r="D228" s="12" t="inlineStr">
        <is>
          <t>Contracts</t>
        </is>
      </c>
      <c r="E228" s="13" t="inlineStr">
        <is>
          <t>Mark it signed again with today’s date</t>
        </is>
      </c>
      <c r="F228" s="14" t="inlineStr">
        <is>
          <t>1. Click the status "Draft" › "Signed"
2. Keep today in "Signed on" (attaching a copy is optional)
3. Click "Mark as signed"</t>
        </is>
      </c>
      <c r="G228" s="14" t="inlineStr">
        <is>
          <t>"Signed paper contract marked Signed" (with "Move to Won"); the banner says it was marked signed today and an Owner or an Admin can move it back</t>
        </is>
      </c>
      <c r="H228" s="12" t="inlineStr">
        <is>
          <t>Same as 1.0</t>
        </is>
      </c>
      <c r="I228" s="11" t="inlineStr">
        <is>
          <t>Dane</t>
        </is>
      </c>
      <c r="J228" s="15" t="n"/>
      <c r="K228" s="15" t="n"/>
      <c r="L228" s="15" t="n"/>
      <c r="M228" s="16" t="n"/>
      <c r="N228" s="17" t="n"/>
      <c r="O228" s="17" t="n"/>
      <c r="P228" s="15" t="n"/>
    </row>
    <row r="229">
      <c r="A229" s="11" t="n">
        <v>8</v>
      </c>
      <c r="B229" s="11" t="inlineStr">
        <is>
          <t>8.22</t>
        </is>
      </c>
      <c r="C229" s="12" t="inlineStr">
        <is>
          <t>Gerald Tan: paper and a pair of documents</t>
        </is>
      </c>
      <c r="D229" s="12" t="inlineStr">
        <is>
          <t>Contracts</t>
        </is>
      </c>
      <c r="E229" s="13" t="inlineStr">
        <is>
          <t>Try sending a variation order with nowhere to sign</t>
        </is>
      </c>
      <c r="F229" s="14" t="inlineStr">
        <is>
          <t>1. Close with ✕, then "New Contract" › "From Template" › "Variations" › "Variation Order" › "Use template"
2. Click just after the "Client signature" box near the end and press Backspace to take it out, then click "Send"
3. Click "Show me" on the message (or "eSignatures"), then "Insert" beside "Client signature"
4. Close the contract with ✕</t>
        </is>
      </c>
      <c r="G229" s="14" t="inlineStr">
        <is>
          <t>Send refuses: "Before you send: There’s no Client signature field — insert one from eSignatures"; after Insert a Client signature box is added back where the cursor was</t>
        </is>
      </c>
      <c r="H229" s="12" t="inlineStr">
        <is>
          <t>Different from 1.0: 1.0 only checked for an empty page</t>
        </is>
      </c>
      <c r="I229" s="11" t="inlineStr">
        <is>
          <t>Dane</t>
        </is>
      </c>
      <c r="J229" s="15" t="n"/>
      <c r="K229" s="15" t="n"/>
      <c r="L229" s="15" t="n"/>
      <c r="M229" s="16" t="n"/>
      <c r="N229" s="17" t="n"/>
      <c r="O229" s="17" t="n"/>
      <c r="P229" s="15" t="n"/>
    </row>
    <row r="230">
      <c r="A230" s="11" t="n">
        <v>8</v>
      </c>
      <c r="B230" s="11" t="inlineStr">
        <is>
          <t>8.23</t>
        </is>
      </c>
      <c r="C230" s="12" t="inlineStr">
        <is>
          <t>Gerald Tan: paper and a pair of documents</t>
        </is>
      </c>
      <c r="D230" s="12" t="inlineStr">
        <is>
          <t>Contracts</t>
        </is>
      </c>
      <c r="E230" s="13" t="inlineStr">
        <is>
          <t>Send Gerald two documents under one link</t>
        </is>
      </c>
      <c r="F230" s="14" t="inlineStr">
        <is>
          <t>1. "New Contract" › "From the studio agreement", then close it with ✕
2. Click ⋮ "More options" › "Send together for signature"
3. Click "Copy link"
4. Click "Send via WhatsApp" — a WhatsApp tab opens; close it, do not send</t>
        </is>
      </c>
      <c r="G230" s="14" t="inlineStr">
        <is>
          <t>Both documents are ticked and numbered in reading order; afterwards both rows read "Sent to Client" and "2 documents sent under one link" shows</t>
        </is>
      </c>
      <c r="H230" s="12" t="inlineStr">
        <is>
          <t>Different from 1.0: contracts go together; the quote signs through them</t>
        </is>
      </c>
      <c r="I230" s="11" t="inlineStr">
        <is>
          <t>Dane</t>
        </is>
      </c>
      <c r="J230" s="15" t="n"/>
      <c r="K230" s="15" t="n"/>
      <c r="L230" s="15" t="n"/>
      <c r="M230" s="16" t="n"/>
      <c r="N230" s="17" t="n"/>
      <c r="O230" s="17" t="n"/>
      <c r="P230" s="15" t="n"/>
    </row>
    <row r="231">
      <c r="A231" s="11" t="n">
        <v>8</v>
      </c>
      <c r="B231" s="11" t="inlineStr">
        <is>
          <t>8.24</t>
        </is>
      </c>
      <c r="C231" s="12" t="inlineStr">
        <is>
          <t>Gerald Tan: paper and a pair of documents</t>
        </is>
      </c>
      <c r="D231" s="12" t="inlineStr">
        <is>
          <t>Contracts</t>
        </is>
      </c>
      <c r="E231" s="13" t="inlineStr">
        <is>
          <t>Sign both documents once, as Gerald</t>
        </is>
      </c>
      <c r="F231" s="14" t="inlineStr">
        <is>
          <t>1. Paste the copied link into a new tab
2. Read each document; where asked, scroll to the end and tick (the last one also asks for the CaseTrust disclosure), then "Continue" / "Continue to sign"
3. Type 123456, click "Verify"
4. Click "Sign 2 documents"</t>
        </is>
      </c>
      <c r="G231" s="14" t="inlineStr">
        <is>
          <t>One document per screen ("Document 1 of 2", progress bar); the final sentence names both; the card ends "All 2 documents signed by Gerald Tan"</t>
        </is>
      </c>
      <c r="H231" s="12" t="inlineStr">
        <is>
          <t>Same as 1.0</t>
        </is>
      </c>
      <c r="I231" s="18" t="inlineStr">
        <is>
          <t>Gerald Tan (client)</t>
        </is>
      </c>
      <c r="J231" s="15" t="n"/>
      <c r="K231" s="15" t="n"/>
      <c r="L231" s="15" t="n"/>
      <c r="M231" s="16" t="n"/>
      <c r="N231" s="17" t="n"/>
      <c r="O231" s="17" t="n"/>
      <c r="P231" s="15" t="n"/>
    </row>
    <row r="232">
      <c r="A232" s="11" t="n">
        <v>8</v>
      </c>
      <c r="B232" s="11" t="inlineStr">
        <is>
          <t>8.25</t>
        </is>
      </c>
      <c r="C232" s="12" t="inlineStr">
        <is>
          <t>Keeping track</t>
        </is>
      </c>
      <c r="D232" s="12" t="inlineStr">
        <is>
          <t>Contracts</t>
        </is>
      </c>
      <c r="E232" s="13" t="inlineStr">
        <is>
          <t>Find Gerald’s contracts studio-wide and delete one</t>
        </is>
      </c>
      <c r="F232" s="14" t="inlineStr">
        <is>
          <t>1. Side navigation "Tools" › "Contracts"
2. Type Gerald in the search box
3. On "Signed paper contract": ⋮ "More actions" › "Copy Link", then ⋮ › "Delete" › "Delete"</t>
        </is>
      </c>
      <c r="G232" s="14" t="inlineStr">
        <is>
          <t>Only Gerald Tan’s contracts show, with a "Lead" column; "Contract deleted" appears and the row disappears</t>
        </is>
      </c>
      <c r="H232" s="12" t="inlineStr">
        <is>
          <t>New in 2.0</t>
        </is>
      </c>
      <c r="I232" s="11" t="inlineStr">
        <is>
          <t>Dane</t>
        </is>
      </c>
      <c r="J232" s="15" t="n"/>
      <c r="K232" s="15" t="n"/>
      <c r="L232" s="15" t="n"/>
      <c r="M232" s="16" t="n"/>
      <c r="N232" s="17" t="n"/>
      <c r="O232" s="17" t="n"/>
      <c r="P232" s="15" t="n"/>
    </row>
    <row r="233">
      <c r="A233" s="11" t="n">
        <v>8</v>
      </c>
      <c r="B233" s="11" t="inlineStr">
        <is>
          <t>8.26</t>
        </is>
      </c>
      <c r="C233" s="12" t="inlineStr">
        <is>
          <t>Keeping track</t>
        </is>
      </c>
      <c r="D233" s="12" t="inlineStr">
        <is>
          <t>Contracts</t>
        </is>
      </c>
      <c r="E233" s="13" t="inlineStr">
        <is>
          <t>Check the deleted contract’s link is dead, then restore it</t>
        </is>
      </c>
      <c r="F233" s="14" t="inlineStr">
        <is>
          <t>1. Paste the copied link into a new tab
2. Back in Tools › Contracts, click ⋮ "More options" › "Deleted Contracts"
3. Click "Restore" on "Signed paper contract"</t>
        </is>
      </c>
      <c r="G233" s="14" t="inlineStr">
        <is>
          <t>The link reads "This link is no longer active"; the list shows Lead Gerald Tan, Deleted by Dane; Restore puts it back</t>
        </is>
      </c>
      <c r="H233" s="12" t="inlineStr">
        <is>
          <t>Different from 1.0: deleted contracts can be restored</t>
        </is>
      </c>
      <c r="I233" s="11" t="inlineStr">
        <is>
          <t>Dane</t>
        </is>
      </c>
      <c r="J233" s="15" t="n"/>
      <c r="K233" s="15" t="n"/>
      <c r="L233" s="15" t="n"/>
      <c r="M233" s="16" t="n"/>
      <c r="N233" s="17" t="n"/>
      <c r="O233" s="17" t="n"/>
      <c r="P233" s="15" t="n"/>
    </row>
    <row r="234" ht="22" customHeight="1">
      <c r="A234" s="9" t="inlineStr">
        <is>
          <t>Chapter 9 · Win, park or lose — Won, On Hold, Lost, Resume, Return, Delete.</t>
        </is>
      </c>
      <c r="M234" s="10" t="n"/>
    </row>
    <row r="235">
      <c r="A235" s="11" t="n">
        <v>9</v>
      </c>
      <c r="B235" s="11" t="inlineStr">
        <is>
          <t>9.01</t>
        </is>
      </c>
      <c r="C235" s="12" t="inlineStr">
        <is>
          <t>Win Sophia</t>
        </is>
      </c>
      <c r="D235" s="12" t="inlineStr">
        <is>
          <t>Lead details</t>
        </is>
      </c>
      <c r="E235" s="13" t="inlineStr">
        <is>
          <t>Check Sophia is ready to be won</t>
        </is>
      </c>
      <c r="F235" s="14" t="inlineStr">
        <is>
          <t>1. Open Sophia Wong
2. Read the stage button and the "LEAD STAGES" card
3. Open the "Quotes" tab, then the "Contracts" tab</t>
        </is>
      </c>
      <c r="G235" s="14" t="inlineStr">
        <is>
          <t>"Stage: Quote Sent" with New, Contacted and Met ticked; her quote and her contract both read Signed (chapters 6 and 8).</t>
        </is>
      </c>
      <c r="H235" s="12" t="inlineStr">
        <is>
          <t>Different from 1.0: signing doesn't move the lead by itself</t>
        </is>
      </c>
      <c r="I235" s="11" t="inlineStr">
        <is>
          <t>Dane</t>
        </is>
      </c>
      <c r="J235" s="15" t="n"/>
      <c r="K235" s="15" t="n"/>
      <c r="L235" s="15" t="n"/>
      <c r="M235" s="16" t="n"/>
      <c r="N235" s="17" t="n"/>
      <c r="O235" s="17" t="n"/>
      <c r="P235" s="15" t="n"/>
    </row>
    <row r="236">
      <c r="A236" s="11" t="n">
        <v>9</v>
      </c>
      <c r="B236" s="11" t="inlineStr">
        <is>
          <t>9.02</t>
        </is>
      </c>
      <c r="C236" s="12" t="inlineStr">
        <is>
          <t>Win Sophia</t>
        </is>
      </c>
      <c r="D236" s="12" t="inlineStr">
        <is>
          <t>Lead details</t>
        </is>
      </c>
      <c r="E236" s="13" t="inlineStr">
        <is>
          <t>Open the Won step from Convert to Project</t>
        </is>
      </c>
      <c r="F236" s="14" t="inlineStr">
        <is>
          <t>1. Point at, then press, "Convert to Project"
2. Read "Attach client signed quote" and "Attach client signed contract"</t>
        </is>
      </c>
      <c r="G236" s="14" t="inlineStr">
        <is>
          <t>"Moving to Won" opens with her signed quote (OM-… · Signed on …) and her signed contract already picked under "From System".</t>
        </is>
      </c>
      <c r="H236" s="12" t="inlineStr">
        <is>
          <t>Different from 1.0: the Won step checks quote, contract and split</t>
        </is>
      </c>
      <c r="I236" s="11" t="inlineStr">
        <is>
          <t>Dane</t>
        </is>
      </c>
      <c r="J236" s="15" t="n"/>
      <c r="K236" s="15" t="n"/>
      <c r="L236" s="15" t="n"/>
      <c r="M236" s="16" t="n"/>
      <c r="N236" s="17" t="n"/>
      <c r="O236" s="17" t="n"/>
      <c r="P236" s="15" t="n"/>
    </row>
    <row r="237">
      <c r="A237" s="11" t="n">
        <v>9</v>
      </c>
      <c r="B237" s="11" t="inlineStr">
        <is>
          <t>9.03</t>
        </is>
      </c>
      <c r="C237" s="12" t="inlineStr">
        <is>
          <t>Win Sophia</t>
        </is>
      </c>
      <c r="D237" s="12" t="inlineStr">
        <is>
          <t>Lead details</t>
        </is>
      </c>
      <c r="E237" s="13" t="inlineStr">
        <is>
          <t>See where her project’s payments come from, and the split rule</t>
        </is>
      </c>
      <c r="F237" s="14" t="inlineStr">
        <is>
          <t>1. Under "Payment milestone" read the line
2. Under "Attach client signed quote" click "Upload", change Deposit from 10 to 20 and press "Save &amp; Convert to Project"
3. Press "Reset to default"
4. Click "From System" again</t>
        </is>
      </c>
      <c r="G237" s="14" t="inlineStr">
        <is>
          <t>For her system quote one line reads "Payments follow OM-…’s payment schedule." — nothing to edit. On "Upload" the split appears (10/30/30/30%); at 20 the tag reads 110% and "Milestones must add up to 100%"; Reset restores 100%. "From System" brings her signed quote back with the one line.</t>
        </is>
      </c>
      <c r="H237" s="12" t="inlineStr">
        <is>
          <t>New in 2.0</t>
        </is>
      </c>
      <c r="I237" s="11" t="inlineStr">
        <is>
          <t>Dane</t>
        </is>
      </c>
      <c r="J237" s="15" t="n"/>
      <c r="K237" s="15" t="n"/>
      <c r="L237" s="15" t="n"/>
      <c r="M237" s="16" t="n"/>
      <c r="N237" s="17" t="n"/>
      <c r="O237" s="17" t="n"/>
      <c r="P237" s="15" t="n"/>
    </row>
    <row r="238">
      <c r="A238" s="11" t="n">
        <v>9</v>
      </c>
      <c r="B238" s="11" t="inlineStr">
        <is>
          <t>9.04</t>
        </is>
      </c>
      <c r="C238" s="12" t="inlineStr">
        <is>
          <t>Win Sophia</t>
        </is>
      </c>
      <c r="D238" s="12" t="inlineStr">
        <is>
          <t>Lead details</t>
        </is>
      </c>
      <c r="E238" s="13" t="inlineStr">
        <is>
          <t>Win Sophia and convert her to a project</t>
        </is>
      </c>
      <c r="F238" s="14" t="inlineStr">
        <is>
          <t>1. Leave "Project type" on Whole-home renovation
2. Press "Save &amp; Convert to Project"
3. Read the page that opens, then press its back arrow
4. Point at the filled button at the top right</t>
        </is>
      </c>
      <c r="G238" s="14" t="inlineStr">
        <is>
          <t>"Project P-2026-… created" and her project "HDB 4-Room — Sophia Wong" opens by itself, its button reading "Stage: Setting up". The back arrow ("Back to Sophia Wong") returns to her lead: "Stage: Won" with every stage ticked, and the filled button now reads "Open project" (tooltip "Open P-2026-…").</t>
        </is>
      </c>
      <c r="H238" s="12" t="inlineStr">
        <is>
          <t>Different from 1.0: the project starts Setting up, not Draft</t>
        </is>
      </c>
      <c r="I238" s="11" t="inlineStr">
        <is>
          <t>Dane</t>
        </is>
      </c>
      <c r="J238" s="15" t="n"/>
      <c r="K238" s="15" t="n"/>
      <c r="L238" s="15" t="n"/>
      <c r="M238" s="16" t="n"/>
      <c r="N238" s="17" t="n"/>
      <c r="O238" s="17" t="n"/>
      <c r="P238" s="15" t="n"/>
    </row>
    <row r="239">
      <c r="A239" s="11" t="n">
        <v>9</v>
      </c>
      <c r="B239" s="11" t="inlineStr">
        <is>
          <t>9.05</t>
        </is>
      </c>
      <c r="C239" s="12" t="inlineStr">
        <is>
          <t>Park and resume</t>
        </is>
      </c>
      <c r="D239" s="12" t="inlineStr">
        <is>
          <t>Leads</t>
        </is>
      </c>
      <c r="E239" s="13" t="inlineStr">
        <is>
          <t>Put a lead on hold until a date you choose</t>
        </is>
      </c>
      <c r="F239" s="14" t="inlineStr">
        <is>
          <t>1. On Leads, click Priya Nair's Stage cell, then "On Hold"
2. "Reason": Client not ready; under "Duration" choose "Custom"
3. "Follow up on": a date about two months away
4. Press "Save &amp; Move"</t>
        </is>
      </c>
      <c r="G239" s="14" t="inlineStr">
        <is>
          <t>The helper reads "Next follow up date will be" your date; "Moved to On Hold" (with Undo); under her phone the row adds "Till" and that date with its weekday (like "Till Sat, …").</t>
        </is>
      </c>
      <c r="H239" s="12" t="inlineStr">
        <is>
          <t>Different from 1.0: reason plus date; a reminder comes that day</t>
        </is>
      </c>
      <c r="I239" s="11" t="inlineStr">
        <is>
          <t>Dane</t>
        </is>
      </c>
      <c r="J239" s="15" t="n"/>
      <c r="K239" s="15" t="n"/>
      <c r="L239" s="15" t="n"/>
      <c r="M239" s="16" t="n"/>
      <c r="N239" s="17" t="n"/>
      <c r="O239" s="17" t="n"/>
      <c r="P239" s="15" t="n"/>
    </row>
    <row r="240">
      <c r="A240" s="11" t="n">
        <v>9</v>
      </c>
      <c r="B240" s="11" t="inlineStr">
        <is>
          <t>9.06</t>
        </is>
      </c>
      <c r="C240" s="12" t="inlineStr">
        <is>
          <t>Park and resume</t>
        </is>
      </c>
      <c r="D240" s="12" t="inlineStr">
        <is>
          <t>Lead details</t>
        </is>
      </c>
      <c r="E240" s="13" t="inlineStr">
        <is>
          <t>Resume a lead that was on hold</t>
        </is>
      </c>
      <c r="F240" s="14" t="inlineStr">
        <is>
          <t>1. Open Mei Ling Tan
2. Read her "On Hold" row in "LEAD STAGES"
3. Click "Stage: On Hold", then "Contacted"
4. Press "Resume"</t>
        </is>
      </c>
      <c r="G240" s="14" t="inlineStr">
        <is>
          <t>Her row shows the till-date and "Property delay"; "Resume at Contacted?" asks first; then "Moved to Contacted".</t>
        </is>
      </c>
      <c r="H240" s="12" t="inlineStr">
        <is>
          <t>Different from 1.0: resume at any stage, after a confirm</t>
        </is>
      </c>
      <c r="I240" s="11" t="inlineStr">
        <is>
          <t>Dane</t>
        </is>
      </c>
      <c r="J240" s="15" t="n"/>
      <c r="K240" s="15" t="n"/>
      <c r="L240" s="15" t="n"/>
      <c r="M240" s="16" t="n"/>
      <c r="N240" s="17" t="n"/>
      <c r="O240" s="17" t="n"/>
      <c r="P240" s="15" t="n"/>
    </row>
    <row r="241">
      <c r="A241" s="11" t="n">
        <v>9</v>
      </c>
      <c r="B241" s="11" t="inlineStr">
        <is>
          <t>9.07</t>
        </is>
      </c>
      <c r="C241" s="12" t="inlineStr">
        <is>
          <t>When a lead goes cold</t>
        </is>
      </c>
      <c r="D241" s="12" t="inlineStr">
        <is>
          <t>Lead details</t>
        </is>
      </c>
      <c r="E241" s="13" t="inlineStr">
        <is>
          <t>See the hint before marking a lead lost</t>
        </is>
      </c>
      <c r="F241" s="14" t="inlineStr">
        <is>
          <t>1. Open Jonathan Teo
2. Click "Stage: Contacted", then "Lost"
3. Set "Reason" to Unresponsive</t>
        </is>
      </c>
      <c r="G241" s="14" t="inlineStr">
        <is>
          <t>A hint under Reason counts his logged contacts, like "1 of 3 contacts logged — this reason usually follows 3"; it never blocks saving.</t>
        </is>
      </c>
      <c r="H241" s="12" t="inlineStr">
        <is>
          <t>Different from 1.0: a hint only, never a block</t>
        </is>
      </c>
      <c r="I241" s="11" t="inlineStr">
        <is>
          <t>Dane</t>
        </is>
      </c>
      <c r="J241" s="15" t="n"/>
      <c r="K241" s="15" t="n"/>
      <c r="L241" s="15" t="n"/>
      <c r="M241" s="16" t="n"/>
      <c r="N241" s="17" t="n"/>
      <c r="O241" s="17" t="n"/>
      <c r="P241" s="15" t="n"/>
    </row>
    <row r="242">
      <c r="A242" s="11" t="n">
        <v>9</v>
      </c>
      <c r="B242" s="11" t="inlineStr">
        <is>
          <t>9.08</t>
        </is>
      </c>
      <c r="C242" s="12" t="inlineStr">
        <is>
          <t>When a lead goes cold</t>
        </is>
      </c>
      <c r="D242" s="12" t="inlineStr">
        <is>
          <t>Lead details</t>
        </is>
      </c>
      <c r="E242" s="13" t="inlineStr">
        <is>
          <t>Mark him lost as postponed, with a restart date</t>
        </is>
      </c>
      <c r="F242" s="14" t="inlineStr">
        <is>
          <t>1. Change "Reason" to Project postponed
2. "Expected restart (optional)": a date about three months away, and read the warning under it
3. Press "Save &amp; Move"</t>
        </is>
      </c>
      <c r="G242" s="14" t="inlineStr">
        <is>
          <t>Under the date a warning reads "Under 6 months away — consider On Hold instead." with "Put On Hold instead" beside it; Save &amp; Move still moves him: "Moved to Lost" with an "Undo" button.</t>
        </is>
      </c>
      <c r="H242" s="12" t="inlineStr">
        <is>
          <t>Same as 1.0</t>
        </is>
      </c>
      <c r="I242" s="11" t="inlineStr">
        <is>
          <t>Dane</t>
        </is>
      </c>
      <c r="J242" s="15" t="n"/>
      <c r="K242" s="15" t="n"/>
      <c r="L242" s="15" t="n"/>
      <c r="M242" s="16" t="n"/>
      <c r="N242" s="17" t="n"/>
      <c r="O242" s="17" t="n"/>
      <c r="P242" s="15" t="n"/>
    </row>
    <row r="243">
      <c r="A243" s="11" t="n">
        <v>9</v>
      </c>
      <c r="B243" s="11" t="inlineStr">
        <is>
          <t>9.09</t>
        </is>
      </c>
      <c r="C243" s="12" t="inlineStr">
        <is>
          <t>When a lead goes cold</t>
        </is>
      </c>
      <c r="D243" s="12" t="inlineStr">
        <is>
          <t>Lead details</t>
        </is>
      </c>
      <c r="E243" s="13" t="inlineStr">
        <is>
          <t>Take the Lost move back</t>
        </is>
      </c>
      <c r="F243" s="14" t="inlineStr">
        <is>
          <t>1. Press "Undo" in the message straight away
2. Read the stage button and the "LEAD STAGES" card</t>
        </is>
      </c>
      <c r="G243" s="14" t="inlineStr">
        <is>
          <t>Jonathan is back at "Stage: Contacted" and the card has no Lost row.</t>
        </is>
      </c>
      <c r="H243" s="12" t="inlineStr">
        <is>
          <t>Same as 1.0</t>
        </is>
      </c>
      <c r="I243" s="11" t="inlineStr">
        <is>
          <t>Dane</t>
        </is>
      </c>
      <c r="J243" s="15" t="n"/>
      <c r="K243" s="15" t="n"/>
      <c r="L243" s="15" t="n"/>
      <c r="M243" s="16" t="n"/>
      <c r="N243" s="17" t="n"/>
      <c r="O243" s="17" t="n"/>
      <c r="P243" s="15" t="n"/>
    </row>
    <row r="244">
      <c r="A244" s="11" t="n">
        <v>9</v>
      </c>
      <c r="B244" s="11" t="inlineStr">
        <is>
          <t>9.10</t>
        </is>
      </c>
      <c r="C244" s="12" t="inlineStr">
        <is>
          <t>Send Qanvast leads back</t>
        </is>
      </c>
      <c r="D244" s="12" t="inlineStr">
        <is>
          <t>Leads</t>
        </is>
      </c>
      <c r="E244" s="13" t="inlineStr">
        <is>
          <t>Return a Qanvast lead, then undo it</t>
        </is>
      </c>
      <c r="F244" s="14" t="inlineStr">
        <is>
          <t>1. On Leads, open ⋮ on Gavin See's row, then "Return Lead"
2. Read the info line and point at "Rules"; "Select a reason": Lead not contactable, a first-outreach date, attempts 3
3. Press "Next", then "Confirm"
4. Press "Undo" in the message</t>
        </is>
      </c>
      <c r="G244" s="14" t="inlineStr">
        <is>
          <t>The line shows his return window and "0 of 2 returns used"; "Lead returned successfully"; after Undo he is back in Contacted.</t>
        </is>
      </c>
      <c r="H244" s="12" t="inlineStr">
        <is>
          <t>Different from 1.0: any stage; the wizard parks it Lost</t>
        </is>
      </c>
      <c r="I244" s="11" t="inlineStr">
        <is>
          <t>Dane</t>
        </is>
      </c>
      <c r="J244" s="15" t="n"/>
      <c r="K244" s="15" t="n"/>
      <c r="L244" s="15" t="n"/>
      <c r="M244" s="16" t="n"/>
      <c r="N244" s="17" t="n"/>
      <c r="O244" s="17" t="n"/>
      <c r="P244" s="15" t="n"/>
    </row>
    <row r="245">
      <c r="A245" s="11" t="n">
        <v>9</v>
      </c>
      <c r="B245" s="11" t="inlineStr">
        <is>
          <t>9.11</t>
        </is>
      </c>
      <c r="C245" s="12" t="inlineStr">
        <is>
          <t>Send Qanvast leads back</t>
        </is>
      </c>
      <c r="D245" s="12" t="inlineStr">
        <is>
          <t>Lead details</t>
        </is>
      </c>
      <c r="E245" s="13" t="inlineStr">
        <is>
          <t>Return another Qanvast lead for good</t>
        </is>
      </c>
      <c r="F245" s="14" t="inlineStr">
        <is>
          <t>1. Open Jasmine Lee, then ⋮ ("More options") › "Return Lead"
2. "Lead refused to meet up"; tick "Changed mind about renovation"; add the date and attempts
3. Press "Next", read "Term of service", press "Confirm"</t>
        </is>
      </c>
      <c r="G245" s="14" t="inlineStr">
        <is>
          <t>"Lead returned successfully"; her header shows RETURN PROCESSING, the stage is Lost, a "LEAD RETURNED" card appears and a "Respond to Qanvast team" task.</t>
        </is>
      </c>
      <c r="H245" s="12" t="inlineStr">
        <is>
          <t>Same as 1.0</t>
        </is>
      </c>
      <c r="I245" s="11" t="inlineStr">
        <is>
          <t>Dane</t>
        </is>
      </c>
      <c r="J245" s="15" t="n"/>
      <c r="K245" s="15" t="n"/>
      <c r="L245" s="15" t="n"/>
      <c r="M245" s="16" t="n"/>
      <c r="N245" s="17" t="n"/>
      <c r="O245" s="17" t="n"/>
      <c r="P245" s="15" t="n"/>
    </row>
    <row r="246">
      <c r="A246" s="11" t="n">
        <v>9</v>
      </c>
      <c r="B246" s="11" t="inlineStr">
        <is>
          <t>9.12</t>
        </is>
      </c>
      <c r="C246" s="12" t="inlineStr">
        <is>
          <t>Send Qanvast leads back</t>
        </is>
      </c>
      <c r="D246" s="12" t="inlineStr">
        <is>
          <t>Leads</t>
        </is>
      </c>
      <c r="E246" s="13" t="inlineStr">
        <is>
          <t>Track returns in Qanvast Ops and export them</t>
        </is>
      </c>
      <c r="F246" s="14" t="inlineStr">
        <is>
          <t>1. Click "Qanvast Ops" in the side navigation
2. Click "All Leads (…)", then "Return Processing"
3. Open ⋮ ("More options") › "Export all as…", press "Export"</t>
        </is>
      </c>
      <c r="G246" s="14" t="inlineStr">
        <is>
          <t>Jasmine Lee is listed RETURN PROCESSING with her Return window; a file downloads.</t>
        </is>
      </c>
      <c r="H246" s="12" t="inlineStr">
        <is>
          <t>Different from 1.0: the return window is shown, not enforced</t>
        </is>
      </c>
      <c r="I246" s="11" t="inlineStr">
        <is>
          <t>Dane</t>
        </is>
      </c>
      <c r="J246" s="15" t="n"/>
      <c r="K246" s="15" t="n"/>
      <c r="L246" s="15" t="n"/>
      <c r="M246" s="16" t="n"/>
      <c r="N246" s="17" t="n"/>
      <c r="O246" s="17" t="n"/>
      <c r="P246" s="15" t="n"/>
    </row>
    <row r="247">
      <c r="A247" s="11" t="n">
        <v>9</v>
      </c>
      <c r="B247" s="11" t="inlineStr">
        <is>
          <t>9.13</t>
        </is>
      </c>
      <c r="C247" s="12" t="inlineStr">
        <is>
          <t>Portal and tidy-up</t>
        </is>
      </c>
      <c r="D247" s="12" t="inlineStr">
        <is>
          <t>Lead details</t>
        </is>
      </c>
      <c r="E247" s="13" t="inlineStr">
        <is>
          <t>Invite a client to the homeowner portal</t>
        </is>
      </c>
      <c r="F247" s="14" t="inlineStr">
        <is>
          <t>1. Open Gerald Tan, then ⋮ ("More options") › "Invite to Portal"
2. Read the "Invite to Portal" panel, then press "Invite on WhatsApp"
3. A WhatsApp tab opens — close it, do not send
4. Press "Done"</t>
        </is>
      </c>
      <c r="G247" s="14" t="inlineStr">
        <is>
          <t>"Invite to Portal" opens beside the page: under "Who can open their page", Gerald Tan, "9887 3012 · Not invited yet", a grey "Not invited" chip. Then "WhatsApp opened with the invite" and the chip reads "Invited, not opened"; after Done the left column's "Portal" row reads "Invited" with today's date and a "Client messages" link.</t>
        </is>
      </c>
      <c r="H247" s="12" t="inlineStr">
        <is>
          <t>Different from 1.0: sent by WhatsApp; the invite is recorded</t>
        </is>
      </c>
      <c r="I247" s="11" t="inlineStr">
        <is>
          <t>Dane</t>
        </is>
      </c>
      <c r="J247" s="15" t="n"/>
      <c r="K247" s="15" t="n"/>
      <c r="L247" s="15" t="n"/>
      <c r="M247" s="16" t="n"/>
      <c r="N247" s="17" t="n"/>
      <c r="O247" s="17" t="n"/>
      <c r="P247" s="15" t="n"/>
    </row>
    <row r="248">
      <c r="A248" s="11" t="n">
        <v>9</v>
      </c>
      <c r="B248" s="11" t="inlineStr">
        <is>
          <t>9.14</t>
        </is>
      </c>
      <c r="C248" s="12" t="inlineStr">
        <is>
          <t>Portal and tidy-up</t>
        </is>
      </c>
      <c r="D248" s="12" t="inlineStr">
        <is>
          <t>Leads</t>
        </is>
      </c>
      <c r="E248" s="13" t="inlineStr">
        <is>
          <t>Delete a lead you don't need</t>
        </is>
      </c>
      <c r="F248" s="14" t="inlineStr">
        <is>
          <t>1. On Leads, open ⋮ on Cheryl Lim's row, then "Delete"
2. "Reason": Duplicate
3. Press "Delete"</t>
        </is>
      </c>
      <c r="G248" s="14" t="inlineStr">
        <is>
          <t>"Delete this lead?" says she is deleted for good in 30 days; "Lead deleted" (with Undo) and she leaves the list.</t>
        </is>
      </c>
      <c r="H248" s="12" t="inlineStr">
        <is>
          <t>Different from 1.0: Delete with a reason replaces Archive</t>
        </is>
      </c>
      <c r="I248" s="11" t="inlineStr">
        <is>
          <t>Dane</t>
        </is>
      </c>
      <c r="J248" s="15" t="n"/>
      <c r="K248" s="15" t="n"/>
      <c r="L248" s="15" t="n"/>
      <c r="M248" s="16" t="n"/>
      <c r="N248" s="17" t="n"/>
      <c r="O248" s="17" t="n"/>
      <c r="P248" s="15" t="n"/>
    </row>
    <row r="249">
      <c r="A249" s="11" t="n">
        <v>9</v>
      </c>
      <c r="B249" s="11" t="inlineStr">
        <is>
          <t>9.15</t>
        </is>
      </c>
      <c r="C249" s="12" t="inlineStr">
        <is>
          <t>Portal and tidy-up</t>
        </is>
      </c>
      <c r="D249" s="12" t="inlineStr">
        <is>
          <t>Leads</t>
        </is>
      </c>
      <c r="E249" s="13" t="inlineStr">
        <is>
          <t>Bring the deleted lead back</t>
        </is>
      </c>
      <c r="F249" s="14" t="inlineStr">
        <is>
          <t>1. Click ⋮ ("More options"), then "Deleted Leads"
2. On Cheryl Lim's row press "Restore"
3. Close the sheet</t>
        </is>
      </c>
      <c r="G249" s="14" t="inlineStr">
        <is>
          <t>"Lead restored"; Cheryl Lim is back in the list at Contacted.</t>
        </is>
      </c>
      <c r="H249" s="12" t="inlineStr">
        <is>
          <t>Different from 1.0: Deleted Leads replaces Archived Leads</t>
        </is>
      </c>
      <c r="I249" s="11" t="inlineStr">
        <is>
          <t>Dane</t>
        </is>
      </c>
      <c r="J249" s="15" t="n"/>
      <c r="K249" s="15" t="n"/>
      <c r="L249" s="15" t="n"/>
      <c r="M249" s="16" t="n"/>
      <c r="N249" s="17" t="n"/>
      <c r="O249" s="17" t="n"/>
      <c r="P249" s="15" t="n"/>
    </row>
    <row r="250" ht="22" customHeight="1">
      <c r="A250" s="9" t="inlineStr">
        <is>
          <t>Chapter 10 · A designer’s day — View as Sarah, James, Hui Min and Nurul — what each role sees and may do.</t>
        </is>
      </c>
      <c r="M250" s="10" t="n"/>
    </row>
    <row r="251">
      <c r="A251" s="11" t="n">
        <v>10</v>
      </c>
      <c r="B251" s="11" t="inlineStr">
        <is>
          <t>10.01</t>
        </is>
      </c>
      <c r="C251" s="12" t="inlineStr">
        <is>
          <t>Set the team rule</t>
        </is>
      </c>
      <c r="D251" s="12" t="inlineStr">
        <is>
          <t>Settings</t>
        </is>
      </c>
      <c r="E251" s="13" t="inlineStr">
        <is>
          <t>Let each person see only the leads they work on</t>
        </is>
      </c>
      <c r="F251" s="14" t="inlineStr">
        <is>
          <t>1. Side navigation "Settings" — it opens on "Roles &amp; access"
2. Under "Who sees leads", pick "Only the leads assigned to them"
3. Read "Who may do what" below</t>
        </is>
      </c>
      <c r="G251" s="14" t="inlineStr">
        <is>
          <t>The choice stays picked; in "Who may do what", "See a lead" reads "Their team’s" for Manager and "Their own" for Designer</t>
        </is>
      </c>
      <c r="H251" s="12" t="inlineStr">
        <is>
          <t>Different from 1.0: a studio rule, checked everywhere</t>
        </is>
      </c>
      <c r="I251" s="11" t="inlineStr">
        <is>
          <t>Dane</t>
        </is>
      </c>
      <c r="J251" s="15" t="n"/>
      <c r="K251" s="15" t="n"/>
      <c r="L251" s="15" t="n"/>
      <c r="M251" s="16" t="n"/>
      <c r="N251" s="17" t="n"/>
      <c r="O251" s="17" t="n"/>
      <c r="P251" s="15" t="n"/>
    </row>
    <row r="252">
      <c r="A252" s="11" t="n">
        <v>10</v>
      </c>
      <c r="B252" s="11" t="inlineStr">
        <is>
          <t>10.02</t>
        </is>
      </c>
      <c r="C252" s="12" t="inlineStr">
        <is>
          <t>A day as Sarah, designer</t>
        </is>
      </c>
      <c r="D252" s="12" t="inlineStr">
        <is>
          <t>Shell</t>
        </is>
      </c>
      <c r="E252" s="13" t="inlineStr">
        <is>
          <t>Switch to Sarah, a designer on James’s team</t>
        </is>
      </c>
      <c r="F252" s="14" t="inlineStr">
        <is>
          <t>1. Click the "Demo Studio" block at the bottom of the side navigation
2. In the "View as" menu, click "Sarah"</t>
        </is>
      </c>
      <c r="G252" s="14" t="inlineStr">
        <is>
          <t>The menu is tagged "Demo only" and lists the team with roles ("Designer · reports to James"); the block then reads "Viewing as Sarah"</t>
        </is>
      </c>
      <c r="H252" s="12" t="inlineStr">
        <is>
          <t>New in 2.0</t>
        </is>
      </c>
      <c r="I252" s="18" t="inlineStr">
        <is>
          <t>Sarah</t>
        </is>
      </c>
      <c r="J252" s="15" t="n"/>
      <c r="K252" s="15" t="n"/>
      <c r="L252" s="15" t="n"/>
      <c r="M252" s="16" t="n"/>
      <c r="N252" s="17" t="n"/>
      <c r="O252" s="17" t="n"/>
      <c r="P252" s="15" t="n"/>
    </row>
    <row r="253">
      <c r="A253" s="11" t="n">
        <v>10</v>
      </c>
      <c r="B253" s="11" t="inlineStr">
        <is>
          <t>10.03</t>
        </is>
      </c>
      <c r="C253" s="12" t="inlineStr">
        <is>
          <t>A day as Sarah, designer</t>
        </is>
      </c>
      <c r="D253" s="12" t="inlineStr">
        <is>
          <t>Leads</t>
        </is>
      </c>
      <c r="E253" s="13" t="inlineStr">
        <is>
          <t>Check Sarah sees only her own leads</t>
        </is>
      </c>
      <c r="F253" s="14" t="inlineStr">
        <is>
          <t>1. Open "Leads"
2. Read the list and the count on the "All Leads" pill</t>
        </is>
      </c>
      <c r="G253" s="14" t="inlineStr">
        <is>
          <t>Only her leads, e.g. Farah Ahmad, Grace Lim, Harpreet Kaur, Kenji Sato (and Sophia Wong if hers); no Gerald Tan or Serena Koh</t>
        </is>
      </c>
      <c r="H253" s="12" t="inlineStr">
        <is>
          <t>Different from 1.0: 1.0 hid other leads only on screen</t>
        </is>
      </c>
      <c r="I253" s="18" t="inlineStr">
        <is>
          <t>Sarah</t>
        </is>
      </c>
      <c r="J253" s="15" t="n"/>
      <c r="K253" s="15" t="n"/>
      <c r="L253" s="15" t="n"/>
      <c r="M253" s="16" t="n"/>
      <c r="N253" s="17" t="n"/>
      <c r="O253" s="17" t="n"/>
      <c r="P253" s="15" t="n"/>
    </row>
    <row r="254">
      <c r="A254" s="11" t="n">
        <v>10</v>
      </c>
      <c r="B254" s="11" t="inlineStr">
        <is>
          <t>10.04</t>
        </is>
      </c>
      <c r="C254" s="12" t="inlineStr">
        <is>
          <t>A day as Sarah, designer</t>
        </is>
      </c>
      <c r="D254" s="12" t="inlineStr">
        <is>
          <t>Leads</t>
        </is>
      </c>
      <c r="E254" s="13" t="inlineStr">
        <is>
          <t>Try to hand one of her leads to someone else</t>
        </is>
      </c>
      <c r="F254" s="14" t="inlineStr">
        <is>
          <t>1. On Harpreet Kaur’s row, click the person-plus icon ("Assign members") in "Members"
2. Try to tick another member</t>
        </is>
      </c>
      <c r="G254" s="14" t="inlineStr">
        <is>
          <t>"Assign Member" opens but nothing can be ticked; it says "Designers keep the leads assigned to them. Ask your manager to reassign."</t>
        </is>
      </c>
      <c r="H254" s="12" t="inlineStr">
        <is>
          <t>Different from 1.0: designers could reassign in 1.0</t>
        </is>
      </c>
      <c r="I254" s="18" t="inlineStr">
        <is>
          <t>Sarah</t>
        </is>
      </c>
      <c r="J254" s="15" t="n"/>
      <c r="K254" s="15" t="n"/>
      <c r="L254" s="15" t="n"/>
      <c r="M254" s="16" t="n"/>
      <c r="N254" s="17" t="n"/>
      <c r="O254" s="17" t="n"/>
      <c r="P254" s="15" t="n"/>
    </row>
    <row r="255">
      <c r="A255" s="11" t="n">
        <v>10</v>
      </c>
      <c r="B255" s="11" t="inlineStr">
        <is>
          <t>10.05</t>
        </is>
      </c>
      <c r="C255" s="12" t="inlineStr">
        <is>
          <t>A day as Sarah, designer</t>
        </is>
      </c>
      <c r="D255" s="12" t="inlineStr">
        <is>
          <t>Price book</t>
        </is>
      </c>
      <c r="E255" s="13" t="inlineStr">
        <is>
          <t>Propose a new item for the price book</t>
        </is>
      </c>
      <c r="F255" s="14" t="inlineStr">
        <is>
          <t>1. Side navigation "Company" › "Price book" › "New" › "Propose an item"
2. "Item name": Rattan wardrobe door · "Unit": Pieces · "Cost (S$)": 180 · "Markup (S$)": 70 · "Category": Carpentry
3. Click "Propose"</t>
        </is>
      </c>
      <c r="G255" s="14" t="inlineStr">
        <is>
          <t>"Rattan wardrobe door proposed — it’s on your quotes now; an Owner or an Admin approves it for the studio"; the item wears a "Proposed" chip</t>
        </is>
      </c>
      <c r="H255" s="12" t="inlineStr">
        <is>
          <t>Different from 1.0: 1.0’s pending items were live for everyone</t>
        </is>
      </c>
      <c r="I255" s="18" t="inlineStr">
        <is>
          <t>Sarah</t>
        </is>
      </c>
      <c r="J255" s="15" t="n"/>
      <c r="K255" s="15" t="n"/>
      <c r="L255" s="15" t="n"/>
      <c r="M255" s="16" t="n"/>
      <c r="N255" s="17" t="n"/>
      <c r="O255" s="17" t="n"/>
      <c r="P255" s="15" t="n"/>
    </row>
    <row r="256">
      <c r="A256" s="11" t="n">
        <v>10</v>
      </c>
      <c r="B256" s="11" t="inlineStr">
        <is>
          <t>10.06</t>
        </is>
      </c>
      <c r="C256" s="12" t="inlineStr">
        <is>
          <t>A day as Sarah, designer</t>
        </is>
      </c>
      <c r="D256" s="12" t="inlineStr">
        <is>
          <t>Templates</t>
        </is>
      </c>
      <c r="E256" s="13" t="inlineStr">
        <is>
          <t>Design a quote template and submit it for approval</t>
        </is>
      </c>
      <c r="F256" s="14" t="inlineStr">
        <is>
          <t>1. "Company" › "Templates" › "Quotes" › "New" › "Use a ready-made design"
2. Pick "Scope", type Sarah Scope in "Template name", click "Create template"
3. Click "Submit for approval", write a note in "What changed", click "Submit"</t>
        </is>
      </c>
      <c r="G256" s="14" t="inlineStr">
        <is>
          <t>"Submitted for approval"; a bar says Sarah submitted it and "Awaiting an Owner or Admin", and the design is locked</t>
        </is>
      </c>
      <c r="H256" s="12" t="inlineStr">
        <is>
          <t>Different from 1.0: any role could change templates</t>
        </is>
      </c>
      <c r="I256" s="18" t="inlineStr">
        <is>
          <t>Sarah</t>
        </is>
      </c>
      <c r="J256" s="15" t="n"/>
      <c r="K256" s="15" t="n"/>
      <c r="L256" s="15" t="n"/>
      <c r="M256" s="16" t="n"/>
      <c r="N256" s="17" t="n"/>
      <c r="O256" s="17" t="n"/>
      <c r="P256" s="15" t="n"/>
    </row>
    <row r="257">
      <c r="A257" s="11" t="n">
        <v>10</v>
      </c>
      <c r="B257" s="11" t="inlineStr">
        <is>
          <t>10.07</t>
        </is>
      </c>
      <c r="C257" s="12" t="inlineStr">
        <is>
          <t>A day as Sarah, designer</t>
        </is>
      </c>
      <c r="D257" s="12" t="inlineStr">
        <is>
          <t>Quotes</t>
        </is>
      </c>
      <c r="E257" s="13" t="inlineStr">
        <is>
          <t>Revise Harpreet Kaur’s quote and send it for approval</t>
        </is>
      </c>
      <c r="F257" s="14" t="inlineStr">
        <is>
          <t>1. Open Harpreet Kaur › "Quotes" and open her quote
2. Click ⋮ "More options" › "Revise — new version", then "Start version …"
3. Click "Send"</t>
        </is>
      </c>
      <c r="G257" s="14" t="inlineStr">
        <is>
          <t>The status becomes "Sent for Approval"; a bar says Sarah sent it for approval, "Waiting for an Owner, an Admin or the backup approver"</t>
        </is>
      </c>
      <c r="H257" s="12" t="inlineStr">
        <is>
          <t>Same as 1.0</t>
        </is>
      </c>
      <c r="I257" s="18" t="inlineStr">
        <is>
          <t>Sarah</t>
        </is>
      </c>
      <c r="J257" s="15" t="n"/>
      <c r="K257" s="15" t="n"/>
      <c r="L257" s="15" t="n"/>
      <c r="M257" s="16" t="n"/>
      <c r="N257" s="17" t="n"/>
      <c r="O257" s="17" t="n"/>
      <c r="P257" s="15" t="n"/>
    </row>
    <row r="258">
      <c r="A258" s="11" t="n">
        <v>10</v>
      </c>
      <c r="B258" s="11" t="inlineStr">
        <is>
          <t>10.08</t>
        </is>
      </c>
      <c r="C258" s="12" t="inlineStr">
        <is>
          <t>A day as Sarah, designer</t>
        </is>
      </c>
      <c r="D258" s="12" t="inlineStr">
        <is>
          <t>Settings</t>
        </is>
      </c>
      <c r="E258" s="13" t="inlineStr">
        <is>
          <t>Open Settings as a designer</t>
        </is>
      </c>
      <c r="F258" s="14" t="inlineStr">
        <is>
          <t>1. Side navigation "Settings" › "Lead management"
2. Try to change a choice or a switch</t>
        </is>
      </c>
      <c r="G258" s="14" t="inlineStr">
        <is>
          <t>Every value shows but nothing changes; a lock line under the title reads "Only Owners and Admins change these." The "Lead stages" card says "Only Owners and Admins change the lead settings." and its "Leads now" counts only the leads Sarah sees</t>
        </is>
      </c>
      <c r="H258" s="12" t="inlineStr">
        <is>
          <t>Different from 1.0: 1.0 let almost anyone change settings</t>
        </is>
      </c>
      <c r="I258" s="18" t="inlineStr">
        <is>
          <t>Sarah</t>
        </is>
      </c>
      <c r="J258" s="15" t="n"/>
      <c r="K258" s="15" t="n"/>
      <c r="L258" s="15" t="n"/>
      <c r="M258" s="16" t="n"/>
      <c r="N258" s="17" t="n"/>
      <c r="O258" s="17" t="n"/>
      <c r="P258" s="15" t="n"/>
    </row>
    <row r="259">
      <c r="A259" s="11" t="n">
        <v>10</v>
      </c>
      <c r="B259" s="11" t="inlineStr">
        <is>
          <t>10.09</t>
        </is>
      </c>
      <c r="C259" s="12" t="inlineStr">
        <is>
          <t>James, the manager</t>
        </is>
      </c>
      <c r="D259" s="12" t="inlineStr">
        <is>
          <t>Leads</t>
        </is>
      </c>
      <c r="E259" s="13" t="inlineStr">
        <is>
          <t>Switch to James and see his team’s leads</t>
        </is>
      </c>
      <c r="F259" s="14" t="inlineStr">
        <is>
          <t>1. "Demo Studio" block › "View as" › "James"
2. Open "Leads"</t>
        </is>
      </c>
      <c r="G259" s="14" t="inlineStr">
        <is>
          <t>His own and his designers’ leads — e.g. Arjun Mehta, Harpreet Kaur (Sarah’s), Aisha Rahman (Michelle’s) — but not Serena Koh or Jonathan Teo</t>
        </is>
      </c>
      <c r="H259" s="12" t="inlineStr">
        <is>
          <t>Different from 1.0: managers were a one-studio add-on</t>
        </is>
      </c>
      <c r="I259" s="18" t="inlineStr">
        <is>
          <t>James</t>
        </is>
      </c>
      <c r="J259" s="15" t="n"/>
      <c r="K259" s="15" t="n"/>
      <c r="L259" s="15" t="n"/>
      <c r="M259" s="16" t="n"/>
      <c r="N259" s="17" t="n"/>
      <c r="O259" s="17" t="n"/>
      <c r="P259" s="15" t="n"/>
    </row>
    <row r="260">
      <c r="A260" s="11" t="n">
        <v>10</v>
      </c>
      <c r="B260" s="11" t="inlineStr">
        <is>
          <t>10.10</t>
        </is>
      </c>
      <c r="C260" s="12" t="inlineStr">
        <is>
          <t>James, the manager</t>
        </is>
      </c>
      <c r="D260" s="12" t="inlineStr">
        <is>
          <t>Leads</t>
        </is>
      </c>
      <c r="E260" s="13" t="inlineStr">
        <is>
          <t>Reassign a lead within James’s team only</t>
        </is>
      </c>
      <c r="F260" s="14" t="inlineStr">
        <is>
          <t>1. On Grace Lim’s row, click the person-plus icon ("Assign members")
2. See who can be ticked, then close without saving</t>
        </is>
      </c>
      <c r="G260" s="14" t="inlineStr">
        <is>
          <t>Only James, Sarah and Michelle can be ticked; every other member is greyed out</t>
        </is>
      </c>
      <c r="H260" s="12" t="inlineStr">
        <is>
          <t>Same as 1.0</t>
        </is>
      </c>
      <c r="I260" s="18" t="inlineStr">
        <is>
          <t>James</t>
        </is>
      </c>
      <c r="J260" s="15" t="n"/>
      <c r="K260" s="15" t="n"/>
      <c r="L260" s="15" t="n"/>
      <c r="M260" s="16" t="n"/>
      <c r="N260" s="17" t="n"/>
      <c r="O260" s="17" t="n"/>
      <c r="P260" s="15" t="n"/>
    </row>
    <row r="261">
      <c r="A261" s="11" t="n">
        <v>10</v>
      </c>
      <c r="B261" s="11" t="inlineStr">
        <is>
          <t>10.11</t>
        </is>
      </c>
      <c r="C261" s="12" t="inlineStr">
        <is>
          <t>Back to Dane: answer the team</t>
        </is>
      </c>
      <c r="D261" s="12" t="inlineStr">
        <is>
          <t>Notifications</t>
        </is>
      </c>
      <c r="E261" s="13" t="inlineStr">
        <is>
          <t>Return to Dane and see what is waiting</t>
        </is>
      </c>
      <c r="F261" s="14" t="inlineStr">
        <is>
          <t>1. "Demo Studio" block › "View as" › "Dane"
2. Click "Notifications" (the bell)
3. Close it and click "Company" in the side navigation</t>
        </is>
      </c>
      <c r="G261" s="14" t="inlineStr">
        <is>
          <t>The bell has "Quote OM-10006 needs your approval" and "Sarah proposed “Rattan wardrobe door” for My Items"; Company shows awaiting and proposed counts</t>
        </is>
      </c>
      <c r="H261" s="12" t="inlineStr">
        <is>
          <t>Different from 1.0: bell notices instead of approval tasks</t>
        </is>
      </c>
      <c r="I261" s="11" t="inlineStr">
        <is>
          <t>Dane</t>
        </is>
      </c>
      <c r="J261" s="15" t="n"/>
      <c r="K261" s="15" t="n"/>
      <c r="L261" s="15" t="n"/>
      <c r="M261" s="16" t="n"/>
      <c r="N261" s="17" t="n"/>
      <c r="O261" s="17" t="n"/>
      <c r="P261" s="15" t="n"/>
    </row>
    <row r="262">
      <c r="A262" s="11" t="n">
        <v>10</v>
      </c>
      <c r="B262" s="11" t="inlineStr">
        <is>
          <t>10.12</t>
        </is>
      </c>
      <c r="C262" s="12" t="inlineStr">
        <is>
          <t>Back to Dane: answer the team</t>
        </is>
      </c>
      <c r="D262" s="12" t="inlineStr">
        <is>
          <t>Quotes</t>
        </is>
      </c>
      <c r="E262" s="13" t="inlineStr">
        <is>
          <t>Approve Sarah’s quote</t>
        </is>
      </c>
      <c r="F262" s="14" t="inlineStr">
        <is>
          <t>1. In the bell, click "Quote OM-10006 needs your approval"
2. Click "Approve" in the bar under the tabs</t>
        </is>
      </c>
      <c r="G262" s="14" t="inlineStr">
        <is>
          <t>The bar named Sarah as the sender; after Approve, "Quote approved — Sarah can send it to the client" and the status reads "Approved"</t>
        </is>
      </c>
      <c r="H262" s="12" t="inlineStr">
        <is>
          <t>Same as 1.0</t>
        </is>
      </c>
      <c r="I262" s="11" t="inlineStr">
        <is>
          <t>Dane</t>
        </is>
      </c>
      <c r="J262" s="15" t="n"/>
      <c r="K262" s="15" t="n"/>
      <c r="L262" s="15" t="n"/>
      <c r="M262" s="16" t="n"/>
      <c r="N262" s="17" t="n"/>
      <c r="O262" s="17" t="n"/>
      <c r="P262" s="15" t="n"/>
    </row>
    <row r="263">
      <c r="A263" s="11" t="n">
        <v>10</v>
      </c>
      <c r="B263" s="11" t="inlineStr">
        <is>
          <t>10.13</t>
        </is>
      </c>
      <c r="C263" s="12" t="inlineStr">
        <is>
          <t>Back to Dane: answer the team</t>
        </is>
      </c>
      <c r="D263" s="12" t="inlineStr">
        <is>
          <t>Price book</t>
        </is>
      </c>
      <c r="E263" s="13" t="inlineStr">
        <is>
          <t>Send Sarah’s price-book item back with a note</t>
        </is>
      </c>
      <c r="F263" s="14" t="inlineStr">
        <is>
          <t>1. "Company" › "Price book", click the "2 proposed" chip (or "Kind: All" › "Proposed")
2. Open "Rattan wardrobe door"
3. Click "Send back…", write what should change, click "Send back"</t>
        </is>
      </c>
      <c r="G263" s="14" t="inlineStr">
        <is>
          <t>The item showed "Sarah proposed this item …" with "Send back…" and "Approve"; once sent back it leaves My Items</t>
        </is>
      </c>
      <c r="H263" s="12" t="inlineStr">
        <is>
          <t>Different from 1.0: the note reaches the bell, not e-mail</t>
        </is>
      </c>
      <c r="I263" s="11" t="inlineStr">
        <is>
          <t>Dane</t>
        </is>
      </c>
      <c r="J263" s="15" t="n"/>
      <c r="K263" s="15" t="n"/>
      <c r="L263" s="15" t="n"/>
      <c r="M263" s="16" t="n"/>
      <c r="N263" s="17" t="n"/>
      <c r="O263" s="17" t="n"/>
      <c r="P263" s="15" t="n"/>
    </row>
    <row r="264">
      <c r="A264" s="11" t="n">
        <v>10</v>
      </c>
      <c r="B264" s="11" t="inlineStr">
        <is>
          <t>10.14</t>
        </is>
      </c>
      <c r="C264" s="12" t="inlineStr">
        <is>
          <t>Back to Dane: answer the team</t>
        </is>
      </c>
      <c r="D264" s="12" t="inlineStr">
        <is>
          <t>Templates</t>
        </is>
      </c>
      <c r="E264" s="13" t="inlineStr">
        <is>
          <t>Approve and publish Sarah’s template</t>
        </is>
      </c>
      <c r="F264" s="14" t="inlineStr">
        <is>
          <t>1. "Company" › "Templates" › "Quotes", open "Sarah Scope" (marked "Awaiting approval")
2. Click "Approve and publish" in the bar
3. Click "Approve and publish" in the window</t>
        </is>
      </c>
      <c r="G264" s="14" t="inlineStr">
        <is>
          <t>"Sarah Scope approved and published"; its card no longer says "Awaiting approval"</t>
        </is>
      </c>
      <c r="H264" s="12" t="inlineStr">
        <is>
          <t>New in 2.0</t>
        </is>
      </c>
      <c r="I264" s="11" t="inlineStr">
        <is>
          <t>Dane</t>
        </is>
      </c>
      <c r="J264" s="15" t="n"/>
      <c r="K264" s="15" t="n"/>
      <c r="L264" s="15" t="n"/>
      <c r="M264" s="16" t="n"/>
      <c r="N264" s="17" t="n"/>
      <c r="O264" s="17" t="n"/>
      <c r="P264" s="15" t="n"/>
    </row>
    <row r="265">
      <c r="A265" s="11" t="n">
        <v>10</v>
      </c>
      <c r="B265" s="11" t="inlineStr">
        <is>
          <t>10.15</t>
        </is>
      </c>
      <c r="C265" s="12" t="inlineStr">
        <is>
          <t>An Admin’s view</t>
        </is>
      </c>
      <c r="D265" s="12" t="inlineStr">
        <is>
          <t>Settings</t>
        </is>
      </c>
      <c r="E265" s="13" t="inlineStr">
        <is>
          <t>Switch to Hui Min, the Admin, and reopen every lead</t>
        </is>
      </c>
      <c r="F265" s="14" t="inlineStr">
        <is>
          <t>1. "Demo Studio" block › "View as" › "Hui Min"
2. Open "Leads" and look for Gerald Tan
3. "Settings" › "Roles &amp; access" › "Who sees leads" › "Everyone sees every lead"</t>
        </is>
      </c>
      <c r="G265" s="14" t="inlineStr">
        <is>
          <t>Hui Min sees every lead, and Settings has no lock line; the rule goes back to everyone</t>
        </is>
      </c>
      <c r="H265" s="12" t="inlineStr">
        <is>
          <t>Same as 1.0</t>
        </is>
      </c>
      <c r="I265" s="18" t="inlineStr">
        <is>
          <t>Hui Min</t>
        </is>
      </c>
      <c r="J265" s="15" t="n"/>
      <c r="K265" s="15" t="n"/>
      <c r="L265" s="15" t="n"/>
      <c r="M265" s="16" t="n"/>
      <c r="N265" s="17" t="n"/>
      <c r="O265" s="17" t="n"/>
      <c r="P265" s="15" t="n"/>
    </row>
    <row r="266">
      <c r="A266" s="11" t="n">
        <v>10</v>
      </c>
      <c r="B266" s="11" t="inlineStr">
        <is>
          <t>10.16</t>
        </is>
      </c>
      <c r="C266" s="12" t="inlineStr">
        <is>
          <t>An Admin’s view</t>
        </is>
      </c>
      <c r="D266" s="12" t="inlineStr">
        <is>
          <t>Shell</t>
        </is>
      </c>
      <c r="E266" s="13" t="inlineStr">
        <is>
          <t>Go back to being Dane</t>
        </is>
      </c>
      <c r="F266" s="14" t="inlineStr">
        <is>
          <t>1. "Demo Studio" block › "View as" › "Dane"</t>
        </is>
      </c>
      <c r="G266" s="14" t="inlineStr">
        <is>
          <t>The block reads "Dane Bruce Lee" again and the Leads list shows every lead</t>
        </is>
      </c>
      <c r="H266" s="12" t="inlineStr">
        <is>
          <t>New in 2.0</t>
        </is>
      </c>
      <c r="I266" s="11" t="inlineStr">
        <is>
          <t>Dane</t>
        </is>
      </c>
      <c r="J266" s="15" t="n"/>
      <c r="K266" s="15" t="n"/>
      <c r="L266" s="15" t="n"/>
      <c r="M266" s="16" t="n"/>
      <c r="N266" s="17" t="n"/>
      <c r="O266" s="17" t="n"/>
      <c r="P266" s="15" t="n"/>
    </row>
    <row r="267">
      <c r="A267" s="11" t="n">
        <v>10</v>
      </c>
      <c r="B267" s="11" t="inlineStr">
        <is>
          <t>10.17</t>
        </is>
      </c>
      <c r="C267" s="12" t="inlineStr">
        <is>
          <t>The lead desk</t>
        </is>
      </c>
      <c r="D267" s="12" t="inlineStr">
        <is>
          <t>Shell</t>
        </is>
      </c>
      <c r="E267" s="13" t="inlineStr">
        <is>
          <t>Switch to Nurul Huda, who looks after the studio’s leads</t>
        </is>
      </c>
      <c r="F267" s="14" t="inlineStr">
        <is>
          <t>1. "Demo Studio" block › "View as" › "Nurul Huda"
2. Read the side navigation
3. Open "Leads" and look for Kevin Ng and Serena Koh</t>
        </is>
      </c>
      <c r="G267" s="14" t="inlineStr">
        <is>
          <t>Her row in the menu reads "Marketing"; the message says "Viewing as Nurul Huda · Marketing" (from a page Marketing can’t open, she is taken to the Dashboard). The side navigation keeps Dashboard, Tasks, Leads, Company, Notifications and Settings — no Projects, Messages, Tools or Qanvast Ops. Leads lists every lead, though she is on none of them.</t>
        </is>
      </c>
      <c r="H267" s="12" t="inlineStr">
        <is>
          <t>New in 2.0</t>
        </is>
      </c>
      <c r="I267" s="18" t="inlineStr">
        <is>
          <t>Nurul Huda</t>
        </is>
      </c>
      <c r="J267" s="15" t="n"/>
      <c r="K267" s="15" t="n"/>
      <c r="L267" s="15" t="n"/>
      <c r="M267" s="16" t="n"/>
      <c r="N267" s="17" t="n"/>
      <c r="O267" s="17" t="n"/>
      <c r="P267" s="15" t="n"/>
    </row>
    <row r="268">
      <c r="A268" s="11" t="n">
        <v>10</v>
      </c>
      <c r="B268" s="11" t="inlineStr">
        <is>
          <t>10.18</t>
        </is>
      </c>
      <c r="C268" s="12" t="inlineStr">
        <is>
          <t>The lead desk</t>
        </is>
      </c>
      <c r="D268" s="12" t="inlineStr">
        <is>
          <t>Leads</t>
        </is>
      </c>
      <c r="E268" s="13" t="inlineStr">
        <is>
          <t>Check Nurul can’t move a lead into Quote Sent</t>
        </is>
      </c>
      <c r="F268" s="14" t="inlineStr">
        <is>
          <t>1. Open Grace Lim (in Met) and read the tabs
2. Click "Stage: Met" and point at "Quote Sent", then "Won"
3. Press Esc; click "Settings" in the side navigation
4. "Demo Studio" block › "View as" › "Dane"</t>
        </is>
      </c>
      <c r="G268" s="14" t="inlineStr">
        <is>
          <t>The tabs are Overview · Tasks · Files · Notes &amp; Logs · Questionnaire · Activity — no Quotes, Contracts or Meetings. Quote Sent and Won are greyed: "Quote Sent and Won go with a quote — the lead’s designer moves it there". Settings opens on Lead management alone, hers to change. The block reads Dane again.</t>
        </is>
      </c>
      <c r="H268" s="12" t="inlineStr">
        <is>
          <t>New in 2.0</t>
        </is>
      </c>
      <c r="I268" s="18" t="inlineStr">
        <is>
          <t>Nurul Huda</t>
        </is>
      </c>
      <c r="J268" s="15" t="n"/>
      <c r="K268" s="15" t="n"/>
      <c r="L268" s="15" t="n"/>
      <c r="M268" s="16" t="n"/>
      <c r="N268" s="17" t="n"/>
      <c r="O268" s="17" t="n"/>
      <c r="P268" s="15" t="n"/>
    </row>
    <row r="269" ht="22" customHeight="1">
      <c r="A269" s="9" t="inlineStr">
        <is>
          <t>Chapter 11 · The owner’s week — Tasks, the bell, Insights and the studio-wide lists.</t>
        </is>
      </c>
      <c r="M269" s="10" t="n"/>
    </row>
    <row r="270">
      <c r="A270" s="11" t="n">
        <v>11</v>
      </c>
      <c r="B270" s="11" t="inlineStr">
        <is>
          <t>11.01</t>
        </is>
      </c>
      <c r="C270" s="12" t="inlineStr">
        <is>
          <t>Monday morning: what needs doing</t>
        </is>
      </c>
      <c r="D270" s="12" t="inlineStr">
        <is>
          <t>Tasks</t>
        </is>
      </c>
      <c r="E270" s="13" t="inlineStr">
        <is>
          <t>See every task in the studio in one list</t>
        </is>
      </c>
      <c r="F270" s="14" t="inlineStr">
        <is>
          <t>1. Click "Tasks" in the side navigation — its red number is your own overdue tasks, so it opens on "My Tasks" with "Overdue" on
2. Click the "My Tasks" pill › "All Tasks"</t>
        </is>
      </c>
      <c r="G270" s="14" t="inlineStr">
        <is>
          <t>"Tasks" first shows only your overdue tasks (an "Overdue · n" chip lit); with "All Tasks" it lists every lead's tasks and the studio's own, with a "Lead" column. The side navigation's Tasks item counts your overdue ones.</t>
        </is>
      </c>
      <c r="H270" s="12" t="inlineStr">
        <is>
          <t>Same as 1.0</t>
        </is>
      </c>
      <c r="I270" s="11" t="inlineStr">
        <is>
          <t>Dane</t>
        </is>
      </c>
      <c r="J270" s="15" t="n"/>
      <c r="K270" s="15" t="n"/>
      <c r="L270" s="15" t="n"/>
      <c r="M270" s="16" t="n"/>
      <c r="N270" s="17" t="n"/>
      <c r="O270" s="17" t="n"/>
      <c r="P270" s="15" t="n"/>
    </row>
    <row r="271">
      <c r="A271" s="11" t="n">
        <v>11</v>
      </c>
      <c r="B271" s="11" t="inlineStr">
        <is>
          <t>11.02</t>
        </is>
      </c>
      <c r="C271" s="12" t="inlineStr">
        <is>
          <t>Monday morning: what needs doing</t>
        </is>
      </c>
      <c r="D271" s="12" t="inlineStr">
        <is>
          <t>Tasks</t>
        </is>
      </c>
      <c r="E271" s="13" t="inlineStr">
        <is>
          <t>Add a studio chore that belongs to no lead</t>
        </is>
      </c>
      <c r="F271" s="14" t="inlineStr">
        <is>
          <t>1. Click "Add Task" › "Create New Task"
2. Type Order new sample boards for the showroom, leave the Lead cell on "Studio", press Enter, then Esc
3. Click the "All Tasks" chip › "Studio Tasks"</t>
        </is>
      </c>
      <c r="G271" s="14" t="inlineStr">
        <is>
          <t>"Task added" and the new task stays at the top of the list, glowing once; Studio Tasks lists it with the studio's other chores (e.g. "Update the showroom price list for Q4"), each reading "Studio" as its Lead.</t>
        </is>
      </c>
      <c r="H271" s="12" t="inlineStr">
        <is>
          <t>Same as 1.0</t>
        </is>
      </c>
      <c r="I271" s="11" t="inlineStr">
        <is>
          <t>Dane</t>
        </is>
      </c>
      <c r="J271" s="15" t="n"/>
      <c r="K271" s="15" t="n"/>
      <c r="L271" s="15" t="n"/>
      <c r="M271" s="16" t="n"/>
      <c r="N271" s="17" t="n"/>
      <c r="O271" s="17" t="n"/>
      <c r="P271" s="15" t="n"/>
    </row>
    <row r="272">
      <c r="A272" s="11" t="n">
        <v>11</v>
      </c>
      <c r="B272" s="11" t="inlineStr">
        <is>
          <t>11.03</t>
        </is>
      </c>
      <c r="C272" s="12" t="inlineStr">
        <is>
          <t>Monday morning: what needs doing</t>
        </is>
      </c>
      <c r="D272" s="12" t="inlineStr">
        <is>
          <t>Tasks</t>
        </is>
      </c>
      <c r="E272" s="13" t="inlineStr">
        <is>
          <t>Show only Sophia Wong's tasks</t>
        </is>
      </c>
      <c r="F272" s="14" t="inlineStr">
        <is>
          <t>1. Switch the chip back to "All Tasks"
2. Click the "Filters" icon, open "Lead" and tick Sophia Wong
3. Click "Done"</t>
        </is>
      </c>
      <c r="G272" s="14" t="inlineStr">
        <is>
          <t>Only Sophia Wong's tasks from the earlier chapters remain; the Filters icon shows 1.</t>
        </is>
      </c>
      <c r="H272" s="12" t="inlineStr">
        <is>
          <t>Same as 1.0</t>
        </is>
      </c>
      <c r="I272" s="11" t="inlineStr">
        <is>
          <t>Dane</t>
        </is>
      </c>
      <c r="J272" s="15" t="n"/>
      <c r="K272" s="15" t="n"/>
      <c r="L272" s="15" t="n"/>
      <c r="M272" s="16" t="n"/>
      <c r="N272" s="17" t="n"/>
      <c r="O272" s="17" t="n"/>
      <c r="P272" s="15" t="n"/>
    </row>
    <row r="273">
      <c r="A273" s="11" t="n">
        <v>11</v>
      </c>
      <c r="B273" s="11" t="inlineStr">
        <is>
          <t>11.04</t>
        </is>
      </c>
      <c r="C273" s="12" t="inlineStr">
        <is>
          <t>What happened this week</t>
        </is>
      </c>
      <c r="D273" s="12" t="inlineStr">
        <is>
          <t>Notifications</t>
        </is>
      </c>
      <c r="E273" s="13" t="inlineStr">
        <is>
          <t>Catch up on the week in the bell</t>
        </is>
      </c>
      <c r="F273" s="14" t="inlineStr">
        <is>
          <t>1. Click "Notifications" (the bell) in the side navigation
2. Read the list</t>
        </is>
      </c>
      <c r="G273" s="14" t="inlineStr">
        <is>
          <t>Two groups: "Due" comes first while a follow-up is late (e.g. "… has had no contact yet"), then "Notices", newest first — e.g. Sarah's proposed item and her quote for approval.</t>
        </is>
      </c>
      <c r="H273" s="12" t="inlineStr">
        <is>
          <t>Different from 1.0: follow-ups due are listed, not scheduled</t>
        </is>
      </c>
      <c r="I273" s="11" t="inlineStr">
        <is>
          <t>Dane</t>
        </is>
      </c>
      <c r="J273" s="15" t="n"/>
      <c r="K273" s="15" t="n"/>
      <c r="L273" s="15" t="n"/>
      <c r="M273" s="16" t="n"/>
      <c r="N273" s="17" t="n"/>
      <c r="O273" s="17" t="n"/>
      <c r="P273" s="15" t="n"/>
    </row>
    <row r="274">
      <c r="A274" s="11" t="n">
        <v>11</v>
      </c>
      <c r="B274" s="11" t="inlineStr">
        <is>
          <t>11.05</t>
        </is>
      </c>
      <c r="C274" s="12" t="inlineStr">
        <is>
          <t>What happened this week</t>
        </is>
      </c>
      <c r="D274" s="12" t="inlineStr">
        <is>
          <t>Notifications</t>
        </is>
      </c>
      <c r="E274" s="13" t="inlineStr">
        <is>
          <t>Open a notice and land on its record</t>
        </is>
      </c>
      <c r="F274" s="14" t="inlineStr">
        <is>
          <t>1. In the bell, click a row that has a dot
2. Note where you land
3. Open the bell again</t>
        </is>
      </c>
      <c r="G274" s="14" t="inlineStr">
        <is>
          <t>The notice's record opens (a lead, a quote or My Items); back in the bell, that row has lost its dot.</t>
        </is>
      </c>
      <c r="H274" s="12" t="inlineStr">
        <is>
          <t>Same as 1.0</t>
        </is>
      </c>
      <c r="I274" s="11" t="inlineStr">
        <is>
          <t>Dane</t>
        </is>
      </c>
      <c r="J274" s="15" t="n"/>
      <c r="K274" s="15" t="n"/>
      <c r="L274" s="15" t="n"/>
      <c r="M274" s="16" t="n"/>
      <c r="N274" s="17" t="n"/>
      <c r="O274" s="17" t="n"/>
      <c r="P274" s="15" t="n"/>
    </row>
    <row r="275">
      <c r="A275" s="11" t="n">
        <v>11</v>
      </c>
      <c r="B275" s="11" t="inlineStr">
        <is>
          <t>11.06</t>
        </is>
      </c>
      <c r="C275" s="12" t="inlineStr">
        <is>
          <t>What happened this week</t>
        </is>
      </c>
      <c r="D275" s="12" t="inlineStr">
        <is>
          <t>Notifications</t>
        </is>
      </c>
      <c r="E275" s="13" t="inlineStr">
        <is>
          <t>Clear the unread notices in one go</t>
        </is>
      </c>
      <c r="F275" s="14" t="inlineStr">
        <is>
          <t>1. In the bell, click "Mark all as read" (the ✓ at the top)
2. Read the message at the bottom</t>
        </is>
      </c>
      <c r="G275" s="14" t="inlineStr">
        <is>
          <t>Every dot goes; the message says "All caught up" or that the follow-ups due stay until done; the "Due" rows remain.</t>
        </is>
      </c>
      <c r="H275" s="12" t="inlineStr">
        <is>
          <t>Different from 1.0: a follow-up stays until the work is done</t>
        </is>
      </c>
      <c r="I275" s="11" t="inlineStr">
        <is>
          <t>Dane</t>
        </is>
      </c>
      <c r="J275" s="15" t="n"/>
      <c r="K275" s="15" t="n"/>
      <c r="L275" s="15" t="n"/>
      <c r="M275" s="16" t="n"/>
      <c r="N275" s="17" t="n"/>
      <c r="O275" s="17" t="n"/>
      <c r="P275" s="15" t="n"/>
    </row>
    <row r="276">
      <c r="A276" s="11" t="n">
        <v>11</v>
      </c>
      <c r="B276" s="11" t="inlineStr">
        <is>
          <t>11.07</t>
        </is>
      </c>
      <c r="C276" s="12" t="inlineStr">
        <is>
          <t>What happened this week</t>
        </is>
      </c>
      <c r="D276" s="12" t="inlineStr">
        <is>
          <t>Notifications</t>
        </is>
      </c>
      <c r="E276" s="13" t="inlineStr">
        <is>
          <t>Jump from the bell to the notification rules and back</t>
        </is>
      </c>
      <c r="F276" s="14" t="inlineStr">
        <is>
          <t>1. In the bell, click "Notification settings"
2. Read "Your notifications": "As they happen" or "A daily summary", and "Choose what reaches you"
3. Click the back arrow, top left</t>
        </is>
      </c>
      <c r="G276" s="14" t="inlineStr">
        <is>
          <t>Your profile opens on "Your notifications" — how your emails come (As they happen · A daily summary) and the notices you can switch off for yourself; notices the studio has switched off read "Off for the whole studio". Which notices go out at all stays in Settings › Notifications (the card links to it). Back returns you.</t>
        </is>
      </c>
      <c r="H276" s="12" t="inlineStr">
        <is>
          <t>Different from 1.0: each person mutes notices or takes a daily summary</t>
        </is>
      </c>
      <c r="I276" s="11" t="inlineStr">
        <is>
          <t>Dane</t>
        </is>
      </c>
      <c r="J276" s="15" t="n"/>
      <c r="K276" s="15" t="n"/>
      <c r="L276" s="15" t="n"/>
      <c r="M276" s="16" t="n"/>
      <c r="N276" s="17" t="n"/>
      <c r="O276" s="17" t="n"/>
      <c r="P276" s="15" t="n"/>
    </row>
    <row r="277">
      <c r="A277" s="11" t="n">
        <v>11</v>
      </c>
      <c r="B277" s="11" t="inlineStr">
        <is>
          <t>11.08</t>
        </is>
      </c>
      <c r="C277" s="12" t="inlineStr">
        <is>
          <t>How the team is doing</t>
        </is>
      </c>
      <c r="D277" s="12" t="inlineStr">
        <is>
          <t>Insights</t>
        </is>
      </c>
      <c r="E277" s="13" t="inlineStr">
        <is>
          <t>See how fast the team answers and wins leads</t>
        </is>
      </c>
      <c r="F277" s="14" t="inlineStr">
        <is>
          <t>1. Open Leads and click "Insights" (the chart icon)
2. Read the three tiles and "By team member"
3. Click "All time"</t>
        </is>
      </c>
      <c r="G277" s="14" t="inlineStr">
        <is>
          <t>It opens Company › Reports on "Leads" (its Back returns to Leads); tiles "Creation → Assignment", "Assignment → First outreach", "First outreach → Won" show medians; "All time" updates the "… leads in range" count.</t>
        </is>
      </c>
      <c r="H277" s="12" t="inlineStr">
        <is>
          <t>Different from 1.0: a Company › Reports tab; Won instead of Signed</t>
        </is>
      </c>
      <c r="I277" s="11" t="inlineStr">
        <is>
          <t>Dane</t>
        </is>
      </c>
      <c r="J277" s="15" t="n"/>
      <c r="K277" s="15" t="n"/>
      <c r="L277" s="15" t="n"/>
      <c r="M277" s="16" t="n"/>
      <c r="N277" s="17" t="n"/>
      <c r="O277" s="17" t="n"/>
      <c r="P277" s="15" t="n"/>
    </row>
    <row r="278">
      <c r="A278" s="11" t="n">
        <v>11</v>
      </c>
      <c r="B278" s="11" t="inlineStr">
        <is>
          <t>11.09</t>
        </is>
      </c>
      <c r="C278" s="12" t="inlineStr">
        <is>
          <t>How the team is doing</t>
        </is>
      </c>
      <c r="D278" s="12" t="inlineStr">
        <is>
          <t>Lead details</t>
        </is>
      </c>
      <c r="E278" s="13" t="inlineStr">
        <is>
          <t>See how quickly Sophia Wong was handled</t>
        </is>
      </c>
      <c r="F278" s="14" t="inlineStr">
        <is>
          <t>1. Open Sophia Wong
2. In the "Lead stages" card read "Response time"
3. Click it</t>
        </is>
      </c>
      <c r="G278" s="14" t="inlineStr">
        <is>
          <t>It reads like "Assigned in … · First contact in … · Won in …"; clicking it opens Company › Reports on "Leads".</t>
        </is>
      </c>
      <c r="H278" s="12" t="inlineStr">
        <is>
          <t>Different from 1.0: one line instead of a separate card</t>
        </is>
      </c>
      <c r="I278" s="11" t="inlineStr">
        <is>
          <t>Dane</t>
        </is>
      </c>
      <c r="J278" s="15" t="n"/>
      <c r="K278" s="15" t="n"/>
      <c r="L278" s="15" t="n"/>
      <c r="M278" s="16" t="n"/>
      <c r="N278" s="17" t="n"/>
      <c r="O278" s="17" t="n"/>
      <c r="P278" s="15" t="n"/>
    </row>
    <row r="279">
      <c r="A279" s="11" t="n">
        <v>11</v>
      </c>
      <c r="B279" s="11" t="inlineStr">
        <is>
          <t>11.10</t>
        </is>
      </c>
      <c r="C279" s="12" t="inlineStr">
        <is>
          <t>How the team is doing</t>
        </is>
      </c>
      <c r="D279" s="12" t="inlineStr">
        <is>
          <t>Lead details</t>
        </is>
      </c>
      <c r="E279" s="13" t="inlineStr">
        <is>
          <t>Read Sophia Wong's whole story on one timeline</t>
        </is>
      </c>
      <c r="F279" s="14" t="inlineStr">
        <is>
          <t>1. Open Sophia’s project › "Files &amp; notes" › "Activity" (once Won, her lead hands Activity to the project)
2. Scroll the list
3. Type contract in the search box</t>
        </is>
      </c>
      <c r="G279" s="14" t="inlineStr">
        <is>
          <t>Her whole story, newest first: created, assigned, contacted, quoted, contract, Won, then the project’s own lines — each dated; the search leaves only the contract lines.</t>
        </is>
      </c>
      <c r="H279" s="12" t="inlineStr">
        <is>
          <t>Different from 1.0: built from the records, and searchable</t>
        </is>
      </c>
      <c r="I279" s="11" t="inlineStr">
        <is>
          <t>Dane</t>
        </is>
      </c>
      <c r="J279" s="15" t="n"/>
      <c r="K279" s="15" t="n"/>
      <c r="L279" s="15" t="n"/>
      <c r="M279" s="16" t="n"/>
      <c r="N279" s="17" t="n"/>
      <c r="O279" s="17" t="n"/>
      <c r="P279" s="15" t="n"/>
    </row>
    <row r="280">
      <c r="A280" s="11" t="n">
        <v>11</v>
      </c>
      <c r="B280" s="11" t="inlineStr">
        <is>
          <t>11.11</t>
        </is>
      </c>
      <c r="C280" s="12" t="inlineStr">
        <is>
          <t>The paperwork across the studio</t>
        </is>
      </c>
      <c r="D280" s="12" t="inlineStr">
        <is>
          <t>Quotes</t>
        </is>
      </c>
      <c r="E280" s="13" t="inlineStr">
        <is>
          <t>Find Sophia's quote among all the studio's quotes</t>
        </is>
      </c>
      <c r="F280" s="14" t="inlineStr">
        <is>
          <t>1. Click "Tools" › "Quotes"
2. Type Sophia in the search box</t>
        </is>
      </c>
      <c r="G280" s="14" t="inlineStr">
        <is>
          <t>"Quotes" lists every lead's quotes with a "Client" column; Sophia Wong's quote shows its number, status and total.</t>
        </is>
      </c>
      <c r="H280" s="12" t="inlineStr">
        <is>
          <t>Same as 1.0</t>
        </is>
      </c>
      <c r="I280" s="11" t="inlineStr">
        <is>
          <t>Dane</t>
        </is>
      </c>
      <c r="J280" s="15" t="n"/>
      <c r="K280" s="15" t="n"/>
      <c r="L280" s="15" t="n"/>
      <c r="M280" s="16" t="n"/>
      <c r="N280" s="17" t="n"/>
      <c r="O280" s="17" t="n"/>
      <c r="P280" s="15" t="n"/>
    </row>
    <row r="281">
      <c r="A281" s="11" t="n">
        <v>11</v>
      </c>
      <c r="B281" s="11" t="inlineStr">
        <is>
          <t>11.12</t>
        </is>
      </c>
      <c r="C281" s="12" t="inlineStr">
        <is>
          <t>The paperwork across the studio</t>
        </is>
      </c>
      <c r="D281" s="12" t="inlineStr">
        <is>
          <t>Contracts</t>
        </is>
      </c>
      <c r="E281" s="13" t="inlineStr">
        <is>
          <t>Find Sophia's signed contract among all contracts</t>
        </is>
      </c>
      <c r="F281" s="14" t="inlineStr">
        <is>
          <t>1. Click "Tools" › "Contracts"
2. Type Sophia in the search box</t>
        </is>
      </c>
      <c r="G281" s="14" t="inlineStr">
        <is>
          <t>"Contracts" lists the studio's contracts with a "Lead" column; Sophia Wong's contract reads "Signed".</t>
        </is>
      </c>
      <c r="H281" s="12" t="inlineStr">
        <is>
          <t>New in 2.0</t>
        </is>
      </c>
      <c r="I281" s="11" t="inlineStr">
        <is>
          <t>Dane</t>
        </is>
      </c>
      <c r="J281" s="15" t="n"/>
      <c r="K281" s="15" t="n"/>
      <c r="L281" s="15" t="n"/>
      <c r="M281" s="16" t="n"/>
      <c r="N281" s="17" t="n"/>
      <c r="O281" s="17" t="n"/>
      <c r="P281" s="15" t="n"/>
    </row>
    <row r="282">
      <c r="A282" s="11" t="n">
        <v>11</v>
      </c>
      <c r="B282" s="11" t="inlineStr">
        <is>
          <t>11.13</t>
        </is>
      </c>
      <c r="C282" s="12" t="inlineStr">
        <is>
          <t>The paperwork across the studio</t>
        </is>
      </c>
      <c r="D282" s="12" t="inlineStr">
        <is>
          <t>Quote X-Ray</t>
        </is>
      </c>
      <c r="E282" s="13" t="inlineStr">
        <is>
          <t>Find last week's rival-quote comparison again</t>
        </is>
      </c>
      <c r="F282" s="14" t="inlineStr">
        <is>
          <t>1. Click "Tools" › "Quote X-Ray"
2. Look at "Recent comparisons"
3. Click the Sophia Wong row</t>
        </is>
      </c>
      <c r="G282" s="14" t="inlineStr">
        <is>
          <t>A row "Sophia Wong · vs …" (the rival from chapter 7) with its date; it opens the saved comparison.</t>
        </is>
      </c>
      <c r="H282" s="12" t="inlineStr">
        <is>
          <t>Different from 1.0: every comparison kept, not just the last five</t>
        </is>
      </c>
      <c r="I282" s="11" t="inlineStr">
        <is>
          <t>Dane</t>
        </is>
      </c>
      <c r="J282" s="15" t="n"/>
      <c r="K282" s="15" t="n"/>
      <c r="L282" s="15" t="n"/>
      <c r="M282" s="16" t="n"/>
      <c r="N282" s="17" t="n"/>
      <c r="O282" s="17" t="n"/>
      <c r="P282" s="15" t="n"/>
    </row>
    <row r="283" ht="22" customHeight="1">
      <c r="A283" s="9" t="inlineStr">
        <is>
          <t>Chapter 12 · On your phone — The key tasks again, on a phone.</t>
        </is>
      </c>
      <c r="M283" s="10" t="n"/>
    </row>
    <row r="284">
      <c r="A284" s="11" t="n">
        <v>12</v>
      </c>
      <c r="B284" s="11" t="inlineStr">
        <is>
          <t>12.01</t>
        </is>
      </c>
      <c r="C284" s="12" t="inlineStr">
        <is>
          <t>Pick up your phone</t>
        </is>
      </c>
      <c r="D284" s="12" t="inlineStr">
        <is>
          <t>Phone</t>
        </is>
      </c>
      <c r="E284" s="13" t="inlineStr">
        <is>
          <t>Open OpenMaison on your phone</t>
        </is>
      </c>
      <c r="F284" s="14" t="inlineStr">
        <is>
          <t>1. On the laptop, find the "Network" address in the window running npm run dev (like http://192.168.1.20:3000)
2. On a phone on the same Wi-Fi, type that address into the browser
3. Tap "Leads" in the bottom bar</t>
        </is>
      </c>
      <c r="G284" s="14" t="inlineStr">
        <is>
          <t>The Dashboard opens first, with a top bar (search, messages, bell, avatar) and a bottom bar: Dashboard, Leads, Tools, Projects, More; Leads then shows the leads as cards</t>
        </is>
      </c>
      <c r="H284" s="12" t="inlineStr">
        <is>
          <t>Different from 1.0: a stage pill replaces bucket tabs and swiping</t>
        </is>
      </c>
      <c r="I284" s="11" t="inlineStr">
        <is>
          <t>Dane</t>
        </is>
      </c>
      <c r="J284" s="15" t="n"/>
      <c r="K284" s="15" t="n"/>
      <c r="L284" s="15" t="n"/>
      <c r="M284" s="16" t="n"/>
      <c r="N284" s="17" t="n"/>
      <c r="O284" s="17" t="n"/>
      <c r="P284" s="15" t="n"/>
    </row>
    <row r="285">
      <c r="A285" s="11" t="n">
        <v>12</v>
      </c>
      <c r="B285" s="11" t="inlineStr">
        <is>
          <t>12.02</t>
        </is>
      </c>
      <c r="C285" s="12" t="inlineStr">
        <is>
          <t>Pick up your phone</t>
        </is>
      </c>
      <c r="D285" s="12" t="inlineStr">
        <is>
          <t>Phone</t>
        </is>
      </c>
      <c r="E285" s="13" t="inlineStr">
        <is>
          <t>Read a lead at a glance</t>
        </is>
      </c>
      <c r="F285" s="14" t="inlineStr">
        <is>
          <t>1. Scroll to Sophia Wong’s card</t>
        </is>
      </c>
      <c r="G285" s="14" t="inlineStr">
        <is>
          <t>Her card shows its age, phone, budget, source, her first task (or "Add Task"), members’ avatars and the stage button "Won"</t>
        </is>
      </c>
      <c r="H285" s="12" t="inlineStr">
        <is>
          <t>Different from 1.0: fewer badges; the first task shows instead</t>
        </is>
      </c>
      <c r="I285" s="11" t="inlineStr">
        <is>
          <t>Dane</t>
        </is>
      </c>
      <c r="J285" s="15" t="n"/>
      <c r="K285" s="15" t="n"/>
      <c r="L285" s="15" t="n"/>
      <c r="M285" s="16" t="n"/>
      <c r="N285" s="17" t="n"/>
      <c r="O285" s="17" t="n"/>
      <c r="P285" s="15" t="n"/>
    </row>
    <row r="286">
      <c r="A286" s="11" t="n">
        <v>12</v>
      </c>
      <c r="B286" s="11" t="inlineStr">
        <is>
          <t>12.03</t>
        </is>
      </c>
      <c r="C286" s="12" t="inlineStr">
        <is>
          <t>Pick up your phone</t>
        </is>
      </c>
      <c r="D286" s="12" t="inlineStr">
        <is>
          <t>Phone</t>
        </is>
      </c>
      <c r="E286" s="13" t="inlineStr">
        <is>
          <t>Find a lead by name on the phone</t>
        </is>
      </c>
      <c r="F286" s="14" t="inlineStr">
        <is>
          <t>1. Tap the magnifier in the row with the "All Leads" pill (the top bar’s magnifier searches the whole studio)
2. Type Sophia</t>
        </is>
      </c>
      <c r="G286" s="14" t="inlineStr">
        <is>
          <t>The search box opens in that row and only Sophia Wong’s card remains, the match highlighted</t>
        </is>
      </c>
      <c r="H286" s="12" t="inlineStr">
        <is>
          <t>Different from 1.0: the list’s own search, beside its pill</t>
        </is>
      </c>
      <c r="I286" s="11" t="inlineStr">
        <is>
          <t>Dane</t>
        </is>
      </c>
      <c r="J286" s="15" t="n"/>
      <c r="K286" s="15" t="n"/>
      <c r="L286" s="15" t="n"/>
      <c r="M286" s="16" t="n"/>
      <c r="N286" s="17" t="n"/>
      <c r="O286" s="17" t="n"/>
      <c r="P286" s="15" t="n"/>
    </row>
    <row r="287">
      <c r="A287" s="11" t="n">
        <v>12</v>
      </c>
      <c r="B287" s="11" t="inlineStr">
        <is>
          <t>12.04</t>
        </is>
      </c>
      <c r="C287" s="12" t="inlineStr">
        <is>
          <t>Pick up your phone</t>
        </is>
      </c>
      <c r="D287" s="12" t="inlineStr">
        <is>
          <t>Phone</t>
        </is>
      </c>
      <c r="E287" s="13" t="inlineStr">
        <is>
          <t>Reach the rest of the app from More</t>
        </is>
      </c>
      <c r="F287" s="14" t="inlineStr">
        <is>
          <t>1. Tap "More" in the bottom bar
2. Tap "Company"
3. Tap the back arrow at the top of the Company sheet</t>
        </is>
      </c>
      <c r="G287" s="14" t="inlineStr">
        <is>
          <t>"More" slides up with the studio’s AI credits first, then Tasks, Marketplace, Company, Qanvast Ops, Settings and "View as" (Dane); Company opens as a sheet, Profile to Integrations, and its back arrow returns to "More"</t>
        </is>
      </c>
      <c r="H287" s="12" t="inlineStr">
        <is>
          <t>Different from 1.0: 1.0’s phone menu had no studio setup</t>
        </is>
      </c>
      <c r="I287" s="11" t="inlineStr">
        <is>
          <t>Dane</t>
        </is>
      </c>
      <c r="J287" s="15" t="n"/>
      <c r="K287" s="15" t="n"/>
      <c r="L287" s="15" t="n"/>
      <c r="M287" s="16" t="n"/>
      <c r="N287" s="17" t="n"/>
      <c r="O287" s="17" t="n"/>
      <c r="P287" s="15" t="n"/>
    </row>
    <row r="288">
      <c r="A288" s="11" t="n">
        <v>12</v>
      </c>
      <c r="B288" s="11" t="inlineStr">
        <is>
          <t>12.05</t>
        </is>
      </c>
      <c r="C288" s="12" t="inlineStr">
        <is>
          <t>Work a lead on the go</t>
        </is>
      </c>
      <c r="D288" s="12" t="inlineStr">
        <is>
          <t>Phone</t>
        </is>
      </c>
      <c r="E288" s="13" t="inlineStr">
        <is>
          <t>Open Sophia’s lead, then her project’s tabs</t>
        </is>
      </c>
      <c r="F288" s="14" t="inlineStr">
        <is>
          <t>1. Close the sheet and tap Sophia Wong’s card
2. Tap "Open project", swipe the tab row sideways and tap "Files &amp; notes"
3. Tap "Notes &amp; Logs"</t>
        </is>
      </c>
      <c r="G288" s="14" t="inlineStr">
        <is>
          <t>Her name has a line of its own; her lead keeps Overview · Quotes · Contracts (Won hands the rest to her project). The project’s seven tabs scroll sideways; Notes &amp; Logs fills the screen as a list</t>
        </is>
      </c>
      <c r="H288" s="12" t="inlineStr">
        <is>
          <t>Different from 1.0: the lead opens as a page, not a drawer</t>
        </is>
      </c>
      <c r="I288" s="11" t="inlineStr">
        <is>
          <t>Dane</t>
        </is>
      </c>
      <c r="J288" s="15" t="n"/>
      <c r="K288" s="15" t="n"/>
      <c r="L288" s="15" t="n"/>
      <c r="M288" s="16" t="n"/>
      <c r="N288" s="17" t="n"/>
      <c r="O288" s="17" t="n"/>
      <c r="P288" s="15" t="n"/>
    </row>
    <row r="289">
      <c r="A289" s="11" t="n">
        <v>12</v>
      </c>
      <c r="B289" s="11" t="inlineStr">
        <is>
          <t>12.06</t>
        </is>
      </c>
      <c r="C289" s="12" t="inlineStr">
        <is>
          <t>Work a lead on the go</t>
        </is>
      </c>
      <c r="D289" s="12" t="inlineStr">
        <is>
          <t>Phone</t>
        </is>
      </c>
      <c r="E289" s="13" t="inlineStr">
        <is>
          <t>Start a stage move from a lead card</t>
        </is>
      </c>
      <c r="F289" s="14" t="inlineStr">
        <is>
          <t>1. Back on Leads (clear the search if Sophia is still in it), on a Contacted lead’s card (e.g. Cheryl Lim) tap the stage button "Contacted"
2. In the "Move stage" sheet tap "Met"
3. Look at the window, then tap "Cancel"</t>
        </is>
      </c>
      <c r="G289" s="14" t="inlineStr">
        <is>
          <t>Both rise from the bottom; the Move stage window fills the screen with "Cancel" and "Save" pinned at the foot; nothing moves</t>
        </is>
      </c>
      <c r="H289" s="12" t="inlineStr">
        <is>
          <t>Different from 1.0: one stage window, not status drop-downs</t>
        </is>
      </c>
      <c r="I289" s="11" t="inlineStr">
        <is>
          <t>Dane</t>
        </is>
      </c>
      <c r="J289" s="15" t="n"/>
      <c r="K289" s="15" t="n"/>
      <c r="L289" s="15" t="n"/>
      <c r="M289" s="16" t="n"/>
      <c r="N289" s="17" t="n"/>
      <c r="O289" s="17" t="n"/>
      <c r="P289" s="15" t="n"/>
    </row>
    <row r="290">
      <c r="A290" s="11" t="n">
        <v>12</v>
      </c>
      <c r="B290" s="11" t="inlineStr">
        <is>
          <t>12.07</t>
        </is>
      </c>
      <c r="C290" s="12" t="inlineStr">
        <is>
          <t>Work a lead on the go</t>
        </is>
      </c>
      <c r="D290" s="12" t="inlineStr">
        <is>
          <t>Phone</t>
        </is>
      </c>
      <c r="E290" s="13" t="inlineStr">
        <is>
          <t>Narrow the list with a quick filter</t>
        </is>
      </c>
      <c r="F290" s="14" t="inlineStr">
        <is>
          <t>1. Tap the filter icon beside the "All Leads" pill
2. In "Quick filters", tick "Unassigned"
3. Tap "Clear All", then "Done"</t>
        </is>
      </c>
      <c r="G290" s="14" t="inlineStr">
        <is>
          <t>"Filters" rises from the bottom; the tick narrows the list behind at once; after "Clear All" every lead is back</t>
        </is>
      </c>
      <c r="H290" s="12" t="inlineStr">
        <is>
          <t>Different from 1.0: three quick filters instead of five</t>
        </is>
      </c>
      <c r="I290" s="11" t="inlineStr">
        <is>
          <t>Dane</t>
        </is>
      </c>
      <c r="J290" s="15" t="n"/>
      <c r="K290" s="15" t="n"/>
      <c r="L290" s="15" t="n"/>
      <c r="M290" s="16" t="n"/>
      <c r="N290" s="17" t="n"/>
      <c r="O290" s="17" t="n"/>
      <c r="P290" s="15" t="n"/>
    </row>
    <row r="291">
      <c r="A291" s="11" t="n">
        <v>12</v>
      </c>
      <c r="B291" s="11" t="inlineStr">
        <is>
          <t>12.08</t>
        </is>
      </c>
      <c r="C291" s="12" t="inlineStr">
        <is>
          <t>Quotes and contracts in your pocket</t>
        </is>
      </c>
      <c r="D291" s="12" t="inlineStr">
        <is>
          <t>Phone</t>
        </is>
      </c>
      <c r="E291" s="13" t="inlineStr">
        <is>
          <t>Check a quote’s lines on the phone</t>
        </is>
      </c>
      <c r="F291" s="14" t="inlineStr">
        <is>
          <t>1. Open Sophia Wong › "Quotes" and tap her quote
2. Scroll to "Items" and tap a line
3. Look, then tap "Done" without changing anything</t>
        </is>
      </c>
      <c r="G291" s="14" t="inlineStr">
        <is>
          <t>Each line is a card (name, quantity × unit price, total); a line opens as a sheet with its "Line total" and every field</t>
        </is>
      </c>
      <c r="H291" s="12" t="inlineStr">
        <is>
          <t>Different from 1.0: lines edit in a sheet, not a side panel</t>
        </is>
      </c>
      <c r="I291" s="11" t="inlineStr">
        <is>
          <t>Dane</t>
        </is>
      </c>
      <c r="J291" s="15" t="n"/>
      <c r="K291" s="15" t="n"/>
      <c r="L291" s="15" t="n"/>
      <c r="M291" s="16" t="n"/>
      <c r="N291" s="17" t="n"/>
      <c r="O291" s="17" t="n"/>
      <c r="P291" s="15" t="n"/>
    </row>
    <row r="292">
      <c r="A292" s="11" t="n">
        <v>12</v>
      </c>
      <c r="B292" s="11" t="inlineStr">
        <is>
          <t>12.09</t>
        </is>
      </c>
      <c r="C292" s="12" t="inlineStr">
        <is>
          <t>Quotes and contracts in your pocket</t>
        </is>
      </c>
      <c r="D292" s="12" t="inlineStr">
        <is>
          <t>Phone</t>
        </is>
      </c>
      <c r="E292" s="13" t="inlineStr">
        <is>
          <t>Open Tools › Contracts on the phone</t>
        </is>
      </c>
      <c r="F292" s="14" t="inlineStr">
        <is>
          <t>1. Tap "Tools" in the bottom bar
2. Tap "Contracts"</t>
        </is>
      </c>
      <c r="G292" s="14" t="inlineStr">
        <is>
          <t>Tools rises as a sheet of tiles; contracts show as cards — title and ⋮ on top, status and date below</t>
        </is>
      </c>
      <c r="H292" s="12" t="inlineStr">
        <is>
          <t>Different from 1.0: 1.0’s phone menu had no Tools</t>
        </is>
      </c>
      <c r="I292" s="11" t="inlineStr">
        <is>
          <t>Dane</t>
        </is>
      </c>
      <c r="J292" s="15" t="n"/>
      <c r="K292" s="15" t="n"/>
      <c r="L292" s="15" t="n"/>
      <c r="M292" s="16" t="n"/>
      <c r="N292" s="17" t="n"/>
      <c r="O292" s="17" t="n"/>
      <c r="P292" s="15" t="n"/>
    </row>
    <row r="293">
      <c r="A293" s="11" t="n">
        <v>12</v>
      </c>
      <c r="B293" s="11" t="inlineStr">
        <is>
          <t>12.10</t>
        </is>
      </c>
      <c r="C293" s="12" t="inlineStr">
        <is>
          <t>Quotes and contracts in your pocket</t>
        </is>
      </c>
      <c r="D293" s="12" t="inlineStr">
        <is>
          <t>Phone</t>
        </is>
      </c>
      <c r="E293" s="13" t="inlineStr">
        <is>
          <t>Raise a second agreement for Sophia and get its link</t>
        </is>
      </c>
      <c r="F293" s="14" t="inlineStr">
        <is>
          <t>1. Open Sophia Wong › "Contracts", tap "+" ("New Contract") › "From the studio agreement"
2. Tap the status "Draft" › "Sent to Client"
3. Tap "Send", tap "Copy link" (it reads "Copied"), then close the window</t>
        </is>
      </c>
      <c r="G293" s="14" t="inlineStr">
        <is>
          <t>Menus rise as bottom sheets; the status reads "Sent to Client"; the copied link starts with the phone’s Network address</t>
        </is>
      </c>
      <c r="H293" s="12" t="inlineStr">
        <is>
          <t>New in 2.0</t>
        </is>
      </c>
      <c r="I293" s="11" t="inlineStr">
        <is>
          <t>Dane</t>
        </is>
      </c>
      <c r="J293" s="15" t="n"/>
      <c r="K293" s="15" t="n"/>
      <c r="L293" s="15" t="n"/>
      <c r="M293" s="16" t="n"/>
      <c r="N293" s="17" t="n"/>
      <c r="O293" s="17" t="n"/>
      <c r="P293" s="15" t="n"/>
    </row>
    <row r="294">
      <c r="A294" s="11" t="n">
        <v>12</v>
      </c>
      <c r="B294" s="11" t="inlineStr">
        <is>
          <t>12.11</t>
        </is>
      </c>
      <c r="C294" s="12" t="inlineStr">
        <is>
          <t>Quotes and contracts in your pocket</t>
        </is>
      </c>
      <c r="D294" s="12" t="inlineStr">
        <is>
          <t>Phone</t>
        </is>
      </c>
      <c r="E294" s="13" t="inlineStr">
        <is>
          <t>Read the agreement on the phone as Sophia</t>
        </is>
      </c>
      <c r="F294" s="14" t="inlineStr">
        <is>
          <t>1. Paste the link into a new browser tab
2. Scroll to the end — the bar at the foot guides you
3. Tap "Go to the box" and tick "I have read and agree to this document."
4. Tick "I have read the CaseTrust deposit-protection disclosure" in the CaseTrust box (the foot bar asks for it)</t>
        </is>
      </c>
      <c r="G294" s="14" t="inlineStr">
        <is>
          <t>The card sits above the agreement; the foot bar reads "Read to the end of the agreement", then "Tick that you accept, in the box at the top", then "Tick the CaseTrust disclosure, in the box at the top", then "Ready when you are" with "Send code"</t>
        </is>
      </c>
      <c r="H294" s="12" t="inlineStr">
        <is>
          <t>Same as 1.0 · the CaseTrust tick, as 1.0’s CaseTrust studios had</t>
        </is>
      </c>
      <c r="I294" s="18" t="inlineStr">
        <is>
          <t>Sophia Wong (client)</t>
        </is>
      </c>
      <c r="J294" s="15" t="n"/>
      <c r="K294" s="15" t="n"/>
      <c r="L294" s="15" t="n"/>
      <c r="M294" s="16" t="n"/>
      <c r="N294" s="17" t="n"/>
      <c r="O294" s="17" t="n"/>
      <c r="P294" s="15" t="n"/>
    </row>
    <row r="295">
      <c r="A295" s="11" t="n">
        <v>12</v>
      </c>
      <c r="B295" s="11" t="inlineStr">
        <is>
          <t>12.12</t>
        </is>
      </c>
      <c r="C295" s="12" t="inlineStr">
        <is>
          <t>Quotes and contracts in your pocket</t>
        </is>
      </c>
      <c r="D295" s="12" t="inlineStr">
        <is>
          <t>Phone</t>
        </is>
      </c>
      <c r="E295" s="13" t="inlineStr">
        <is>
          <t>Sign with your finger</t>
        </is>
      </c>
      <c r="F295" s="14" t="inlineStr">
        <is>
          <t>1. Tap "Send code", type 123456, tap "Verify"
2. Tap "Draw" and sign with your finger
3. Tap "Sign agreement"</t>
        </is>
      </c>
      <c r="G295" s="14" t="inlineStr">
        <is>
          <t>The pad follows your finger; the card turns "Signed"; the signing record says "Drawn by hand" and names your phone’s browser</t>
        </is>
      </c>
      <c r="H295" s="12" t="inlineStr">
        <is>
          <t>Same as 1.0</t>
        </is>
      </c>
      <c r="I295" s="18" t="inlineStr">
        <is>
          <t>Sophia Wong (client)</t>
        </is>
      </c>
      <c r="J295" s="15" t="n"/>
      <c r="K295" s="15" t="n"/>
      <c r="L295" s="15" t="n"/>
      <c r="M295" s="16" t="n"/>
      <c r="N295" s="17" t="n"/>
      <c r="O295" s="17" t="n"/>
      <c r="P295" s="15" t="n"/>
    </row>
    <row r="296">
      <c r="A296" s="11" t="n">
        <v>12</v>
      </c>
      <c r="B296" s="11" t="inlineStr">
        <is>
          <t>12.13</t>
        </is>
      </c>
      <c r="C296" s="12" t="inlineStr">
        <is>
          <t>Quotes and contracts in your pocket</t>
        </is>
      </c>
      <c r="D296" s="12" t="inlineStr">
        <is>
          <t>Phone</t>
        </is>
      </c>
      <c r="E296" s="13" t="inlineStr">
        <is>
          <t>See the signature arrive in the bell</t>
        </is>
      </c>
      <c r="F296" s="14" t="inlineStr">
        <is>
          <t>1. Go back to the app’s tab
2. Tap the bell in the top bar</t>
        </is>
      </c>
      <c r="G296" s="14" t="inlineStr">
        <is>
          <t>"Notifications" fills the screen; the newest notice reads "Sophia Wong signed Interior Design Service Agreement 2"</t>
        </is>
      </c>
      <c r="H296" s="12" t="inlineStr">
        <is>
          <t>Same as 1.0</t>
        </is>
      </c>
      <c r="I296" s="11" t="inlineStr">
        <is>
          <t>Dane</t>
        </is>
      </c>
      <c r="J296" s="15" t="n"/>
      <c r="K296" s="15" t="n"/>
      <c r="L296" s="15" t="n"/>
      <c r="M296" s="16" t="n"/>
      <c r="N296" s="17" t="n"/>
      <c r="O296" s="17" t="n"/>
      <c r="P296" s="15" t="n"/>
    </row>
    <row r="297" ht="22" customHeight="1">
      <c r="A297" s="9" t="inlineStr">
        <is>
          <t>Chapter 13 · Design her room — AI Visualizer: Sophia’s living room, from her photo to the look she picks.</t>
        </is>
      </c>
      <c r="M297" s="10" t="n"/>
    </row>
    <row r="298">
      <c r="A298" s="11" t="n">
        <v>13</v>
      </c>
      <c r="B298" s="11" t="inlineStr">
        <is>
          <t>13.01</t>
        </is>
      </c>
      <c r="C298" s="12" t="inlineStr">
        <is>
          <t>Her photo, in the AI Visualizer</t>
        </is>
      </c>
      <c r="D298" s="12" t="inlineStr">
        <is>
          <t>AI Visualizer</t>
        </is>
      </c>
      <c r="E298" s="13" t="inlineStr">
        <is>
          <t>Open Sophia’s site photo in the AI Visualizer</t>
        </is>
      </c>
      <c r="F298" s="14" t="inlineStr">
        <is>
          <t>1. Open Sophia’s project › "Files &amp; notes" (it opens on "Files"), open the Site photos folder and double-click sophia-living-room.jpg
2. Click "More options" (⋮, top right), then "Open in AI Visualizer"
3. Read the tip, press "Got it"; look at the squares on the photo
4. Click the eye icon ("Hide markers"), then again ("Show markers")</t>
        </is>
      </c>
      <c r="G298" s="14" t="inlineStr">
        <is>
          <t>Full screen: "Sophia Wong", chip "LEAD · WON", a room named "Living room" from the file; squares on walls and floor; "Marked roughly on your photo — …".</t>
        </is>
      </c>
      <c r="H298" s="12" t="inlineStr">
        <is>
          <t>New in 2.0</t>
        </is>
      </c>
      <c r="I298" s="11" t="inlineStr">
        <is>
          <t>Dane</t>
        </is>
      </c>
      <c r="J298" s="15" t="n"/>
      <c r="K298" s="15" t="n"/>
      <c r="L298" s="15" t="n"/>
      <c r="M298" s="16" t="n"/>
      <c r="N298" s="17" t="n"/>
      <c r="O298" s="17" t="n"/>
      <c r="P298" s="15" t="n"/>
    </row>
    <row r="299">
      <c r="A299" s="11" t="n">
        <v>13</v>
      </c>
      <c r="B299" s="11" t="inlineStr">
        <is>
          <t>13.02</t>
        </is>
      </c>
      <c r="C299" s="12" t="inlineStr">
        <is>
          <t>Her photo, in the AI Visualizer</t>
        </is>
      </c>
      <c r="D299" s="12" t="inlineStr">
        <is>
          <t>AI Visualizer</t>
        </is>
      </c>
      <c r="E299" s="13" t="inlineStr">
        <is>
          <t>Check the room’s menu and mark the lamp it missed</t>
        </is>
      </c>
      <c r="F299"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99" s="14" t="inlineStr">
        <is>
          <t>The menu offers "Rename", "Change photo", "Delete room"; "Floor Lamp" joins the furniture list; Undo restores it after "… taken off the list".</t>
        </is>
      </c>
      <c r="H299" s="12" t="inlineStr">
        <is>
          <t>Different from 1.0: taking a mark off has Undo</t>
        </is>
      </c>
      <c r="I299" s="11" t="inlineStr">
        <is>
          <t>Dane</t>
        </is>
      </c>
      <c r="J299" s="15" t="n"/>
      <c r="K299" s="15" t="n"/>
      <c r="L299" s="15" t="n"/>
      <c r="M299" s="16" t="n"/>
      <c r="N299" s="17" t="n"/>
      <c r="O299" s="17" t="n"/>
      <c r="P299" s="15" t="n"/>
    </row>
    <row r="300">
      <c r="A300" s="11" t="n">
        <v>13</v>
      </c>
      <c r="B300" s="11" t="inlineStr">
        <is>
          <t>13.03</t>
        </is>
      </c>
      <c r="C300" s="12" t="inlineStr">
        <is>
          <t>New finishes</t>
        </is>
      </c>
      <c r="D300" s="12" t="inlineStr">
        <is>
          <t>AI Visualizer</t>
        </is>
      </c>
      <c r="E300" s="13" t="inlineStr">
        <is>
          <t>Pick a sage paint for the walls and a walnut floor</t>
        </is>
      </c>
      <c r="F300" s="14" t="inlineStr">
        <is>
          <t>1. Open "Surfaces", click the "Walls" row (or the square on a wall) — it starts on "As in the photo"
2. Search sage and click "Sage Green"
3. Press "All surfaces", click "Floor", chip "Flooring" › "Walnut Engineered"
4. Read the foot of the panel</t>
        </is>
      </c>
      <c r="G300" s="14" t="inlineStr">
        <is>
          <t>The picked wall lights up on the photo; "Recent" holds Sage Green; the foot lists both changes; the button reads "Generate · 2 changes" with its price, 10, on its chip.</t>
        </is>
      </c>
      <c r="H300" s="12" t="inlineStr">
        <is>
          <t>Different from 1.0: the picked surface lights up on the photo</t>
        </is>
      </c>
      <c r="I300" s="11" t="inlineStr">
        <is>
          <t>Dane</t>
        </is>
      </c>
      <c r="J300" s="15" t="n"/>
      <c r="K300" s="15" t="n"/>
      <c r="L300" s="15" t="n"/>
      <c r="M300" s="16" t="n"/>
      <c r="N300" s="17" t="n"/>
      <c r="O300" s="17" t="n"/>
      <c r="P300" s="15" t="n"/>
    </row>
    <row r="301">
      <c r="A301" s="11" t="n">
        <v>13</v>
      </c>
      <c r="B301" s="11" t="inlineStr">
        <is>
          <t>13.04</t>
        </is>
      </c>
      <c r="C301" s="12" t="inlineStr">
        <is>
          <t>New finishes</t>
        </is>
      </c>
      <c r="D301" s="12" t="inlineStr">
        <is>
          <t>AI Visualizer</t>
        </is>
      </c>
      <c r="E301" s="13" t="inlineStr">
        <is>
          <t>Generate, stop one midway, then compare before and after</t>
        </is>
      </c>
      <c r="F301" s="14" t="inlineStr">
        <is>
          <t>1. Beside "Makes 1 version · Fast" press "Change", pick Quality "High", press "Done"
2. Press "Generate · 2 changes", then "Stop" on the card at once
3. Press "Generate · 2 changes" again and wait
4. Press "Compare" under the photo and drag the line across</t>
        </is>
      </c>
      <c r="G301" s="14" t="inlineStr">
        <is>
          <t>"Stopped — nothing was kept or charged"; then "Reading the photo"…, "V1 is ready", a "V1 · Walls, Floor" tile, and a slider "Original" | "V1".</t>
        </is>
      </c>
      <c r="H301" s="12" t="inlineStr">
        <is>
          <t>Different from 1.0: compare right on the photo, one press</t>
        </is>
      </c>
      <c r="I301" s="11" t="inlineStr">
        <is>
          <t>Dane</t>
        </is>
      </c>
      <c r="J301" s="15" t="n"/>
      <c r="K301" s="15" t="n"/>
      <c r="L301" s="15" t="n"/>
      <c r="M301" s="16" t="n"/>
      <c r="N301" s="17" t="n"/>
      <c r="O301" s="17" t="n"/>
      <c r="P301" s="15" t="n"/>
    </row>
    <row r="302">
      <c r="A302" s="11" t="n">
        <v>13</v>
      </c>
      <c r="B302" s="11" t="inlineStr">
        <is>
          <t>13.05</t>
        </is>
      </c>
      <c r="C302" s="12" t="inlineStr">
        <is>
          <t>New finishes</t>
        </is>
      </c>
      <c r="D302" s="12" t="inlineStr">
        <is>
          <t>AI Visualizer</t>
        </is>
      </c>
      <c r="E302" s="13" t="inlineStr">
        <is>
          <t>Describe a change in your own words</t>
        </is>
      </c>
      <c r="F302" s="14" t="inlineStr">
        <is>
          <t>1. In "DESCRIBE A CHANGE" type make it nice and read the line under the button
2. Replace the words with warmer evening light, press "Generate from note"</t>
        </is>
      </c>
      <c r="G302" s="14" t="inlineStr">
        <is>
          <t>First "Generate from note" stays greyed: "We couldn’t turn that note into a change — …"; then "V2 · From a note": evening light, walls still sage.</t>
        </is>
      </c>
      <c r="H302" s="12" t="inlineStr">
        <is>
          <t>Different from 1.0: the words box is always in view</t>
        </is>
      </c>
      <c r="I302" s="11" t="inlineStr">
        <is>
          <t>Dane</t>
        </is>
      </c>
      <c r="J302" s="15" t="n"/>
      <c r="K302" s="15" t="n"/>
      <c r="L302" s="15" t="n"/>
      <c r="M302" s="16" t="n"/>
      <c r="N302" s="17" t="n"/>
      <c r="O302" s="17" t="n"/>
      <c r="P302" s="15" t="n"/>
    </row>
    <row r="303">
      <c r="A303" s="11" t="n">
        <v>13</v>
      </c>
      <c r="B303" s="11" t="inlineStr">
        <is>
          <t>13.06</t>
        </is>
      </c>
      <c r="C303" s="12" t="inlineStr">
        <is>
          <t>The whole look on a sample room</t>
        </is>
      </c>
      <c r="D303" s="12" t="inlineStr">
        <is>
          <t>AI Visualizer</t>
        </is>
      </c>
      <c r="E303" s="13" t="inlineStr">
        <is>
          <t>Add the sample living room to her design</t>
        </is>
      </c>
      <c r="F303" s="14" t="inlineStr">
        <is>
          <t>1. Press "Add room" in the top bar
2. Read the ways in
3. Under "SAMPLE ROOMS" click "Living room" ("Furnished photo")
4. Open "Furniture"</t>
        </is>
      </c>
      <c r="G303" s="14" t="inlineStr">
        <is>
          <t>The upload box ("Drop room photos or browse" · "JPG, PNG, WebP or HEIC · …"), "FROM SOPHIA WONG’S FILES", "SAMPLE ROOMS"; a "Living room 2" chip opens, its 13 pieces listed.</t>
        </is>
      </c>
      <c r="H303" s="12" t="inlineStr">
        <is>
          <t>Different from 1.0: sample rooms and the lead’s files too</t>
        </is>
      </c>
      <c r="I303" s="11" t="inlineStr">
        <is>
          <t>Dane</t>
        </is>
      </c>
      <c r="J303" s="15" t="n"/>
      <c r="K303" s="15" t="n"/>
      <c r="L303" s="15" t="n"/>
      <c r="M303" s="16" t="n"/>
      <c r="N303" s="17" t="n"/>
      <c r="O303" s="17" t="n"/>
      <c r="P303" s="15" t="n"/>
    </row>
    <row r="304">
      <c r="A304" s="11" t="n">
        <v>13</v>
      </c>
      <c r="B304" s="11" t="inlineStr">
        <is>
          <t>13.07</t>
        </is>
      </c>
      <c r="C304" s="12" t="inlineStr">
        <is>
          <t>The whole look on a sample room</t>
        </is>
      </c>
      <c r="D304" s="12" t="inlineStr">
        <is>
          <t>AI Visualizer</t>
        </is>
      </c>
      <c r="E304" s="13" t="inlineStr">
        <is>
          <t>Recolour the sofa, swap the table, take out the TV</t>
        </is>
      </c>
      <c r="F304" s="14" t="inlineStr">
        <is>
          <t>1. "Cream Bouclé Sofa" › "Customize" › "Velvet", then under "COLOUR" "Emerald"
2. "Travertine Coffee Table" › "Replace", pick any "Quick pick" — read the line saying the prototype can’t draw a new piece into the photo — then press "Recolour it to match"
3. "Wall-Mounted TV" › "Remove"; press ⌘Z (Ctrl+Z), then ⇧⌘Z (Ctrl+Shift+Z)
4. Press "Generate · 3 changes"</t>
        </is>
      </c>
      <c r="G304" s="14" t="inlineStr">
        <is>
          <t>Rows read "Customize · Emerald velvet", the table’s row a Customize in the pick’s colour (⌘Z takes it back to the Replace), "Taken out"; ⌘Z/⇧⌘Z flip the TV; "V1 is ready": green sofa, the table recoloured, no TV — no version says "Swapped for".</t>
        </is>
      </c>
      <c r="H304" s="12" t="inlineStr">
        <is>
          <t>Different from 1.0: ⌘Z takes back a pick · Replace says the prototype can’t draw a new piece and offers "Recolour it to match" (S20, her Q-21 answer)</t>
        </is>
      </c>
      <c r="I304" s="11" t="inlineStr">
        <is>
          <t>Dane</t>
        </is>
      </c>
      <c r="J304" s="15" t="n"/>
      <c r="K304" s="15" t="n"/>
      <c r="L304" s="15" t="n"/>
      <c r="M304" s="16" t="n"/>
      <c r="N304" s="17" t="n"/>
      <c r="O304" s="17" t="n"/>
      <c r="P304" s="15" t="n"/>
    </row>
    <row r="305">
      <c r="A305" s="11" t="n">
        <v>13</v>
      </c>
      <c r="B305" s="11" t="inlineStr">
        <is>
          <t>13.08</t>
        </is>
      </c>
      <c r="C305" s="12" t="inlineStr">
        <is>
          <t>The whole look on a sample room</t>
        </is>
      </c>
      <c r="D305" s="12" t="inlineStr">
        <is>
          <t>AI Visualizer</t>
        </is>
      </c>
      <c r="E305" s="13" t="inlineStr">
        <is>
          <t>Restyle the room, then try a light live</t>
        </is>
      </c>
      <c r="F305" s="14" t="inlineStr">
        <is>
          <t>1. Open "Style", click "Japandi", read the line under the title, press "Restyle as Japandi"
2. Open "Lighting", click "Golden Hour"
3. Open "Fine-tune it by hand", drag "Colour temperature"
4. Press "Relight"</t>
        </is>
      </c>
      <c r="G305" s="14" t="inlineStr">
        <is>
          <t>A line warns "A style restyles the whole room from the photo — …"; "V2 is ready" ("V2 · Japandi"); Style is back on "None"; the light previews live; "V3 · Relit · Custom" lands.</t>
        </is>
      </c>
      <c r="H305" s="12" t="inlineStr">
        <is>
          <t>Different from 1.0: light previews live, kept in one step</t>
        </is>
      </c>
      <c r="I305" s="11" t="inlineStr">
        <is>
          <t>Dane</t>
        </is>
      </c>
      <c r="J305" s="15" t="n"/>
      <c r="K305" s="15" t="n"/>
      <c r="L305" s="15" t="n"/>
      <c r="M305" s="16" t="n"/>
      <c r="N305" s="17" t="n"/>
      <c r="O305" s="17" t="n"/>
      <c r="P305" s="15" t="n"/>
    </row>
    <row r="306">
      <c r="A306" s="11" t="n">
        <v>13</v>
      </c>
      <c r="B306" s="11" t="inlineStr">
        <is>
          <t>13.09</t>
        </is>
      </c>
      <c r="C306" s="12" t="inlineStr">
        <is>
          <t>The whole look on a sample room</t>
        </is>
      </c>
      <c r="D306" s="12" t="inlineStr">
        <is>
          <t>AI Visualizer</t>
        </is>
      </c>
      <c r="E306" s="13" t="inlineStr">
        <is>
          <t>Hang a patterned wallpaper, two takes at once</t>
        </is>
      </c>
      <c r="F306" s="14" t="inlineStr">
        <is>
          <t>1. Under "VERSIONS" click "Original"
2. "Surfaces": click a wall square, keep "All walls · 2"
3. Chip "Wallpapers" › "Tropical Botanical"
4. "Change" › "Versions" 2, press "Generate"</t>
        </is>
      </c>
      <c r="G306" s="14" t="inlineStr">
        <is>
          <t>The swatch wears a leaf pattern; "V4–V5 are ready" — two takes from one press: V4’s two walls in the leaf paper, V5 tries another paper.</t>
        </is>
      </c>
      <c r="H306" s="12" t="inlineStr">
        <is>
          <t>Different from 1.0: 2–3 versions on a desktop too</t>
        </is>
      </c>
      <c r="I306" s="11" t="inlineStr">
        <is>
          <t>Dane</t>
        </is>
      </c>
      <c r="J306" s="15" t="n"/>
      <c r="K306" s="15" t="n"/>
      <c r="L306" s="15" t="n"/>
      <c r="M306" s="16" t="n"/>
      <c r="N306" s="17" t="n"/>
      <c r="O306" s="17" t="n"/>
      <c r="P306" s="15" t="n"/>
    </row>
    <row r="307">
      <c r="A307" s="11" t="n">
        <v>13</v>
      </c>
      <c r="B307" s="11" t="inlineStr">
        <is>
          <t>13.10</t>
        </is>
      </c>
      <c r="C307" s="12" t="inlineStr">
        <is>
          <t>The whole look on a sample room</t>
        </is>
      </c>
      <c r="D307" s="12" t="inlineStr">
        <is>
          <t>AI Visualizer</t>
        </is>
      </c>
      <c r="E307" s="13" t="inlineStr">
        <is>
          <t>Empty the room, then furnish it again</t>
        </is>
      </c>
      <c r="F307" s="14" t="inlineStr">
        <is>
          <t>1. Click "V4", open "Tools", pick "Empty the room", then "Keep built-ins"
2. Press "Empty the room"
3. In "Tools" pick "Furnish the room", read "Will place:"
4. Press "Furnish the room"</t>
        </is>
      </c>
      <c r="G307" s="14" t="inlineStr">
        <is>
          <t>A version "Emptied · Keep built-ins" shows the room bare; then a "Furnished" version puts furniture back.</t>
        </is>
      </c>
      <c r="H307" s="12" t="inlineStr">
        <is>
          <t>Same as 1.0</t>
        </is>
      </c>
      <c r="I307" s="11" t="inlineStr">
        <is>
          <t>Dane</t>
        </is>
      </c>
      <c r="J307" s="15" t="n"/>
      <c r="K307" s="15" t="n"/>
      <c r="L307" s="15" t="n"/>
      <c r="M307" s="16" t="n"/>
      <c r="N307" s="17" t="n"/>
      <c r="O307" s="17" t="n"/>
      <c r="P307" s="15" t="n"/>
    </row>
    <row r="308">
      <c r="A308" s="11" t="n">
        <v>13</v>
      </c>
      <c r="B308" s="11" t="inlineStr">
        <is>
          <t>13.11</t>
        </is>
      </c>
      <c r="C308" s="12" t="inlineStr">
        <is>
          <t>The whole look on a sample room</t>
        </is>
      </c>
      <c r="D308" s="12" t="inlineStr">
        <is>
          <t>AI Visualizer</t>
        </is>
      </c>
      <c r="E308" s="13" t="inlineStr">
        <is>
          <t>Borrow a look from a photo</t>
        </is>
      </c>
      <c r="F308"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308" s="14" t="inlineStr">
        <is>
          <t>The reference shows with its colours under it; "V8 is ready": a "V8 · Style transfer" version wears the photo’s colours.</t>
        </is>
      </c>
      <c r="H308" s="12" t="inlineStr">
        <is>
          <t>Same as 1.0</t>
        </is>
      </c>
      <c r="I308" s="11" t="inlineStr">
        <is>
          <t>Dane</t>
        </is>
      </c>
      <c r="J308" s="15" t="n"/>
      <c r="K308" s="15" t="n"/>
      <c r="L308" s="15" t="n"/>
      <c r="M308" s="16" t="n"/>
      <c r="N308" s="17" t="n"/>
      <c r="O308" s="17" t="n"/>
      <c r="P308" s="15" t="n"/>
    </row>
    <row r="309">
      <c r="A309" s="11" t="n">
        <v>13</v>
      </c>
      <c r="B309" s="11" t="inlineStr">
        <is>
          <t>13.12</t>
        </is>
      </c>
      <c r="C309" s="12" t="inlineStr">
        <is>
          <t>Her versions</t>
        </is>
      </c>
      <c r="D309" s="12" t="inlineStr">
        <is>
          <t>AI Visualizer</t>
        </is>
      </c>
      <c r="E309" s="13" t="inlineStr">
        <is>
          <t>Delete a version, undo it, and restore it later</t>
        </is>
      </c>
      <c r="F309" s="14" t="inlineStr">
        <is>
          <t>1. On "V5" open ⋮ ("More options for V5") › "Delete", then "Undo"
2. Delete V5 again, then reload the page
3. Beside "VERSIONS" click "1 deleted", press "Restore"</t>
        </is>
      </c>
      <c r="G309" s="14" t="inlineStr">
        <is>
          <t>"V5 deleted" with Undo; after the reload every room, version and the "Saved …" stamp are as you left them; Restore brings V5 back ("V5 restored").</t>
        </is>
      </c>
      <c r="H309" s="12" t="inlineStr">
        <is>
          <t>Different from 1.0: Undo, a Deleted list, nothing lost on reload</t>
        </is>
      </c>
      <c r="I309" s="11" t="inlineStr">
        <is>
          <t>Dane</t>
        </is>
      </c>
      <c r="J309" s="15" t="n"/>
      <c r="K309" s="15" t="n"/>
      <c r="L309" s="15" t="n"/>
      <c r="M309" s="16" t="n"/>
      <c r="N309" s="17" t="n"/>
      <c r="O309" s="17" t="n"/>
      <c r="P309" s="15" t="n"/>
    </row>
    <row r="310">
      <c r="A310" s="11" t="n">
        <v>13</v>
      </c>
      <c r="B310" s="11" t="inlineStr">
        <is>
          <t>13.13</t>
        </is>
      </c>
      <c r="C310" s="12" t="inlineStr">
        <is>
          <t>Her versions</t>
        </is>
      </c>
      <c r="D310" s="12" t="inlineStr">
        <is>
          <t>AI Visualizer</t>
        </is>
      </c>
      <c r="E310" s="13" t="inlineStr">
        <is>
          <t>Pin a note on a version and resolve it</t>
        </is>
      </c>
      <c r="F310" s="14" t="inlineStr">
        <is>
          <t>1. Click the "Living room" chip, then the "V1" tile
2. Press the pin icon ("Pin a note"), click a wall
3. Write Sage on this wall only?, press "Pin it"
4. Write a reply, press "Reply", then the tick ("Resolve")</t>
        </is>
      </c>
      <c r="G310" s="14" t="inlineStr">
        <is>
          <t>Pin 1 sits on the photo (the box said "Only your team sees it"); its card shows your note and reply, then "Resolved".</t>
        </is>
      </c>
      <c r="H310" s="12" t="inlineStr">
        <is>
          <t>Different from 1.0: pins on any version, not only portal shares</t>
        </is>
      </c>
      <c r="I310" s="11" t="inlineStr">
        <is>
          <t>Dane</t>
        </is>
      </c>
      <c r="J310" s="15" t="n"/>
      <c r="K310" s="15" t="n"/>
      <c r="L310" s="15" t="n"/>
      <c r="M310" s="16" t="n"/>
      <c r="N310" s="17" t="n"/>
      <c r="O310" s="17" t="n"/>
      <c r="P310" s="15" t="n"/>
    </row>
    <row r="311">
      <c r="A311" s="11" t="n">
        <v>13</v>
      </c>
      <c r="B311" s="11" t="inlineStr">
        <is>
          <t>13.14</t>
        </is>
      </c>
      <c r="C311" s="12" t="inlineStr">
        <is>
          <t>Her versions</t>
        </is>
      </c>
      <c r="D311" s="12" t="inlineStr">
        <is>
          <t>AI Visualizer</t>
        </is>
      </c>
      <c r="E311" s="13" t="inlineStr">
        <is>
          <t>Present a version, open its moodboard, download it</t>
        </is>
      </c>
      <c r="F311" s="14" t="inlineStr">
        <is>
          <t>1. Press "Present" (full-screen icon under the photo); press "Next version", then "Before and after · V1"; "Done"
2. On V1 open ⋮ › "Moodboard", read it, press "Done"
3. On V1 open ⋮ › "Download"</t>
        </is>
      </c>
      <c r="G311" s="14" t="inlineStr">
        <is>
          <t>A large view lists "WHAT CHANGED"; the moodboard shows "FINISHES" and "THE COLOURS IT READS AS"; "Render - Living room - V1.jpg" downloads.</t>
        </is>
      </c>
      <c r="H311" s="12" t="inlineStr">
        <is>
          <t>Different from 1.0: Present and a moodboard replace the view</t>
        </is>
      </c>
      <c r="I311" s="11" t="inlineStr">
        <is>
          <t>Dane</t>
        </is>
      </c>
      <c r="J311" s="15" t="n"/>
      <c r="K311" s="15" t="n"/>
      <c r="L311" s="15" t="n"/>
      <c r="M311" s="16" t="n"/>
      <c r="N311" s="17" t="n"/>
      <c r="O311" s="17" t="n"/>
      <c r="P311" s="15" t="n"/>
    </row>
    <row r="312">
      <c r="A312" s="11" t="n">
        <v>13</v>
      </c>
      <c r="B312" s="11" t="inlineStr">
        <is>
          <t>13.15</t>
        </is>
      </c>
      <c r="C312" s="12" t="inlineStr">
        <is>
          <t>Out to her lead</t>
        </is>
      </c>
      <c r="D312" s="12" t="inlineStr">
        <is>
          <t>AI Visualizer</t>
        </is>
      </c>
      <c r="E312" s="13" t="inlineStr">
        <is>
          <t>Save a render to her Files and come back to it</t>
        </is>
      </c>
      <c r="F312" s="14" t="inlineStr">
        <is>
          <t>1. On V1 open ⋮ › "Save to Files"
2. Press "Open" in the message
3. Click "Information" (ⓘ) and read "From"
4. Open "More options" (⋮) › "Open this version in AI Visualizer"</t>
        </is>
      </c>
      <c r="G312" s="14" t="inlineStr">
        <is>
          <t>"V1 saved to Files › Renders"; "Render - Living room - V1.jpg" reads From "AI Visualizer · Living room · V1"; its menu reopens V1.</t>
        </is>
      </c>
      <c r="H312" s="12" t="inlineStr">
        <is>
          <t>Different from 1.0: 1.0 promised this, never saved</t>
        </is>
      </c>
      <c r="I312" s="11" t="inlineStr">
        <is>
          <t>Dane</t>
        </is>
      </c>
      <c r="J312" s="15" t="n"/>
      <c r="K312" s="15" t="n"/>
      <c r="L312" s="15" t="n"/>
      <c r="M312" s="16" t="n"/>
      <c r="N312" s="17" t="n"/>
      <c r="O312" s="17" t="n"/>
      <c r="P312" s="15" t="n"/>
    </row>
    <row r="313">
      <c r="A313" s="11" t="n">
        <v>13</v>
      </c>
      <c r="B313" s="11" t="inlineStr">
        <is>
          <t>13.16</t>
        </is>
      </c>
      <c r="C313" s="12" t="inlineStr">
        <is>
          <t>Out to her lead</t>
        </is>
      </c>
      <c r="D313" s="12" t="inlineStr">
        <is>
          <t>AI Visualizer</t>
        </is>
      </c>
      <c r="E313" s="13" t="inlineStr">
        <is>
          <t>Turn a version’s finishes into quote lines</t>
        </is>
      </c>
      <c r="F313" s="14" t="inlineStr">
        <is>
          <t>1. On V1 open ⋮ › "Add to a quote…"
2. Read "THE LINES"; under "INTO" "A new quote" is already picked
3. Press "Add to quote", then "Open" in the message
4. Close the quote (✕) to come back</t>
        </is>
      </c>
      <c r="G313" s="14" t="inlineStr">
        <is>
          <t>Two lines, each "In at S$0 — yours to price" ("0 OF 2 PRICED"); "2 lines added"; the quote holds a section "Living room · V1 finishes".</t>
        </is>
      </c>
      <c r="H313" s="12" t="inlineStr">
        <is>
          <t>New in 2.0</t>
        </is>
      </c>
      <c r="I313" s="11" t="inlineStr">
        <is>
          <t>Dane</t>
        </is>
      </c>
      <c r="J313" s="15" t="n"/>
      <c r="K313" s="15" t="n"/>
      <c r="L313" s="15" t="n"/>
      <c r="M313" s="16" t="n"/>
      <c r="N313" s="17" t="n"/>
      <c r="O313" s="17" t="n"/>
      <c r="P313" s="15" t="n"/>
    </row>
    <row r="314">
      <c r="A314" s="11" t="n">
        <v>13</v>
      </c>
      <c r="B314" s="11" t="inlineStr">
        <is>
          <t>13.17</t>
        </is>
      </c>
      <c r="C314" s="12" t="inlineStr">
        <is>
          <t>Out to her lead</t>
        </is>
      </c>
      <c r="D314" s="12" t="inlineStr">
        <is>
          <t>AI Visualizer</t>
        </is>
      </c>
      <c r="E314" s="13" t="inlineStr">
        <is>
          <t>Share two versions with Sophia</t>
        </is>
      </c>
      <c r="F314" s="14" t="inlineStr">
        <is>
          <t>1. Press "Share with client" (top right)
2. Under "LIVING ROOM" V1 is already ticked — tick V2 too; write a line in "A note on the page (optional)"
3. Press "Create link", then "Copy link"
4. Press "Open WhatsApp" — a WhatsApp tab opens: close it, do not send</t>
        </is>
      </c>
      <c r="G314" s="14" t="inlineStr">
        <is>
          <t>Shared versions also go to Files › Renders; "Link copied"; the draft starts "Hi Sophia, here are 2 design ideas for your living room".</t>
        </is>
      </c>
      <c r="H314" s="12" t="inlineStr">
        <is>
          <t>Different from 1.0: pick up to six; WhatsApp, no chat</t>
        </is>
      </c>
      <c r="I314" s="11" t="inlineStr">
        <is>
          <t>Dane</t>
        </is>
      </c>
      <c r="J314" s="15" t="n"/>
      <c r="K314" s="15" t="n"/>
      <c r="L314" s="15" t="n"/>
      <c r="M314" s="16" t="n"/>
      <c r="N314" s="17" t="n"/>
      <c r="O314" s="17" t="n"/>
      <c r="P314" s="15" t="n"/>
    </row>
    <row r="315">
      <c r="A315" s="11" t="n">
        <v>13</v>
      </c>
      <c r="B315" s="11" t="inlineStr">
        <is>
          <t>13.18</t>
        </is>
      </c>
      <c r="C315" s="12" t="inlineStr">
        <is>
          <t>Sophia’s side</t>
        </is>
      </c>
      <c r="D315" s="12" t="inlineStr">
        <is>
          <t>AI Visualizer</t>
        </is>
      </c>
      <c r="E315" s="13" t="inlineStr">
        <is>
          <t>Open the link as Sophia and compare</t>
        </is>
      </c>
      <c r="F315" s="14" t="inlineStr">
        <is>
          <t>1. Open a private window and paste the link
2. Read the page
3. On "Design 1" press "Before and after" and drag the line</t>
        </is>
      </c>
      <c r="G315" s="14" t="inlineStr">
        <is>
          <t>The studio’s letterhead, "FOR SOPHIA", "2 design ideas for your living room", your note; each design lists what changed; the slider shows "Before" and "After".</t>
        </is>
      </c>
      <c r="H315" s="12" t="inlineStr">
        <is>
          <t>Different from 1.0: several designs on one branded page</t>
        </is>
      </c>
      <c r="I315" s="18" t="inlineStr">
        <is>
          <t>Sophia Wong (client)</t>
        </is>
      </c>
      <c r="J315" s="15" t="n"/>
      <c r="K315" s="15" t="n"/>
      <c r="L315" s="15" t="n"/>
      <c r="M315" s="16" t="n"/>
      <c r="N315" s="17" t="n"/>
      <c r="O315" s="17" t="n"/>
      <c r="P315" s="15" t="n"/>
    </row>
    <row r="316">
      <c r="A316" s="11" t="n">
        <v>13</v>
      </c>
      <c r="B316" s="11" t="inlineStr">
        <is>
          <t>13.19</t>
        </is>
      </c>
      <c r="C316" s="12" t="inlineStr">
        <is>
          <t>Sophia’s side</t>
        </is>
      </c>
      <c r="D316" s="12" t="inlineStr">
        <is>
          <t>AI Visualizer</t>
        </is>
      </c>
      <c r="E316" s="13" t="inlineStr">
        <is>
          <t>Pick a favourite, leave a note, pin a change</t>
        </is>
      </c>
      <c r="F316" s="14" t="inlineStr">
        <is>
          <t>1. On "Design 1" press "I like this one"
2. "Leave a note": write Could the floor be a shade lighter?, press "Send"
3. "Pin a note", click the sofa, write Keep this sofa?, press "Pin it"</t>
        </is>
      </c>
      <c r="G316" s="14" t="inlineStr">
        <is>
          <t>"Your favourite" and "Thanks — Dane will see it’s your favourite"; "Sent — Dane will see it"; "Pinned — Dane will see it".</t>
        </is>
      </c>
      <c r="H316" s="12" t="inlineStr">
        <is>
          <t>Different from 1.0: the client answers on the link</t>
        </is>
      </c>
      <c r="I316" s="18" t="inlineStr">
        <is>
          <t>Sophia Wong (client)</t>
        </is>
      </c>
      <c r="J316" s="15" t="n"/>
      <c r="K316" s="15" t="n"/>
      <c r="L316" s="15" t="n"/>
      <c r="M316" s="16" t="n"/>
      <c r="N316" s="17" t="n"/>
      <c r="O316" s="17" t="n"/>
      <c r="P316" s="15" t="n"/>
    </row>
    <row r="317">
      <c r="A317" s="11" t="n">
        <v>13</v>
      </c>
      <c r="B317" s="11" t="inlineStr">
        <is>
          <t>13.20</t>
        </is>
      </c>
      <c r="C317" s="12" t="inlineStr">
        <is>
          <t>Sophia’s side</t>
        </is>
      </c>
      <c r="D317" s="12" t="inlineStr">
        <is>
          <t>AI Visualizer</t>
        </is>
      </c>
      <c r="E317" s="13" t="inlineStr">
        <is>
          <t>Ask the studio to call you back</t>
        </is>
      </c>
      <c r="F317" s="14" t="inlineStr">
        <is>
          <t>1. Scroll to "Want to talk it through?"
2. Leave the number box empty; in "Anything to mention? (optional)" write Evenings are best
3. Press "Ask for a call back"</t>
        </is>
      </c>
      <c r="G317" s="14" t="inlineStr">
        <is>
          <t>It said "Dane will call you back on the number they have for you."; now it reads "Dane will call you back".</t>
        </is>
      </c>
      <c r="H317" s="12" t="inlineStr">
        <is>
          <t>Different from 1.0: the request becomes a task</t>
        </is>
      </c>
      <c r="I317" s="18" t="inlineStr">
        <is>
          <t>Sophia Wong (client)</t>
        </is>
      </c>
      <c r="J317" s="15" t="n"/>
      <c r="K317" s="15" t="n"/>
      <c r="L317" s="15" t="n"/>
      <c r="M317" s="16" t="n"/>
      <c r="N317" s="17" t="n"/>
      <c r="O317" s="17" t="n"/>
      <c r="P317" s="15" t="n"/>
    </row>
    <row r="318">
      <c r="A318" s="11" t="n">
        <v>13</v>
      </c>
      <c r="B318" s="11" t="inlineStr">
        <is>
          <t>13.21</t>
        </is>
      </c>
      <c r="C318" s="12" t="inlineStr">
        <is>
          <t>Back in the studio</t>
        </is>
      </c>
      <c r="D318" s="12" t="inlineStr">
        <is>
          <t>Notifications</t>
        </is>
      </c>
      <c r="E318" s="13" t="inlineStr">
        <is>
          <t>See Sophia’s answers reach Sarah, who owns her</t>
        </is>
      </c>
      <c r="F318" s="14" t="inlineStr">
        <is>
          <t>1. Leave the design with the back arrow; "Demo Studio" block › "View as" › "Sarah"
2. Click "Notifications" (the bell), then "Sophia Wong pinned a note on a render"
3. Press the back arrow and open Sophia’s project › "Tasks"</t>
        </is>
      </c>
      <c r="G318" s="14" t="inlineStr">
        <is>
          <t>Four entries from Sophia; the design opens on V1 with her pin open; Tasks lists "Call Sophia Wong back about the renders" for Sarah and Dane.</t>
        </is>
      </c>
      <c r="H318" s="12" t="inlineStr">
        <is>
          <t>New in 2.0</t>
        </is>
      </c>
      <c r="I318" s="18" t="inlineStr">
        <is>
          <t>Sarah</t>
        </is>
      </c>
      <c r="J318" s="15" t="n"/>
      <c r="K318" s="15" t="n"/>
      <c r="L318" s="15" t="n"/>
      <c r="M318" s="16" t="n"/>
      <c r="N318" s="17" t="n"/>
      <c r="O318" s="17" t="n"/>
      <c r="P318" s="15" t="n"/>
    </row>
    <row r="319">
      <c r="A319" s="11" t="n">
        <v>13</v>
      </c>
      <c r="B319" s="11" t="inlineStr">
        <is>
          <t>13.22</t>
        </is>
      </c>
      <c r="C319" s="12" t="inlineStr">
        <is>
          <t>Back in the studio</t>
        </is>
      </c>
      <c r="D319" s="12" t="inlineStr">
        <is>
          <t>AI Visualizer</t>
        </is>
      </c>
      <c r="E319" s="13" t="inlineStr">
        <is>
          <t>Check who may rename or delete a design</t>
        </is>
      </c>
      <c r="F319" s="14" t="inlineStr">
        <is>
          <t>1. Side navigation "Tools" › "AI Visualizer", open the "Showroom ideas" folder
2. Open ⋮ on "Showroom — kitchen concept"
3. Close it; "Demo Studio" block › "View as" › "Dane"</t>
        </is>
      </c>
      <c r="G319" s="14" t="inlineStr">
        <is>
          <t>"Move to Folder", "Rename" and "Delete" are greyed: "Only Dane, an Owner or an Admin can move, rename or delete this".</t>
        </is>
      </c>
      <c r="H319" s="12" t="inlineStr">
        <is>
          <t>Different from 1.0: the maker’s rule, not an admin-only page</t>
        </is>
      </c>
      <c r="I319" s="18" t="inlineStr">
        <is>
          <t>Sarah</t>
        </is>
      </c>
      <c r="J319" s="15" t="n"/>
      <c r="K319" s="15" t="n"/>
      <c r="L319" s="15" t="n"/>
      <c r="M319" s="16" t="n"/>
      <c r="N319" s="17" t="n"/>
      <c r="O319" s="17" t="n"/>
      <c r="P319" s="15" t="n"/>
    </row>
    <row r="320">
      <c r="A320" s="11" t="n">
        <v>13</v>
      </c>
      <c r="B320" s="11" t="inlineStr">
        <is>
          <t>13.23</t>
        </is>
      </c>
      <c r="C320" s="12" t="inlineStr">
        <is>
          <t>Back in the studio</t>
        </is>
      </c>
      <c r="D320" s="12" t="inlineStr">
        <is>
          <t>Lead details</t>
        </is>
      </c>
      <c r="E320" s="13" t="inlineStr">
        <is>
          <t>Read the design’s trail on Sophia’s lead</t>
        </is>
      </c>
      <c r="F320" s="14" t="inlineStr">
        <is>
          <t>1. Open Sophia’s project › "Files &amp; notes" › "Activity"
2. Read today’s AI Visualizer lines
3. On the project’s "Overview" press the quick link "AI Visualizer", then the back arrow</t>
        </is>
      </c>
      <c r="G320" s="14" t="inlineStr">
        <is>
          <t>Lines "You rendered V1 of “Living room” — Walls, Floor." and "Sophia Wong asked for a call back about the renders."; the link opens it.</t>
        </is>
      </c>
      <c r="H320" s="12" t="inlineStr">
        <is>
          <t>New in 2.0</t>
        </is>
      </c>
      <c r="I320" s="11" t="inlineStr">
        <is>
          <t>Dane</t>
        </is>
      </c>
      <c r="J320" s="15" t="n"/>
      <c r="K320" s="15" t="n"/>
      <c r="L320" s="15" t="n"/>
      <c r="M320" s="16" t="n"/>
      <c r="N320" s="17" t="n"/>
      <c r="O320" s="17" t="n"/>
      <c r="P320" s="15" t="n"/>
    </row>
    <row r="321">
      <c r="A321" s="11" t="n">
        <v>13</v>
      </c>
      <c r="B321" s="11" t="inlineStr">
        <is>
          <t>13.24</t>
        </is>
      </c>
      <c r="C321" s="12" t="inlineStr">
        <is>
          <t>Back in the studio</t>
        </is>
      </c>
      <c r="D321" s="12" t="inlineStr">
        <is>
          <t>AI Visualizer</t>
        </is>
      </c>
      <c r="E321" s="13" t="inlineStr">
        <is>
          <t>Stop sharing the link, then renew it</t>
        </is>
      </c>
      <c r="F321"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21" s="14" t="inlineStr">
        <is>
          <t>The row lists the opening, favourite, note and call back; then it reads "Stopped" and Sophia sees "This link is no longer active"; after "Renew" her page is back.</t>
        </is>
      </c>
      <c r="H321" s="12" t="inlineStr">
        <is>
          <t>Different from 1.0: links can be stopped and renewed</t>
        </is>
      </c>
      <c r="I321" s="11" t="inlineStr">
        <is>
          <t>Dane</t>
        </is>
      </c>
      <c r="J321" s="15" t="n"/>
      <c r="K321" s="15" t="n"/>
      <c r="L321" s="15" t="n"/>
      <c r="M321" s="16" t="n"/>
      <c r="N321" s="17" t="n"/>
      <c r="O321" s="17" t="n"/>
      <c r="P321" s="15" t="n"/>
    </row>
    <row r="322">
      <c r="A322" s="11" t="n">
        <v>13</v>
      </c>
      <c r="B322" s="11" t="inlineStr">
        <is>
          <t>13.25</t>
        </is>
      </c>
      <c r="C322" s="12" t="inlineStr">
        <is>
          <t>The studio’s library</t>
        </is>
      </c>
      <c r="D322" s="12" t="inlineStr">
        <is>
          <t>AI Visualizer</t>
        </is>
      </c>
      <c r="E322" s="13" t="inlineStr">
        <is>
          <t>Find your way round the AI Visualizer page</t>
        </is>
      </c>
      <c r="F322" s="14" t="inlineStr">
        <is>
          <t>1. Side navigation "Tools" › "AI Visualizer"; read the intro and the cards
2. Open "New" and read its three ways in; press Esc
3. Click "Kind: All" › "Personal", then back to "All"
4. Type kitchen in the search box</t>
        </is>
      </c>
      <c r="G322" s="14" t="inlineStr">
        <is>
          <t>Sophia Wong reads "Lead · Won · 2 rooms · …"; cards say when last "edited"; searching leaves Kevin Ng and "Showroom — kitchen concept".</t>
        </is>
      </c>
      <c r="H322" s="12" t="inlineStr">
        <is>
          <t>Different from 1.0: a Kind pill instead of view chips</t>
        </is>
      </c>
      <c r="I322" s="11" t="inlineStr">
        <is>
          <t>Dane</t>
        </is>
      </c>
      <c r="J322" s="15" t="n"/>
      <c r="K322" s="15" t="n"/>
      <c r="L322" s="15" t="n"/>
      <c r="M322" s="16" t="n"/>
      <c r="N322" s="17" t="n"/>
      <c r="O322" s="17" t="n"/>
      <c r="P322" s="15" t="n"/>
    </row>
    <row r="323">
      <c r="A323" s="11" t="n">
        <v>13</v>
      </c>
      <c r="B323" s="11" t="inlineStr">
        <is>
          <t>13.26</t>
        </is>
      </c>
      <c r="C323" s="12" t="inlineStr">
        <is>
          <t>The studio’s library</t>
        </is>
      </c>
      <c r="D323" s="12" t="inlineStr">
        <is>
          <t>AI Visualizer</t>
        </is>
      </c>
      <c r="E323" s="13" t="inlineStr">
        <is>
          <t>Start a design in a folder and render a sketch</t>
        </is>
      </c>
      <c r="F323" s="14" t="inlineStr">
        <is>
          <t>1. Clear the search, open the "Showroom ideas" folder, "New" › "Blank design"
2. Under "Add the first room" › "SAMPLE ROOMS" click "Kitchen sketch"
3. Press "Render from sketch" and wait
4. Press the back arrow</t>
        </is>
      </c>
      <c r="G323" s="14" t="inlineStr">
        <is>
          <t>An empty design opens with the chip "PERSONAL"; "This photo reads as a sketch. …"; "V1 · From sketch" is a kitchen photo; the folder holds your design.</t>
        </is>
      </c>
      <c r="H323" s="12" t="inlineStr">
        <is>
          <t>Different from 1.0: sketch to photo at every width</t>
        </is>
      </c>
      <c r="I323" s="11" t="inlineStr">
        <is>
          <t>Dane</t>
        </is>
      </c>
      <c r="J323" s="15" t="n"/>
      <c r="K323" s="15" t="n"/>
      <c r="L323" s="15" t="n"/>
      <c r="M323" s="16" t="n"/>
      <c r="N323" s="17" t="n"/>
      <c r="O323" s="17" t="n"/>
      <c r="P323" s="15" t="n"/>
    </row>
    <row r="324">
      <c r="A324" s="11" t="n">
        <v>13</v>
      </c>
      <c r="B324" s="11" t="inlineStr">
        <is>
          <t>13.27</t>
        </is>
      </c>
      <c r="C324" s="12" t="inlineStr">
        <is>
          <t>The studio’s library</t>
        </is>
      </c>
      <c r="D324" s="12" t="inlineStr">
        <is>
          <t>AI Visualizer</t>
        </is>
      </c>
      <c r="E324" s="13" t="inlineStr">
        <is>
          <t>Duplicate a design, delete the copy, find it again</t>
        </is>
      </c>
      <c r="F324" s="14" t="inlineStr">
        <is>
          <t>1. On your new design’s card open ⋮ › "Duplicate"
2. On the copy open ⋮ › "Delete", press "Delete", then "Undo"
3. Tick the copy’s box, press "Delete" in the bar and confirm
4. Open "More options" (⋮, top right) › "Deleted Designs"</t>
        </is>
      </c>
      <c r="G324" s="14" t="inlineStr">
        <is>
          <t>"Duplicated as a personal copy"; Undo brings the copy back ("… restored"); the bar offers "Move to Folder"; Deleted Designs lists the copy.</t>
        </is>
      </c>
      <c r="H324" s="12" t="inlineStr">
        <is>
          <t>Different from 1.0: delete has Undo and a Deleted list</t>
        </is>
      </c>
      <c r="I324" s="11" t="inlineStr">
        <is>
          <t>Dane</t>
        </is>
      </c>
      <c r="J324" s="15" t="n"/>
      <c r="K324" s="15" t="n"/>
      <c r="L324" s="15" t="n"/>
      <c r="M324" s="16" t="n"/>
      <c r="N324" s="17" t="n"/>
      <c r="O324" s="17" t="n"/>
      <c r="P324" s="15" t="n"/>
    </row>
    <row r="325">
      <c r="A325" s="11" t="n">
        <v>13</v>
      </c>
      <c r="B325" s="11" t="inlineStr">
        <is>
          <t>13.28</t>
        </is>
      </c>
      <c r="C325" s="12" t="inlineStr">
        <is>
          <t>The studio’s library</t>
        </is>
      </c>
      <c r="D325" s="12" t="inlineStr">
        <is>
          <t>Company</t>
        </is>
      </c>
      <c r="E325" s="13" t="inlineStr">
        <is>
          <t>Add the fluted panel to the studio’s materials</t>
        </is>
      </c>
      <c r="F325" s="14" t="inlineStr">
        <is>
          <t>1. Side navigation "Company" › "Materials", then "New material"
2. Press "Upload a photo", pick fluted-panel.jpg
3. "Name" (replace what is there) Fluted feature wall panel · "Category" Laminates · "Finish" Textured · "Price book item" Fluted feature wall panel
4. Press "Add material"</t>
        </is>
      </c>
      <c r="G325" s="14" t="inlineStr">
        <is>
          <t>"Material added"; its card shows the photo, "Laminates · Textured" and "Quoted as Fluted feature wall panel".</t>
        </is>
      </c>
      <c r="H325" s="12" t="inlineStr">
        <is>
          <t>Different from 1.0: a Company page, linked to the Price book</t>
        </is>
      </c>
      <c r="I325" s="11" t="inlineStr">
        <is>
          <t>Dane</t>
        </is>
      </c>
      <c r="J325" s="15" t="n"/>
      <c r="K325" s="15" t="n"/>
      <c r="L325" s="15" t="n"/>
      <c r="M325" s="16" t="n"/>
      <c r="N325" s="17" t="n"/>
      <c r="O325" s="17" t="n"/>
      <c r="P325" s="15" t="n"/>
    </row>
    <row r="326">
      <c r="A326" s="11" t="n">
        <v>13</v>
      </c>
      <c r="B326" s="11" t="inlineStr">
        <is>
          <t>13.29</t>
        </is>
      </c>
      <c r="C326" s="12" t="inlineStr">
        <is>
          <t>The studio’s library</t>
        </is>
      </c>
      <c r="D326" s="12" t="inlineStr">
        <is>
          <t>AI Visualizer</t>
        </is>
      </c>
      <c r="E326" s="13" t="inlineStr">
        <is>
          <t>Try a sample swatch in this design only</t>
        </is>
      </c>
      <c r="F326" s="14" t="inlineStr">
        <is>
          <t>1. "Tools" › "AI Visualizer" › "Sophia Wong"; click the "Living room" chip, then "Walls"
2. Press "Upload a swatch" and pick fluted-panel.jpg
3. In "Add a material" turn off "Save to the studio’s materials", press "Use in this design"</t>
        </is>
      </c>
      <c r="G326" s="14" t="inlineStr">
        <is>
          <t>The dialog shows the photo and "Renders as #…"; the change reads "Walls → fluted panel"; "YOUR STUDIO" lists it for this design.</t>
        </is>
      </c>
      <c r="H326" s="12" t="inlineStr">
        <is>
          <t>Same as 1.0</t>
        </is>
      </c>
      <c r="I326" s="11" t="inlineStr">
        <is>
          <t>Dane</t>
        </is>
      </c>
      <c r="J326" s="15" t="n"/>
      <c r="K326" s="15" t="n"/>
      <c r="L326" s="15" t="n"/>
      <c r="M326" s="16" t="n"/>
      <c r="N326" s="17" t="n"/>
      <c r="O326" s="17" t="n"/>
      <c r="P326" s="15" t="n"/>
    </row>
    <row r="327">
      <c r="A327" s="11" t="n">
        <v>13</v>
      </c>
      <c r="B327" s="11" t="inlineStr">
        <is>
          <t>13.30</t>
        </is>
      </c>
      <c r="C327" s="12" t="inlineStr">
        <is>
          <t>The studio’s library</t>
        </is>
      </c>
      <c r="D327" s="12" t="inlineStr">
        <is>
          <t>AI Visualizer</t>
        </is>
      </c>
      <c r="E327" s="13" t="inlineStr">
        <is>
          <t>Use the studio’s material and see it priced</t>
        </is>
      </c>
      <c r="F327" s="14" t="inlineStr">
        <is>
          <t>1. In the same picker search Fluted; click "Fluted feature wall panel" under "YOUR STUDIO"
2. Press "Generate"
3. On the new version open ⋮ › "Add to a quote…", read the lines, press "Cancel"</t>
        </is>
      </c>
      <c r="G327" s="14" t="inlineStr">
        <is>
          <t>The change reads "Walls → Fluted feature wall panel"; in the quote dialog that line says "Priced from the Price book" ("1 OF 2 PRICED").</t>
        </is>
      </c>
      <c r="H327" s="12" t="inlineStr">
        <is>
          <t>New in 2.0</t>
        </is>
      </c>
      <c r="I327" s="11" t="inlineStr">
        <is>
          <t>Dane</t>
        </is>
      </c>
      <c r="J327" s="15" t="n"/>
      <c r="K327" s="15" t="n"/>
      <c r="L327" s="15" t="n"/>
      <c r="M327" s="16" t="n"/>
      <c r="N327" s="17" t="n"/>
      <c r="O327" s="17" t="n"/>
      <c r="P327" s="15" t="n"/>
    </row>
    <row r="328">
      <c r="A328" s="11" t="n">
        <v>13</v>
      </c>
      <c r="B328" s="11" t="inlineStr">
        <is>
          <t>13.31</t>
        </is>
      </c>
      <c r="C328" s="12" t="inlineStr">
        <is>
          <t>The studio’s library</t>
        </is>
      </c>
      <c r="D328" s="12" t="inlineStr">
        <is>
          <t>AI Visualizer</t>
        </is>
      </c>
      <c r="E328" s="13" t="inlineStr">
        <is>
          <t>See what Kevin Ng’s client already said</t>
        </is>
      </c>
      <c r="F328" s="14" t="inlineStr">
        <is>
          <t>1. Back on the AI Visualizer page open "Kevin Ng", click the "Living room" chip
2. Click the version tile with the star, then the blue pin on the photo
3. Open "Style"; then "Surfaces" › "Walls"</t>
        </is>
      </c>
      <c r="G328" s="14" t="inlineStr">
        <is>
          <t>A starred favourite; his pin "Is the velvet easy to keep clean? We have a dog." has Dane’s reply; "Kevin’s style: Contemporary — Modern is the nearest …"; "SUGGESTED · MODERN".</t>
        </is>
      </c>
      <c r="H328" s="12" t="inlineStr">
        <is>
          <t>New in 2.0</t>
        </is>
      </c>
      <c r="I328" s="11" t="inlineStr">
        <is>
          <t>Dane</t>
        </is>
      </c>
      <c r="J328" s="15" t="n"/>
      <c r="K328" s="15" t="n"/>
      <c r="L328" s="15" t="n"/>
      <c r="M328" s="16" t="n"/>
      <c r="N328" s="17" t="n"/>
      <c r="O328" s="17" t="n"/>
      <c r="P328" s="15" t="n"/>
    </row>
    <row r="329">
      <c r="A329" s="11" t="n">
        <v>13</v>
      </c>
      <c r="B329" s="11" t="inlineStr">
        <is>
          <t>13.32</t>
        </is>
      </c>
      <c r="C329" s="12" t="inlineStr">
        <is>
          <t>On a phone</t>
        </is>
      </c>
      <c r="D329" s="12" t="inlineStr">
        <is>
          <t>Phone</t>
        </is>
      </c>
      <c r="E329" s="13" t="inlineStr">
        <is>
          <t>Change a finish on the phone</t>
        </is>
      </c>
      <c r="F329" s="14" t="inlineStr">
        <is>
          <t>1. On the phone (the "Network" address, as in chapter 12): bottom bar "Tools" › "AI Visualizer" › "Sophia Wong"
2. Tap "Surfaces" in the dock, tap "Walls", tap any paint (e.g. "Warm Greige")
3. Tap "Generate" above the dock
4. Tap "Tools" in the dock and look</t>
        </is>
      </c>
      <c r="G329" s="14" t="inlineStr">
        <is>
          <t>Room chips, photo, "VERSIONS", a five-mode dock; the panel rises; the bar counts "1 change"; a version lands; "Furnish the room" is greyed, saying why.</t>
        </is>
      </c>
      <c r="H329" s="12" t="inlineStr">
        <is>
          <t>Different from 1.0: every tool on a phone, furnish too</t>
        </is>
      </c>
      <c r="I329" s="11" t="inlineStr">
        <is>
          <t>Dane</t>
        </is>
      </c>
      <c r="J329" s="15" t="n"/>
      <c r="K329" s="15" t="n"/>
      <c r="L329" s="15" t="n"/>
      <c r="M329" s="16" t="n"/>
      <c r="N329" s="17" t="n"/>
      <c r="O329" s="17" t="n"/>
      <c r="P329" s="15" t="n"/>
    </row>
    <row r="330">
      <c r="A330" s="11" t="n">
        <v>13</v>
      </c>
      <c r="B330" s="11" t="inlineStr">
        <is>
          <t>13.33</t>
        </is>
      </c>
      <c r="C330" s="12" t="inlineStr">
        <is>
          <t>On a phone</t>
        </is>
      </c>
      <c r="D330" s="12" t="inlineStr">
        <is>
          <t>Phone</t>
        </is>
      </c>
      <c r="E330" s="13" t="inlineStr">
        <is>
          <t>Open Sophia’s link on the phone and compare</t>
        </is>
      </c>
      <c r="F330" s="14" t="inlineStr">
        <is>
          <t>1. In the design tap "Share with client" (the send icon)
2. Under "SHARED BEFORE" tap "Open the link" (↗)
3. On "Design 1" tap "Before and after" and drag the line with a finger</t>
        </is>
      </c>
      <c r="G330" s="14" t="inlineStr">
        <is>
          <t>Sophia’s page fits the phone; the line follows your finger; "Your favourite" still marks Design 1.</t>
        </is>
      </c>
      <c r="H330" s="12" t="inlineStr">
        <is>
          <t>Same as 1.0</t>
        </is>
      </c>
      <c r="I330" s="18" t="inlineStr">
        <is>
          <t>Sophia Wong (client)</t>
        </is>
      </c>
      <c r="J330" s="15" t="n"/>
      <c r="K330" s="15" t="n"/>
      <c r="L330" s="15" t="n"/>
      <c r="M330" s="16" t="n"/>
      <c r="N330" s="17" t="n"/>
      <c r="O330" s="17" t="n"/>
      <c r="P330" s="15" t="n"/>
    </row>
    <row r="331" ht="22" customHeight="1">
      <c r="A331" s="9" t="inlineStr">
        <is>
          <t>Chapter 14 · Plans and AI credits — The studio’s AI credits, Plans inside the app, the price before every press, running out, and the usage page.</t>
        </is>
      </c>
      <c r="M331" s="10" t="n"/>
    </row>
    <row r="332">
      <c r="A332" s="11" t="n">
        <v>14</v>
      </c>
      <c r="B332" s="11" t="inlineStr">
        <is>
          <t>14.01</t>
        </is>
      </c>
      <c r="C332" s="12" t="inlineStr">
        <is>
          <t>The studio's AI credits</t>
        </is>
      </c>
      <c r="D332" s="12" t="inlineStr">
        <is>
          <t>AI credits</t>
        </is>
      </c>
      <c r="E332" s="13" t="inlineStr">
        <is>
          <t>Read the studio's AI credits in the side navigation</t>
        </is>
      </c>
      <c r="F332" s="14" t="inlineStr">
        <is>
          <t>1. Point at the spark above "Tools" in the side navigation and read the tooltip
2. Expand the navigation (the logo, top left) and read the row
3. Click the row and read the card, then press Esc</t>
        </is>
      </c>
      <c r="G332"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32" s="12" t="inlineStr">
        <is>
          <t>Different from 1.0: the balance is where Upgrade was, and a click (not a hover) opens its card</t>
        </is>
      </c>
      <c r="I332" s="11" t="inlineStr">
        <is>
          <t>Dane</t>
        </is>
      </c>
      <c r="J332" s="15" t="n"/>
      <c r="K332" s="15" t="n"/>
      <c r="L332" s="15" t="n"/>
      <c r="M332" s="16" t="n"/>
      <c r="N332" s="17" t="n"/>
      <c r="O332" s="17" t="n"/>
      <c r="P332" s="15" t="n"/>
    </row>
    <row r="333">
      <c r="A333" s="11" t="n">
        <v>14</v>
      </c>
      <c r="B333" s="11" t="inlineStr">
        <is>
          <t>14.02</t>
        </is>
      </c>
      <c r="C333" s="12" t="inlineStr">
        <is>
          <t>Plans, without leaving the page</t>
        </is>
      </c>
      <c r="D333" s="12" t="inlineStr">
        <is>
          <t>AI credits</t>
        </is>
      </c>
      <c r="E333" s="13" t="inlineStr">
        <is>
          <t>Look at the plans from inside the app</t>
        </is>
      </c>
      <c r="F333" s="14" t="inlineStr">
        <is>
          <t>1. Open the AI credits card and press "Change plan"
2. Read the three cards; switch to "Annual · 1 month free", then back to "Monthly"
3. Switch Pro to "Freelance", read why, then back to "Studio"
4. Open "Compare everything" and one of the Questions; close Plans with ✕</t>
        </is>
      </c>
      <c r="G333" s="14" t="inlineStr">
        <is>
          <t>Plans opens over the page you were on; Pro says "Your plan"; "S$240 /month" for 7 seats; annual shows "S$2,640 /year" with "S$220 a month, saves S$240"; Freelance says "Freelance is for one person — you have 7 members."; prices say "Prices in S$" with your GST line.</t>
        </is>
      </c>
      <c r="H333" s="12" t="inlineStr">
        <is>
          <t>Different from 1.0: the pricing page opens inside the app</t>
        </is>
      </c>
      <c r="I333" s="11" t="inlineStr">
        <is>
          <t>Dane</t>
        </is>
      </c>
      <c r="J333" s="15" t="n"/>
      <c r="K333" s="15" t="n"/>
      <c r="L333" s="15" t="n"/>
      <c r="M333" s="16" t="n"/>
      <c r="N333" s="17" t="n"/>
      <c r="O333" s="17" t="n"/>
      <c r="P333" s="15" t="n"/>
    </row>
    <row r="334">
      <c r="A334" s="11" t="n">
        <v>14</v>
      </c>
      <c r="B334" s="11" t="inlineStr">
        <is>
          <t>14.03</t>
        </is>
      </c>
      <c r="C334" s="12" t="inlineStr">
        <is>
          <t>The upgrade, played from Free</t>
        </is>
      </c>
      <c r="D334" s="12" t="inlineStr">
        <is>
          <t>AI credits</t>
        </is>
      </c>
      <c r="E334" s="13" t="inlineStr">
        <is>
          <t>Put the studio on Free for a demo</t>
        </is>
      </c>
      <c r="F334" s="14" t="inlineStr">
        <is>
          <t>1. Click "Demo Studio" at the bottom of the side navigation
2. Under "Studio plan · demo only" choose "Free"
3. Read the side navigation (expanded and collapsed)</t>
        </is>
      </c>
      <c r="G334" s="14" t="inlineStr">
        <is>
          <t>"Studio plan: Free (demo)"; the slot reads "Upgrade" with the gem, the Free balance quiet at its end (expanded) and in its tooltip (collapsed).</t>
        </is>
      </c>
      <c r="H334" s="12" t="inlineStr">
        <is>
          <t>New in 2.0 (demo only)</t>
        </is>
      </c>
      <c r="I334" s="11" t="inlineStr">
        <is>
          <t>Dane</t>
        </is>
      </c>
      <c r="J334" s="15" t="n"/>
      <c r="K334" s="15" t="n"/>
      <c r="L334" s="15" t="n"/>
      <c r="M334" s="16" t="n"/>
      <c r="N334" s="17" t="n"/>
      <c r="O334" s="17" t="n"/>
      <c r="P334" s="15" t="n"/>
    </row>
    <row r="335">
      <c r="A335" s="11" t="n">
        <v>14</v>
      </c>
      <c r="B335" s="11" t="inlineStr">
        <is>
          <t>14.04</t>
        </is>
      </c>
      <c r="C335" s="12" t="inlineStr">
        <is>
          <t>The upgrade, played from Free</t>
        </is>
      </c>
      <c r="D335" s="12" t="inlineStr">
        <is>
          <t>AI credits</t>
        </is>
      </c>
      <c r="E335" s="13" t="inlineStr">
        <is>
          <t>Upgrade to Pro with the 14-day trial</t>
        </is>
      </c>
      <c r="F335"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35"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35" s="12" t="inlineStr">
        <is>
          <t>Different from 1.0: upgrading happens inside the app, with the trial and the price said before paying</t>
        </is>
      </c>
      <c r="I335" s="11" t="inlineStr">
        <is>
          <t>Dane</t>
        </is>
      </c>
      <c r="J335" s="15" t="n"/>
      <c r="K335" s="15" t="n"/>
      <c r="L335" s="15" t="n"/>
      <c r="M335" s="16" t="n"/>
      <c r="N335" s="17" t="n"/>
      <c r="O335" s="17" t="n"/>
      <c r="P335" s="15" t="n"/>
    </row>
    <row r="336">
      <c r="A336" s="11" t="n">
        <v>14</v>
      </c>
      <c r="B336" s="11" t="inlineStr">
        <is>
          <t>14.05</t>
        </is>
      </c>
      <c r="C336" s="12" t="inlineStr">
        <is>
          <t>The price before the press</t>
        </is>
      </c>
      <c r="D336" s="12" t="inlineStr">
        <is>
          <t>AI Visualizer</t>
        </is>
      </c>
      <c r="E336" s="13" t="inlineStr">
        <is>
          <t>See what a render costs before you press</t>
        </is>
      </c>
      <c r="F336" s="14" t="inlineStr">
        <is>
          <t>1. Open Sophia Wong's lead and click the "AI Visualizer" quick link
2. Click a square on a wall and pick any finish
3. Read Generate and the line under it; press "Change"
4. Set Versions to 2 and Quality to High, read the price, then set 1 and Fast again</t>
        </is>
      </c>
      <c r="G336" s="14" t="inlineStr">
        <is>
          <t>Generate carries its price on a chip (10 for one Fast version, 40 for two High); the line reads "Makes 1 version · Fast · 10 AI credits · … left after"; Quality reads "Fast · 10" and "High · 20"; the top bar's balance chip matches the side navigation.</t>
        </is>
      </c>
      <c r="H336" s="12" t="inlineStr">
        <is>
          <t>Different from 1.0: every metered button shows its price, on the phone too</t>
        </is>
      </c>
      <c r="I336" s="11" t="inlineStr">
        <is>
          <t>Dane</t>
        </is>
      </c>
      <c r="J336" s="15" t="n"/>
      <c r="K336" s="15" t="n"/>
      <c r="L336" s="15" t="n"/>
      <c r="M336" s="16" t="n"/>
      <c r="N336" s="17" t="n"/>
      <c r="O336" s="17" t="n"/>
      <c r="P336" s="15" t="n"/>
    </row>
    <row r="337">
      <c r="A337" s="11" t="n">
        <v>14</v>
      </c>
      <c r="B337" s="11" t="inlineStr">
        <is>
          <t>14.06</t>
        </is>
      </c>
      <c r="C337" s="12" t="inlineStr">
        <is>
          <t>The price before the press</t>
        </is>
      </c>
      <c r="D337" s="12" t="inlineStr">
        <is>
          <t>AI Visualizer</t>
        </is>
      </c>
      <c r="E337" s="13" t="inlineStr">
        <is>
          <t>Render, then stop one halfway</t>
        </is>
      </c>
      <c r="F337" s="14" t="inlineStr">
        <is>
          <t>1. Press Generate and watch the balance chip
2. Pick another finish, press Generate, then "Stop" on the progress card</t>
        </is>
      </c>
      <c r="G337" s="14" t="inlineStr">
        <is>
          <t>The chip drops by the price as the render starts; a one-time tip explains AI credits ("A render that fails costs nothing"); Stop says "Stopped — nothing was kept or charged" and the chip goes back.</t>
        </is>
      </c>
      <c r="H337" s="12" t="inlineStr">
        <is>
          <t>Different from 1.0: a stopped or failed render says its credits are back</t>
        </is>
      </c>
      <c r="I337" s="11" t="inlineStr">
        <is>
          <t>Dane</t>
        </is>
      </c>
      <c r="J337" s="15" t="n"/>
      <c r="K337" s="15" t="n"/>
      <c r="L337" s="15" t="n"/>
      <c r="M337" s="16" t="n"/>
      <c r="N337" s="17" t="n"/>
      <c r="O337" s="17" t="n"/>
      <c r="P337" s="15" t="n"/>
    </row>
    <row r="338">
      <c r="A338" s="11" t="n">
        <v>14</v>
      </c>
      <c r="B338" s="11" t="inlineStr">
        <is>
          <t>14.07</t>
        </is>
      </c>
      <c r="C338" s="12" t="inlineStr">
        <is>
          <t>Running out</t>
        </is>
      </c>
      <c r="D338" s="12" t="inlineStr">
        <is>
          <t>AI credits</t>
        </is>
      </c>
      <c r="E338" s="13" t="inlineStr">
        <is>
          <t>Run out, buy, and let the render carry on</t>
        </is>
      </c>
      <c r="F338" s="14" t="inlineStr">
        <is>
          <t>1. Demo Studio › "Studio plan · demo only" › "Almost out"
2. In the AI Visualizer pick a finish and set 2 versions; read the line under Generate
3. Press Generate; in "Out of AI credits" press "Buy 1,000 and render · S$20"
4. Press "Complete demo payment"</t>
        </is>
      </c>
      <c r="G338"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38" s="12" t="inlineStr">
        <is>
          <t>Different from 1.0: buying happens in the dialog and the work carries on</t>
        </is>
      </c>
      <c r="I338" s="11" t="inlineStr">
        <is>
          <t>Dane</t>
        </is>
      </c>
      <c r="J338" s="15" t="n"/>
      <c r="K338" s="15" t="n"/>
      <c r="L338" s="15" t="n"/>
      <c r="M338" s="16" t="n"/>
      <c r="N338" s="17" t="n"/>
      <c r="O338" s="17" t="n"/>
      <c r="P338" s="15" t="n"/>
    </row>
    <row r="339">
      <c r="A339" s="11" t="n">
        <v>14</v>
      </c>
      <c r="B339" s="11" t="inlineStr">
        <is>
          <t>14.08</t>
        </is>
      </c>
      <c r="C339" s="12" t="inlineStr">
        <is>
          <t>Reading a quote</t>
        </is>
      </c>
      <c r="D339" s="12" t="inlineStr">
        <is>
          <t>Quotes</t>
        </is>
      </c>
      <c r="E339" s="13" t="inlineStr">
        <is>
          <t>Read an old quote from a spreadsheet</t>
        </is>
      </c>
      <c r="F339" s="14" t="inlineStr">
        <is>
          <t>1. Open Gerald Tan's lead › "Quotes" › "Create Quote"
2. Read the "Upload a quote" tile, click it and choose uat-files/gerald-tan-old-quote.xlsx
3. Watch the side navigation's balance, then press "Cancel"</t>
        </is>
      </c>
      <c r="G339" s="14" t="inlineStr">
        <is>
          <t>The tile reads "XLSX · CSV · PDF · 5 AI credits"; "6 lines read … · S$14,880.00"; the balance is 5 lower (reading a quote is 5).</t>
        </is>
      </c>
      <c r="H339" s="12" t="inlineStr">
        <is>
          <t>Same as 1.0 (Digitize quote, 5), now shown on the tile</t>
        </is>
      </c>
      <c r="I339" s="11" t="inlineStr">
        <is>
          <t>Dane</t>
        </is>
      </c>
      <c r="J339" s="15" t="n"/>
      <c r="K339" s="15" t="n"/>
      <c r="L339" s="15" t="n"/>
      <c r="M339" s="16" t="n"/>
      <c r="N339" s="17" t="n"/>
      <c r="O339" s="17" t="n"/>
      <c r="P339" s="15" t="n"/>
    </row>
    <row r="340">
      <c r="A340" s="11" t="n">
        <v>14</v>
      </c>
      <c r="B340" s="11" t="inlineStr">
        <is>
          <t>14.09</t>
        </is>
      </c>
      <c r="C340" s="12" t="inlineStr">
        <is>
          <t>Where the credits went</t>
        </is>
      </c>
      <c r="D340" s="12" t="inlineStr">
        <is>
          <t>Company</t>
        </is>
      </c>
      <c r="E340" s="13" t="inlineStr">
        <is>
          <t>Read the studio's usage</t>
        </is>
      </c>
      <c r="F340" s="14" t="inlineStr">
        <is>
          <t>1. Side navigation "Company" › "Plan &amp; AI credits"
2. Read the three tiles
3. Change "Period: This month" to "Last month", then back
4. In Activity search "render"; click one row's "For" link, come back; press "Export" and export a CSV</t>
        </is>
      </c>
      <c r="G340" s="14" t="inlineStr">
        <is>
          <t>"AI credits left", "Used · this month" (with its S$ at the top-up price), "At this pace"; By member lists every active member; By tool (no US$ cost); By lead with "Won … of the … leads with renders"; each render links its design; the CSV downloads.</t>
        </is>
      </c>
      <c r="H340" s="12" t="inlineStr">
        <is>
          <t>Different from 1.0: Company › Plan &amp; AI credits replaces Settings › Usage &amp; credits; no provider cost</t>
        </is>
      </c>
      <c r="I340" s="11" t="inlineStr">
        <is>
          <t>Dane</t>
        </is>
      </c>
      <c r="J340" s="15" t="n"/>
      <c r="K340" s="15" t="n"/>
      <c r="L340" s="15" t="n"/>
      <c r="M340" s="16" t="n"/>
      <c r="N340" s="17" t="n"/>
      <c r="O340" s="17" t="n"/>
      <c r="P340" s="15" t="n"/>
    </row>
    <row r="341">
      <c r="A341" s="11" t="n">
        <v>14</v>
      </c>
      <c r="B341" s="11" t="inlineStr">
        <is>
          <t>14.10</t>
        </is>
      </c>
      <c r="C341" s="12" t="inlineStr">
        <is>
          <t>Where the credits went</t>
        </is>
      </c>
      <c r="D341" s="12" t="inlineStr">
        <is>
          <t>Company</t>
        </is>
      </c>
      <c r="E341" s="13" t="inlineStr">
        <is>
          <t>Give Sarah a monthly amount, and new members a default</t>
        </is>
      </c>
      <c r="F341" s="14" t="inlineStr">
        <is>
          <t>1. In By member press Sarah's "600 a month ▾" and choose "1,000 a month"
2. Press "Undo" in the message
3. Press "New members: No limit ▾" and choose "300 a month"</t>
        </is>
      </c>
      <c r="G341" s="14" t="inlineStr">
        <is>
          <t>"Sarah can use 1,000 AI credits a month" with Undo; Undo puts 600 back; "New members start with 300 AI credits a month".</t>
        </is>
      </c>
      <c r="H341" s="12" t="inlineStr">
        <is>
          <t>Different from 1.0: every member listed, quick picks, Undo, a default for new members</t>
        </is>
      </c>
      <c r="I341" s="11" t="inlineStr">
        <is>
          <t>Dane</t>
        </is>
      </c>
      <c r="J341" s="15" t="n"/>
      <c r="K341" s="15" t="n"/>
      <c r="L341" s="15" t="n"/>
      <c r="M341" s="16" t="n"/>
      <c r="N341" s="17" t="n"/>
      <c r="O341" s="17" t="n"/>
      <c r="P341" s="15" t="n"/>
    </row>
    <row r="342">
      <c r="A342" s="11" t="n">
        <v>14</v>
      </c>
      <c r="B342" s="11" t="inlineStr">
        <is>
          <t>14.11</t>
        </is>
      </c>
      <c r="C342" s="12" t="inlineStr">
        <is>
          <t>Asking for more</t>
        </is>
      </c>
      <c r="D342" s="12" t="inlineStr">
        <is>
          <t>AI credits</t>
        </is>
      </c>
      <c r="E342" s="13" t="inlineStr">
        <is>
          <t>Sarah runs short and asks Dane</t>
        </is>
      </c>
      <c r="F342" s="14" t="inlineStr">
        <is>
          <t>1. In By member set Sarah to "Another amount…" 10 and Save
2. Demo Studio › View as › Sarah
3. Open Tools › "AI Visualizer" and a design (or New ▾ › "From a sample room…"), pick a finish, set 2 versions and press Generate
4. Press "Ask Dane for more"</t>
        </is>
      </c>
      <c r="G342" s="14" t="inlineStr">
        <is>
          <t>"Needs 20 — you can use 10"; after asking, "Asked Dane · we’ll tell you when it’s answered. Your changes are kept." Sarah's side navigation shows only the amount Sarah has left, never the studio's balance.</t>
        </is>
      </c>
      <c r="H342" s="12" t="inlineStr">
        <is>
          <t>Different from 1.0: "Request more" now sends a real request</t>
        </is>
      </c>
      <c r="I342" s="18" t="inlineStr">
        <is>
          <t>Sarah</t>
        </is>
      </c>
      <c r="J342" s="15" t="n"/>
      <c r="K342" s="15" t="n"/>
      <c r="L342" s="15" t="n"/>
      <c r="M342" s="16" t="n"/>
      <c r="N342" s="17" t="n"/>
      <c r="O342" s="17" t="n"/>
      <c r="P342" s="15" t="n"/>
    </row>
    <row r="343">
      <c r="A343" s="11" t="n">
        <v>14</v>
      </c>
      <c r="B343" s="11" t="inlineStr">
        <is>
          <t>14.12</t>
        </is>
      </c>
      <c r="C343" s="12" t="inlineStr">
        <is>
          <t>Asking for more</t>
        </is>
      </c>
      <c r="D343" s="12" t="inlineStr">
        <is>
          <t>Notifications</t>
        </is>
      </c>
      <c r="E343" s="13" t="inlineStr">
        <is>
          <t>Answer Sarah's ask</t>
        </is>
      </c>
      <c r="F343" s="14" t="inlineStr">
        <is>
          <t>1. Demo Studio › View as › Dane
2. Open the bell and click "Sarah asks for more AI credits…"
3. On Plan &amp; AI credits press "Raise to …"</t>
        </is>
      </c>
      <c r="G343" s="14" t="inlineStr">
        <is>
          <t>The ask waits at the top of Usage with "Raise to …" and "Another amount"; Company's panel row shows "1 ask" until it is answered; after raising, the ask is gone, and Sarah's bell (View as › Sarah) says "Dane raised your monthly AI credits to …".</t>
        </is>
      </c>
      <c r="H343" s="12" t="inlineStr">
        <is>
          <t>New in 2.0</t>
        </is>
      </c>
      <c r="I343" s="11" t="inlineStr">
        <is>
          <t>Dane</t>
        </is>
      </c>
      <c r="J343" s="15" t="n"/>
      <c r="K343" s="15" t="n"/>
      <c r="L343" s="15" t="n"/>
      <c r="M343" s="16" t="n"/>
      <c r="N343" s="17" t="n"/>
      <c r="O343" s="17" t="n"/>
      <c r="P343" s="15" t="n"/>
    </row>
    <row r="344">
      <c r="A344" s="11" t="n">
        <v>14</v>
      </c>
      <c r="B344" s="11" t="inlineStr">
        <is>
          <t>14.13</t>
        </is>
      </c>
      <c r="C344" s="12" t="inlineStr">
        <is>
          <t>The plan and the bills</t>
        </is>
      </c>
      <c r="D344" s="12" t="inlineStr">
        <is>
          <t>Company</t>
        </is>
      </c>
      <c r="E344" s="13" t="inlineStr">
        <is>
          <t>Read Plan &amp; billing; cancel and keep the plan</t>
        </is>
      </c>
      <c r="F344" s="14" t="inlineStr">
        <is>
          <t>1. Plan &amp; AI credits › "Plan &amp; billing"
2. Download one invoice's PDF
3. Press "Manage billing" › "Cancel at the period’s end" and confirm
4. Press "Keep Pro — Studio"</t>
        </is>
      </c>
      <c r="G344" s="14" t="inlineStr">
        <is>
          <t>The plan with seats, price and the next date; top-ups that never expire; the demo card; billing details from Profile; invoices with a PDF each; cancelling says when it ends and that top-ups stay; Keep puts it back.</t>
        </is>
      </c>
      <c r="H344" s="12" t="inlineStr">
        <is>
          <t>Different from 1.0: Change plan and cancel work (1.0's were disabled)</t>
        </is>
      </c>
      <c r="I344" s="11" t="inlineStr">
        <is>
          <t>Dane</t>
        </is>
      </c>
      <c r="J344" s="15" t="n"/>
      <c r="K344" s="15" t="n"/>
      <c r="L344" s="15" t="n"/>
      <c r="M344" s="16" t="n"/>
      <c r="N344" s="17" t="n"/>
      <c r="O344" s="17" t="n"/>
      <c r="P344" s="15" t="n"/>
    </row>
    <row r="345">
      <c r="A345" s="11" t="n">
        <v>14</v>
      </c>
      <c r="B345" s="11" t="inlineStr">
        <is>
          <t>14.14</t>
        </is>
      </c>
      <c r="C345" s="12" t="inlineStr">
        <is>
          <t>The plan and the bills</t>
        </is>
      </c>
      <c r="D345" s="12" t="inlineStr">
        <is>
          <t>Company</t>
        </is>
      </c>
      <c r="E345" s="13" t="inlineStr">
        <is>
          <t>See a failed payment</t>
        </is>
      </c>
      <c r="F345" s="14" t="inlineStr">
        <is>
          <t>1. Demo Studio › "Studio plan · demo only" › "Payment failed"
2. Read the bell and Plan &amp; billing
3. Press "Update the card", then "Update the card and pay S$240"</t>
        </is>
      </c>
      <c r="G345" s="14" t="inlineStr">
        <is>
          <t>The bell and a red banner: the payment didn't go through, Pro stays until a date 14 days on, then Free with the top-ups kept; after updating, "Card updated — the payment went through".</t>
        </is>
      </c>
      <c r="H345" s="12" t="inlineStr">
        <is>
          <t>New in 2.0 (1.0's lapse is silent)</t>
        </is>
      </c>
      <c r="I345" s="11" t="inlineStr">
        <is>
          <t>Dane</t>
        </is>
      </c>
      <c r="J345" s="15" t="n"/>
      <c r="K345" s="15" t="n"/>
      <c r="L345" s="15" t="n"/>
      <c r="M345" s="16" t="n"/>
      <c r="N345" s="17" t="n"/>
      <c r="O345" s="17" t="n"/>
      <c r="P345" s="15" t="n"/>
    </row>
    <row r="346">
      <c r="A346" s="11" t="n">
        <v>14</v>
      </c>
      <c r="B346" s="11" t="inlineStr">
        <is>
          <t>14.15</t>
        </is>
      </c>
      <c r="C346" s="12" t="inlineStr">
        <is>
          <t>Rules and the phone</t>
        </is>
      </c>
      <c r="D346" s="12" t="inlineStr">
        <is>
          <t>Settings</t>
        </is>
      </c>
      <c r="E346" s="13" t="inlineStr">
        <is>
          <t>Check who may do what, and the new notices</t>
        </is>
      </c>
      <c r="F346" s="14" t="inlineStr">
        <is>
          <t>1. Settings › "Roles &amp; access" › "Who may do what": read the AI rows
2. Settings › Notifications: find the AI credits events
3. Plans › Max › "Talk to us": type a phone number and press Send</t>
        </is>
      </c>
      <c r="G346" s="14" t="inlineStr">
        <is>
          <t>Rows "Buy AI credits or turn on auto top-up" and "Change the plan, seats and billing" (the Owner only), "Set members’ monthly AI credits", "See the studio’s AI usage" (Owner and Admins; everyone else their own); eight AI credits events; "Sent — our team will call you within a working day".</t>
        </is>
      </c>
      <c r="H346" s="12" t="inlineStr">
        <is>
          <t>Same rules as 1.0: only the Owner buys and changes the plan</t>
        </is>
      </c>
      <c r="I346" s="11" t="inlineStr">
        <is>
          <t>Dane</t>
        </is>
      </c>
      <c r="J346" s="15" t="n"/>
      <c r="K346" s="15" t="n"/>
      <c r="L346" s="15" t="n"/>
      <c r="M346" s="16" t="n"/>
      <c r="N346" s="17" t="n"/>
      <c r="O346" s="17" t="n"/>
      <c r="P346" s="15" t="n"/>
    </row>
    <row r="347">
      <c r="A347" s="11" t="n">
        <v>14</v>
      </c>
      <c r="B347" s="11" t="inlineStr">
        <is>
          <t>14.16</t>
        </is>
      </c>
      <c r="C347" s="12" t="inlineStr">
        <is>
          <t>Rules and the phone</t>
        </is>
      </c>
      <c r="D347" s="12" t="inlineStr">
        <is>
          <t>Phone</t>
        </is>
      </c>
      <c r="E347" s="13" t="inlineStr">
        <is>
          <t>The credits on a phone, then back to the base plan</t>
        </is>
      </c>
      <c r="F347" s="14" t="inlineStr">
        <is>
          <t>1. On a phone (or a 390-wide window) open More: read the first row and tap it
2. Press "Change plan" and scroll Plans; close it
3. Demo Studio › View as › "Pro — Studio"</t>
        </is>
      </c>
      <c r="G347" s="14" t="inlineStr">
        <is>
          <t>More’s first row is the AI credits card ("… AI credits · Refreshes …"); the card opens as a sheet; Plans rises as the tallest sheet; "Studio plan: Pro — Studio (demo)" — the studio’s own plan as it was before you picked Free: 7 seats, the same month, no new invoice in Plan &amp; billing; what Almost out held back is back, and only real renders and reads stay spent.</t>
        </is>
      </c>
      <c r="H347" s="12" t="inlineStr">
        <is>
          <t>Different from 1.0: 1.0 shows no credits below 1024</t>
        </is>
      </c>
      <c r="I347" s="11" t="inlineStr">
        <is>
          <t>Dane</t>
        </is>
      </c>
      <c r="J347" s="15" t="n"/>
      <c r="K347" s="15" t="n"/>
      <c r="L347" s="15" t="n"/>
      <c r="M347" s="16" t="n"/>
      <c r="N347" s="17" t="n"/>
      <c r="O347" s="17" t="n"/>
      <c r="P347" s="15" t="n"/>
    </row>
    <row r="348" ht="22" customHeight="1">
      <c r="A348" s="9" t="inlineStr">
        <is>
          <t>Chapter 15 · Find anything — The studio-wide search: from the side navigation or ⌘K, by name, phone or number, one kind at a time, on a phone.</t>
        </is>
      </c>
      <c r="M348" s="10" t="n"/>
    </row>
    <row r="349">
      <c r="A349" s="11" t="n">
        <v>15</v>
      </c>
      <c r="B349" s="11" t="inlineStr">
        <is>
          <t>15.01</t>
        </is>
      </c>
      <c r="C349" s="12" t="inlineStr">
        <is>
          <t>Search from anywhere</t>
        </is>
      </c>
      <c r="D349" s="12" t="inlineStr">
        <is>
          <t>Shell</t>
        </is>
      </c>
      <c r="E349" s="13" t="inlineStr">
        <is>
          <t>Open the search from the side navigation</t>
        </is>
      </c>
      <c r="F349" s="14" t="inlineStr">
        <is>
          <t>1. Press "Search" at the top of the side navigation
2. Read what it offers before you type
3. Press Esc</t>
        </is>
      </c>
      <c r="G349" s="14" t="inlineStr">
        <is>
          <t>A panel opens beside the navigation with the cursor in its field. Before you type it offers "Go to" — Leads, Projects, Tasks, Quotes, Contracts, AI Visualizer, Templates, Roles &amp; access and Keyboard shortcuts, then a "Create" group. Esc closes it.</t>
        </is>
      </c>
      <c r="H349" s="12" t="inlineStr">
        <is>
          <t>New in 2.0</t>
        </is>
      </c>
      <c r="I349" s="11" t="inlineStr">
        <is>
          <t>Dane</t>
        </is>
      </c>
      <c r="J349" s="15" t="n"/>
      <c r="K349" s="15" t="n"/>
      <c r="L349" s="15" t="n"/>
      <c r="M349" s="16" t="n"/>
      <c r="N349" s="17" t="n"/>
      <c r="O349" s="17" t="n"/>
      <c r="P349" s="15" t="n"/>
    </row>
    <row r="350">
      <c r="A350" s="11" t="n">
        <v>15</v>
      </c>
      <c r="B350" s="11" t="inlineStr">
        <is>
          <t>15.02</t>
        </is>
      </c>
      <c r="C350" s="12" t="inlineStr">
        <is>
          <t>Search from anywhere</t>
        </is>
      </c>
      <c r="D350" s="12" t="inlineStr">
        <is>
          <t>Shell</t>
        </is>
      </c>
      <c r="E350" s="13" t="inlineStr">
        <is>
          <t>Find a lead by name</t>
        </is>
      </c>
      <c r="F350" s="14" t="inlineStr">
        <is>
          <t>1. Open the search and type "sophia"
2. Read the Leads group
3. Press ↵</t>
        </is>
      </c>
      <c r="G350" s="14" t="inlineStr">
        <is>
          <t>Sophia Wong comes first under Leads with the lead's phone, property type, source and stage; the letters you typed are marked in purple. ↵ opens the lead, and its Back arrow returns to the page you searched from.</t>
        </is>
      </c>
      <c r="H350" s="12" t="inlineStr">
        <is>
          <t>New in 2.0</t>
        </is>
      </c>
      <c r="I350" s="11" t="inlineStr">
        <is>
          <t>Dane</t>
        </is>
      </c>
      <c r="J350" s="15" t="n"/>
      <c r="K350" s="15" t="n"/>
      <c r="L350" s="15" t="n"/>
      <c r="M350" s="16" t="n"/>
      <c r="N350" s="17" t="n"/>
      <c r="O350" s="17" t="n"/>
      <c r="P350" s="15" t="n"/>
    </row>
    <row r="351">
      <c r="A351" s="11" t="n">
        <v>15</v>
      </c>
      <c r="B351" s="11" t="inlineStr">
        <is>
          <t>15.03</t>
        </is>
      </c>
      <c r="C351" s="12" t="inlineStr">
        <is>
          <t>Search from anywhere</t>
        </is>
      </c>
      <c r="D351" s="12" t="inlineStr">
        <is>
          <t>Shell</t>
        </is>
      </c>
      <c r="E351" s="13" t="inlineStr">
        <is>
          <t>Find a lead by phone number</t>
        </is>
      </c>
      <c r="F351" s="14" t="inlineStr">
        <is>
          <t>1. Open the search and type the first four digits of Sophia's mobile
2. Type them again with a space in the middle</t>
        </is>
      </c>
      <c r="G351" s="14" t="inlineStr">
        <is>
          <t>Sophia's lead comes up both times — spaces and a +65 don't matter; the digits you typed are marked in the phone number.</t>
        </is>
      </c>
      <c r="H351" s="12" t="inlineStr">
        <is>
          <t>New in 2.0</t>
        </is>
      </c>
      <c r="I351" s="11" t="inlineStr">
        <is>
          <t>Dane</t>
        </is>
      </c>
      <c r="J351" s="15" t="n"/>
      <c r="K351" s="15" t="n"/>
      <c r="L351" s="15" t="n"/>
      <c r="M351" s="16" t="n"/>
      <c r="N351" s="17" t="n"/>
      <c r="O351" s="17" t="n"/>
      <c r="P351" s="15" t="n"/>
    </row>
    <row r="352">
      <c r="A352" s="11" t="n">
        <v>15</v>
      </c>
      <c r="B352" s="11" t="inlineStr">
        <is>
          <t>15.04</t>
        </is>
      </c>
      <c r="C352" s="12" t="inlineStr">
        <is>
          <t>Search from anywhere</t>
        </is>
      </c>
      <c r="D352" s="12" t="inlineStr">
        <is>
          <t>Shell</t>
        </is>
      </c>
      <c r="E352" s="13" t="inlineStr">
        <is>
          <t>Find a quote by its number, with the keyboard only</t>
        </is>
      </c>
      <c r="F352" s="14" t="inlineStr">
        <is>
          <t>1. Press ⌘K (Ctrl K on Windows) on any page
2. Type "OM-" and the first digits of Sophia's quote number
3. Move with ↓ and ↑, then press ↵</t>
        </is>
      </c>
      <c r="G352" s="14" t="inlineStr">
        <is>
          <t>⌘K opens the search from any page. Quotes show their number, the lead and the total, with their status; Quote X-Ray readings of that quote show under Quote X-Ray. ↓ ↑ move the highlight, ↵ opens the quote.</t>
        </is>
      </c>
      <c r="H352" s="12" t="inlineStr">
        <is>
          <t>New in 2.0</t>
        </is>
      </c>
      <c r="I352" s="11" t="inlineStr">
        <is>
          <t>Dane</t>
        </is>
      </c>
      <c r="J352" s="15" t="n"/>
      <c r="K352" s="15" t="n"/>
      <c r="L352" s="15" t="n"/>
      <c r="M352" s="16" t="n"/>
      <c r="N352" s="17" t="n"/>
      <c r="O352" s="17" t="n"/>
      <c r="P352" s="15" t="n"/>
    </row>
    <row r="353">
      <c r="A353" s="11" t="n">
        <v>15</v>
      </c>
      <c r="B353" s="11" t="inlineStr">
        <is>
          <t>15.05</t>
        </is>
      </c>
      <c r="C353" s="12" t="inlineStr">
        <is>
          <t>Search from anywhere</t>
        </is>
      </c>
      <c r="D353" s="12" t="inlineStr">
        <is>
          <t>Shell</t>
        </is>
      </c>
      <c r="E353" s="13" t="inlineStr">
        <is>
          <t>Look in one kind of record only</t>
        </is>
      </c>
      <c r="F353" s="14" t="inlineStr">
        <is>
          <t>1. Open the search and type "kitchen"
2. Press "Show all …" under a group that has more
3. Press "All", then "Tasks" in the row of chips</t>
        </is>
      </c>
      <c r="G353" s="14" t="inlineStr">
        <is>
          <t>Under All each group shows its best few and says how many there are; "Show all n in …" switches to that kind. A chip shows only that kind of record.</t>
        </is>
      </c>
      <c r="H353" s="12" t="inlineStr">
        <is>
          <t>New in 2.0</t>
        </is>
      </c>
      <c r="I353" s="11" t="inlineStr">
        <is>
          <t>Dane</t>
        </is>
      </c>
      <c r="J353" s="15" t="n"/>
      <c r="K353" s="15" t="n"/>
      <c r="L353" s="15" t="n"/>
      <c r="M353" s="16" t="n"/>
      <c r="N353" s="17" t="n"/>
      <c r="O353" s="17" t="n"/>
      <c r="P353" s="15" t="n"/>
    </row>
    <row r="354">
      <c r="A354" s="11" t="n">
        <v>15</v>
      </c>
      <c r="B354" s="11" t="inlineStr">
        <is>
          <t>15.06</t>
        </is>
      </c>
      <c r="C354" s="12" t="inlineStr">
        <is>
          <t>Search from anywhere</t>
        </is>
      </c>
      <c r="D354" s="12" t="inlineStr">
        <is>
          <t>Shell</t>
        </is>
      </c>
      <c r="E354" s="13" t="inlineStr">
        <is>
          <t>Open a note, a Price book item and a material from the search</t>
        </is>
      </c>
      <c r="F354" s="14" t="inlineStr">
        <is>
          <t>1. Search a few words from one of Sophia's notes and open it
2. Search "vinyl" and open the Price book item
3. Search "oak" and open the material</t>
        </is>
      </c>
      <c r="G354" s="14" t="inlineStr">
        <is>
          <t>Each opens on the thing you picked — the note selected in Notes &amp; Logs, the Price book item's dialog, the material's dialog — not just the list it lives in.</t>
        </is>
      </c>
      <c r="H354" s="12" t="inlineStr">
        <is>
          <t>New in 2.0</t>
        </is>
      </c>
      <c r="I354" s="11" t="inlineStr">
        <is>
          <t>Dane</t>
        </is>
      </c>
      <c r="J354" s="15" t="n"/>
      <c r="K354" s="15" t="n"/>
      <c r="L354" s="15" t="n"/>
      <c r="M354" s="16" t="n"/>
      <c r="N354" s="17" t="n"/>
      <c r="O354" s="17" t="n"/>
      <c r="P354" s="15" t="n"/>
    </row>
    <row r="355">
      <c r="A355" s="11" t="n">
        <v>15</v>
      </c>
      <c r="B355" s="11" t="inlineStr">
        <is>
          <t>15.07</t>
        </is>
      </c>
      <c r="C355" s="12" t="inlineStr">
        <is>
          <t>Search from anywhere</t>
        </is>
      </c>
      <c r="D355" s="12" t="inlineStr">
        <is>
          <t>Shell</t>
        </is>
      </c>
      <c r="E355" s="13" t="inlineStr">
        <is>
          <t>Come back to what you searched</t>
        </is>
      </c>
      <c r="F355" s="14" t="inlineStr">
        <is>
          <t>1. Open the search again
2. Read "Recent searches" and "Recently opened"
3. Remove one recent search with its ✕</t>
        </is>
      </c>
      <c r="G355" s="14" t="inlineStr">
        <is>
          <t>Each opening starts with an empty field; your last searches and the records you opened from here are listed, and ✕ removes a search from the list.</t>
        </is>
      </c>
      <c r="H355" s="12" t="inlineStr">
        <is>
          <t>New in 2.0</t>
        </is>
      </c>
      <c r="I355" s="11" t="inlineStr">
        <is>
          <t>Dane</t>
        </is>
      </c>
      <c r="J355" s="15" t="n"/>
      <c r="K355" s="15" t="n"/>
      <c r="L355" s="15" t="n"/>
      <c r="M355" s="16" t="n"/>
      <c r="N355" s="17" t="n"/>
      <c r="O355" s="17" t="n"/>
      <c r="P355" s="15" t="n"/>
    </row>
    <row r="356">
      <c r="A356" s="11" t="n">
        <v>15</v>
      </c>
      <c r="B356" s="11" t="inlineStr">
        <is>
          <t>15.08</t>
        </is>
      </c>
      <c r="C356" s="12" t="inlineStr">
        <is>
          <t>Search from anywhere</t>
        </is>
      </c>
      <c r="D356" s="12" t="inlineStr">
        <is>
          <t>Shell</t>
        </is>
      </c>
      <c r="E356" s="13" t="inlineStr">
        <is>
          <t>Nothing found</t>
        </is>
      </c>
      <c r="F356" s="14" t="inlineStr">
        <is>
          <t>1. Open the search and type "zzqq"
2. Choose the "Tasks" chip, then "Search everything"</t>
        </is>
      </c>
      <c r="G356" s="14" t="inlineStr">
        <is>
          <t>It says nothing matches, with a hint of what it can find; in a narrowed search "Search everything" goes back to All.</t>
        </is>
      </c>
      <c r="H356" s="12" t="inlineStr">
        <is>
          <t>New in 2.0</t>
        </is>
      </c>
      <c r="I356" s="11" t="inlineStr">
        <is>
          <t>Dane</t>
        </is>
      </c>
      <c r="J356" s="15" t="n"/>
      <c r="K356" s="15" t="n"/>
      <c r="L356" s="15" t="n"/>
      <c r="M356" s="16" t="n"/>
      <c r="N356" s="17" t="n"/>
      <c r="O356" s="17" t="n"/>
      <c r="P356" s="15" t="n"/>
    </row>
    <row r="357">
      <c r="A357" s="11" t="n">
        <v>15</v>
      </c>
      <c r="B357" s="11" t="inlineStr">
        <is>
          <t>15.09</t>
        </is>
      </c>
      <c r="C357" s="12" t="inlineStr">
        <is>
          <t>Search from anywhere</t>
        </is>
      </c>
      <c r="D357" s="12" t="inlineStr">
        <is>
          <t>Shell</t>
        </is>
      </c>
      <c r="E357" s="13" t="inlineStr">
        <is>
          <t>A designer only finds what they may see</t>
        </is>
      </c>
      <c r="F357" s="14" t="inlineStr">
        <is>
          <t>1. In Settings › "Roles &amp; access" set "Who sees leads" to "Only the leads assigned to them"
2. View as Sarah and search for a lead Sarah isn't on
3. Search for one of Sarah's leads; set Who sees leads back to "Everyone sees every lead" and View as Dane again</t>
        </is>
      </c>
      <c r="G357" s="14" t="inlineStr">
        <is>
          <t>Only the leads Sarah may see come up — with their quotes, contracts, tasks, notes and files; nothing else does.</t>
        </is>
      </c>
      <c r="H357" s="12" t="inlineStr">
        <is>
          <t>New in 2.0</t>
        </is>
      </c>
      <c r="I357" s="18" t="inlineStr">
        <is>
          <t>Sarah</t>
        </is>
      </c>
      <c r="J357" s="15" t="n"/>
      <c r="K357" s="15" t="n"/>
      <c r="L357" s="15" t="n"/>
      <c r="M357" s="16" t="n"/>
      <c r="N357" s="17" t="n"/>
      <c r="O357" s="17" t="n"/>
      <c r="P357" s="15" t="n"/>
    </row>
    <row r="358">
      <c r="A358" s="11" t="n">
        <v>15</v>
      </c>
      <c r="B358" s="11" t="inlineStr">
        <is>
          <t>15.10</t>
        </is>
      </c>
      <c r="C358" s="12" t="inlineStr">
        <is>
          <t>Search from anywhere</t>
        </is>
      </c>
      <c r="D358" s="12" t="inlineStr">
        <is>
          <t>Phone</t>
        </is>
      </c>
      <c r="E358" s="13" t="inlineStr">
        <is>
          <t>Search on your phone</t>
        </is>
      </c>
      <c r="F358" s="14" t="inlineStr">
        <is>
          <t>1. On your phone, press the magnifier at the top of the screen
2. Type "sophia" and tap the lead</t>
        </is>
      </c>
      <c r="G358" s="14" t="inlineStr">
        <is>
          <t>The search opens as a sheet from the bottom with its field on top and the same groups; tapping a result opens it.</t>
        </is>
      </c>
      <c r="H358" s="12" t="inlineStr">
        <is>
          <t>New in 2.0</t>
        </is>
      </c>
      <c r="I358" s="11" t="inlineStr">
        <is>
          <t>Dane</t>
        </is>
      </c>
      <c r="J358" s="15" t="n"/>
      <c r="K358" s="15" t="n"/>
      <c r="L358" s="15" t="n"/>
      <c r="M358" s="16" t="n"/>
      <c r="N358" s="17" t="n"/>
      <c r="O358" s="17" t="n"/>
      <c r="P358" s="15" t="n"/>
    </row>
    <row r="359" ht="22" customHeight="1">
      <c r="A359" s="9" t="inlineStr">
        <is>
          <t>Chapter 16 · Keys — Keyboard shortcuts: the ? list beside the page, lists and a lead from the keyboard, G then …, the editors, tips, the single-key switch.</t>
        </is>
      </c>
      <c r="M359" s="10" t="n"/>
    </row>
    <row r="360">
      <c r="A360" s="11" t="n">
        <v>16</v>
      </c>
      <c r="B360" s="11" t="inlineStr">
        <is>
          <t>16.01</t>
        </is>
      </c>
      <c r="C360" s="12" t="inlineStr">
        <is>
          <t>Every key in one place</t>
        </is>
      </c>
      <c r="D360" s="12" t="inlineStr">
        <is>
          <t>Shell</t>
        </is>
      </c>
      <c r="E360" s="13" t="inlineStr">
        <is>
          <t>Open the list of keyboard shortcuts</t>
        </is>
      </c>
      <c r="F360" s="14" t="inlineStr">
        <is>
          <t>1. On Leads, click an empty part of the page
2. Press ?
3. Read the panel, then look at the page beside it
4. Press Esc</t>
        </is>
      </c>
      <c r="G360" s="14" t="inlineStr">
        <is>
          <t>A "Keyboard shortcuts" panel opens on the right; the page narrows to make room. It lists "On this page · Leads" first (Next lead, Create New Lead, Filters…), then Everywhere, then "In dialogs and menus". While it is out, the page's own buttons wear their keys in small purple badges (F on Filters, V on the view toggle, G then L on Leads in the side navigation). Esc closes it.</t>
        </is>
      </c>
      <c r="H360" s="12" t="inlineStr">
        <is>
          <t>New in 2.0</t>
        </is>
      </c>
      <c r="I360" s="11" t="inlineStr">
        <is>
          <t>Dane</t>
        </is>
      </c>
      <c r="J360" s="15" t="n"/>
      <c r="K360" s="15" t="n"/>
      <c r="L360" s="15" t="n"/>
      <c r="M360" s="16" t="n"/>
      <c r="N360" s="17" t="n"/>
      <c r="O360" s="17" t="n"/>
      <c r="P360" s="15" t="n"/>
    </row>
    <row r="361">
      <c r="A361" s="11" t="n">
        <v>16</v>
      </c>
      <c r="B361" s="11" t="inlineStr">
        <is>
          <t>16.02</t>
        </is>
      </c>
      <c r="C361" s="12" t="inlineStr">
        <is>
          <t>Every key in one place</t>
        </is>
      </c>
      <c r="D361" s="12" t="inlineStr">
        <is>
          <t>Leads</t>
        </is>
      </c>
      <c r="E361" s="13" t="inlineStr">
        <is>
          <t>Walk the list without the mouse</t>
        </is>
      </c>
      <c r="F361" s="14" t="inlineStr">
        <is>
          <t>1. On Leads press J, J, then K
2. Press X, then ⌫ (Backspace)
3. Press Esc in the question, then Esc twice more</t>
        </is>
      </c>
      <c r="G361" s="14" t="inlineStr">
        <is>
          <t>J and K move an outline from lead to lead; X ticks the lead under it; ⌫ asks "Delete …?" before anything happens. Esc closes the question, then removes the outline, then clears the tick.</t>
        </is>
      </c>
      <c r="H361" s="12" t="inlineStr">
        <is>
          <t>New in 2.0</t>
        </is>
      </c>
      <c r="I361" s="11" t="inlineStr">
        <is>
          <t>Dane</t>
        </is>
      </c>
      <c r="J361" s="15" t="n"/>
      <c r="K361" s="15" t="n"/>
      <c r="L361" s="15" t="n"/>
      <c r="M361" s="16" t="n"/>
      <c r="N361" s="17" t="n"/>
      <c r="O361" s="17" t="n"/>
      <c r="P361" s="15" t="n"/>
    </row>
    <row r="362">
      <c r="A362" s="11" t="n">
        <v>16</v>
      </c>
      <c r="B362" s="11" t="inlineStr">
        <is>
          <t>16.03</t>
        </is>
      </c>
      <c r="C362" s="12" t="inlineStr">
        <is>
          <t>Every key in one place</t>
        </is>
      </c>
      <c r="D362" s="12" t="inlineStr">
        <is>
          <t>Leads</t>
        </is>
      </c>
      <c r="E362" s="13" t="inlineStr">
        <is>
          <t>Open a lead and move around it</t>
        </is>
      </c>
      <c r="F362" s="14" t="inlineStr">
        <is>
          <t>1. Press J, then ↵
2. Press 2, then 1
3. Press J
4. Press M, Esc, then A, Esc, then E, Esc
5. Press Esc</t>
        </is>
      </c>
      <c r="G362" s="14" t="inlineStr">
        <is>
          <t>↵ opens the lead; 2 opens its Tasks tab and 1 its Overview; J opens the next lead of the list you came from; M opens the stage menu, A Assign, E Edit lead; Esc with nothing open goes back to the list.</t>
        </is>
      </c>
      <c r="H362" s="12" t="inlineStr">
        <is>
          <t>New in 2.0</t>
        </is>
      </c>
      <c r="I362" s="11" t="inlineStr">
        <is>
          <t>Dane</t>
        </is>
      </c>
      <c r="J362" s="15" t="n"/>
      <c r="K362" s="15" t="n"/>
      <c r="L362" s="15" t="n"/>
      <c r="M362" s="16" t="n"/>
      <c r="N362" s="17" t="n"/>
      <c r="O362" s="17" t="n"/>
      <c r="P362" s="15" t="n"/>
    </row>
    <row r="363">
      <c r="A363" s="11" t="n">
        <v>16</v>
      </c>
      <c r="B363" s="11" t="inlineStr">
        <is>
          <t>16.04</t>
        </is>
      </c>
      <c r="C363" s="12" t="inlineStr">
        <is>
          <t>Every key in one place</t>
        </is>
      </c>
      <c r="D363" s="12" t="inlineStr">
        <is>
          <t>Shell</t>
        </is>
      </c>
      <c r="E363" s="13" t="inlineStr">
        <is>
          <t>Go places with G</t>
        </is>
      </c>
      <c r="F363" s="14" t="inlineStr">
        <is>
          <t>1. Press G and wait a moment
2. Press T
3. Press G then P
4. Press G then L</t>
        </is>
      </c>
      <c r="G363" s="14" t="inlineStr">
        <is>
          <t>After a beat a dark bar lists the places (D Dashboard, L Leads, P Projects, T Tasks, Q Quotes, C Contracts, X Quote X-Ray, V AI Visualizer, B Price book, F Finance, M Messages, N Notifications, S Settings); T goes to Tasks; G then P to Projects; G then L back to Leads.</t>
        </is>
      </c>
      <c r="H363" s="12" t="inlineStr">
        <is>
          <t>New in 2.0</t>
        </is>
      </c>
      <c r="I363" s="11" t="inlineStr">
        <is>
          <t>Dane</t>
        </is>
      </c>
      <c r="J363" s="15" t="n"/>
      <c r="K363" s="15" t="n"/>
      <c r="L363" s="15" t="n"/>
      <c r="M363" s="16" t="n"/>
      <c r="N363" s="17" t="n"/>
      <c r="O363" s="17" t="n"/>
      <c r="P363" s="15" t="n"/>
    </row>
    <row r="364">
      <c r="A364" s="11" t="n">
        <v>16</v>
      </c>
      <c r="B364" s="11" t="inlineStr">
        <is>
          <t>16.05</t>
        </is>
      </c>
      <c r="C364" s="12" t="inlineStr">
        <is>
          <t>Every key in one place</t>
        </is>
      </c>
      <c r="D364" s="12" t="inlineStr">
        <is>
          <t>Leads</t>
        </is>
      </c>
      <c r="E364" s="13" t="inlineStr">
        <is>
          <t>Create, filter and switch the view from the keyboard</t>
        </is>
      </c>
      <c r="F364" s="14" t="inlineStr">
        <is>
          <t>1. On Leads press C, then Esc
2. Press F, then Esc
3. Press V, then V again
4. Open a lead's Quotes tab and press C</t>
        </is>
      </c>
      <c r="G364" s="14" t="inlineStr">
        <is>
          <t>C opens Create New Lead; F opens Filters; V switches between the table and the board; on the Quotes tab C opens Create Quote.</t>
        </is>
      </c>
      <c r="H364" s="12" t="inlineStr">
        <is>
          <t>New in 2.0</t>
        </is>
      </c>
      <c r="I364" s="11" t="inlineStr">
        <is>
          <t>Dane</t>
        </is>
      </c>
      <c r="J364" s="15" t="n"/>
      <c r="K364" s="15" t="n"/>
      <c r="L364" s="15" t="n"/>
      <c r="M364" s="16" t="n"/>
      <c r="N364" s="17" t="n"/>
      <c r="O364" s="17" t="n"/>
      <c r="P364" s="15" t="n"/>
    </row>
    <row r="365">
      <c r="A365" s="11" t="n">
        <v>16</v>
      </c>
      <c r="B365" s="11" t="inlineStr">
        <is>
          <t>16.06</t>
        </is>
      </c>
      <c r="C365" s="12" t="inlineStr">
        <is>
          <t>Every key in one place</t>
        </is>
      </c>
      <c r="D365" s="12" t="inlineStr">
        <is>
          <t>Quote editor</t>
        </is>
      </c>
      <c r="E365" s="13" t="inlineStr">
        <is>
          <t>The quote editor's keys</t>
        </is>
      </c>
      <c r="F365" s="14" t="inlineStr">
        <is>
          <t>1. Open a draft quote
2. Press ?, read it, press Esc
3. Press ⌘F (Ctrl+F), then Esc
4. Press ⌘S (Ctrl+S)
5. Press 3
6. Press P</t>
        </is>
      </c>
      <c r="G365" s="14" t="inlineStr">
        <is>
          <t>The panel lists the editor's own keys (the Items table's Tab, ↵, F2, ⌘D, Undo, Redo, Find in the quote, Preview, Switch tabs). ⌘F opens the Items table's Find, not the browser's; ⌘S says "Saved — everything saves as you type"; 3 jumps to Payment Schedule; P opens Preview.</t>
        </is>
      </c>
      <c r="H365" s="12" t="inlineStr">
        <is>
          <t>New in 2.0</t>
        </is>
      </c>
      <c r="I365" s="11" t="inlineStr">
        <is>
          <t>Dane</t>
        </is>
      </c>
      <c r="J365" s="15" t="n"/>
      <c r="K365" s="15" t="n"/>
      <c r="L365" s="15" t="n"/>
      <c r="M365" s="16" t="n"/>
      <c r="N365" s="17" t="n"/>
      <c r="O365" s="17" t="n"/>
      <c r="P365" s="15" t="n"/>
    </row>
    <row r="366">
      <c r="A366" s="11" t="n">
        <v>16</v>
      </c>
      <c r="B366" s="11" t="inlineStr">
        <is>
          <t>16.07</t>
        </is>
      </c>
      <c r="C366" s="12" t="inlineStr">
        <is>
          <t>Every key in one place</t>
        </is>
      </c>
      <c r="D366" s="12" t="inlineStr">
        <is>
          <t>Files</t>
        </is>
      </c>
      <c r="E366" s="13" t="inlineStr">
        <is>
          <t>Undo from the keyboard</t>
        </is>
      </c>
      <c r="F366" s="14" t="inlineStr">
        <is>
          <t>1. Open a lead's Files tab
2. Press J until the outline is on a file, then X
3. Press ⌫, then ⌘↵ (Ctrl+Enter)
4. Press ⌘Z (Ctrl+Z)</t>
        </is>
      </c>
      <c r="G366" s="14" t="inlineStr">
        <is>
          <t>⌘↵ answers "Move to Trash Folder?" with its button; the message "Moved to Trash Folder" offers Undo, and ⌘Z presses it — the file is back.</t>
        </is>
      </c>
      <c r="H366" s="12" t="inlineStr">
        <is>
          <t>New in 2.0</t>
        </is>
      </c>
      <c r="I366" s="11" t="inlineStr">
        <is>
          <t>Dane</t>
        </is>
      </c>
      <c r="J366" s="15" t="n"/>
      <c r="K366" s="15" t="n"/>
      <c r="L366" s="15" t="n"/>
      <c r="M366" s="16" t="n"/>
      <c r="N366" s="17" t="n"/>
      <c r="O366" s="17" t="n"/>
      <c r="P366" s="15" t="n"/>
    </row>
    <row r="367">
      <c r="A367" s="11" t="n">
        <v>16</v>
      </c>
      <c r="B367" s="11" t="inlineStr">
        <is>
          <t>16.08</t>
        </is>
      </c>
      <c r="C367" s="12" t="inlineStr">
        <is>
          <t>Learning the keys</t>
        </is>
      </c>
      <c r="D367" s="12" t="inlineStr">
        <is>
          <t>Leads</t>
        </is>
      </c>
      <c r="E367" s="13" t="inlineStr">
        <is>
          <t>Let the app teach a key</t>
        </is>
      </c>
      <c r="F367" s="14" t="inlineStr">
        <is>
          <t>1. On Leads hover the Filters button and read the tooltip
2. Click Filters and close it — three times
3. Wait a moment</t>
        </is>
      </c>
      <c r="G367" s="14" t="inlineStr">
        <is>
          <t>The tooltip reads "Filters" with an F key. After the third click with the mouse, one message says "Next time, press F for Filters." with "All shortcuts"; it comes once for that key, and at most one tip a day.</t>
        </is>
      </c>
      <c r="H367" s="12" t="inlineStr">
        <is>
          <t>New in 2.0</t>
        </is>
      </c>
      <c r="I367" s="11" t="inlineStr">
        <is>
          <t>Dane</t>
        </is>
      </c>
      <c r="J367" s="15" t="n"/>
      <c r="K367" s="15" t="n"/>
      <c r="L367" s="15" t="n"/>
      <c r="M367" s="16" t="n"/>
      <c r="N367" s="17" t="n"/>
      <c r="O367" s="17" t="n"/>
      <c r="P367" s="15" t="n"/>
    </row>
    <row r="368">
      <c r="A368" s="11" t="n">
        <v>16</v>
      </c>
      <c r="B368" s="11" t="inlineStr">
        <is>
          <t>16.09</t>
        </is>
      </c>
      <c r="C368" s="12" t="inlineStr">
        <is>
          <t>Learning the keys</t>
        </is>
      </c>
      <c r="D368" s="12" t="inlineStr">
        <is>
          <t>Shell</t>
        </is>
      </c>
      <c r="E368" s="13" t="inlineStr">
        <is>
          <t>Keys you have used are ticked</t>
        </is>
      </c>
      <c r="F368" s="14" t="inlineStr">
        <is>
          <t>1. Press ?
2. Read the line under the chips
3. Press J with the panel open</t>
        </is>
      </c>
      <c r="G368" s="14" t="inlineStr">
        <is>
          <t>"You use n of … here" counts the keys you have used on this page; used keys carry a tick; pressing J flashes its row in the panel.</t>
        </is>
      </c>
      <c r="H368" s="12" t="inlineStr">
        <is>
          <t>New in 2.0</t>
        </is>
      </c>
      <c r="I368" s="11" t="inlineStr">
        <is>
          <t>Dane</t>
        </is>
      </c>
      <c r="J368" s="15" t="n"/>
      <c r="K368" s="15" t="n"/>
      <c r="L368" s="15" t="n"/>
      <c r="M368" s="16" t="n"/>
      <c r="N368" s="17" t="n"/>
      <c r="O368" s="17" t="n"/>
      <c r="P368" s="15" t="n"/>
    </row>
    <row r="369">
      <c r="A369" s="11" t="n">
        <v>16</v>
      </c>
      <c r="B369" s="11" t="inlineStr">
        <is>
          <t>16.10</t>
        </is>
      </c>
      <c r="C369" s="12" t="inlineStr">
        <is>
          <t>Learning the keys</t>
        </is>
      </c>
      <c r="D369" s="12" t="inlineStr">
        <is>
          <t>Shell</t>
        </is>
      </c>
      <c r="E369" s="13" t="inlineStr">
        <is>
          <t>Switch single-key shortcuts off</t>
        </is>
      </c>
      <c r="F369" s="14" t="inlineStr">
        <is>
          <t>1. Press ?, switch "Single-key shortcuts" off, press Esc
2. Press J, then ↓
3. Press ⌘/ (Ctrl+/), switch it back on</t>
        </is>
      </c>
      <c r="G369" s="14" t="inlineStr">
        <is>
          <t>The single keys read "off" in the list; J does nothing, ↓ still moves; ⌘/ opens the list even so. The "/" in the empty search box goes while single keys are off.</t>
        </is>
      </c>
      <c r="H369" s="12" t="inlineStr">
        <is>
          <t>New in 2.0</t>
        </is>
      </c>
      <c r="I369" s="11" t="inlineStr">
        <is>
          <t>Dane</t>
        </is>
      </c>
      <c r="J369" s="15" t="n"/>
      <c r="K369" s="15" t="n"/>
      <c r="L369" s="15" t="n"/>
      <c r="M369" s="16" t="n"/>
      <c r="N369" s="17" t="n"/>
      <c r="O369" s="17" t="n"/>
      <c r="P369" s="15" t="n"/>
    </row>
    <row r="370">
      <c r="A370" s="11" t="n">
        <v>16</v>
      </c>
      <c r="B370" s="11" t="inlineStr">
        <is>
          <t>16.11</t>
        </is>
      </c>
      <c r="C370" s="12" t="inlineStr">
        <is>
          <t>Learning the keys</t>
        </is>
      </c>
      <c r="D370" s="12" t="inlineStr">
        <is>
          <t>Shell</t>
        </is>
      </c>
      <c r="E370" s="13" t="inlineStr">
        <is>
          <t>The other doors to the list</t>
        </is>
      </c>
      <c r="F370" s="14" t="inlineStr">
        <is>
          <t>1. Press ⌘K (Ctrl+K) and read Go to and the foot of the window
2. Open the bell (G then N) and find "Keyboard shortcuts are here" under "Notices"
3. Open Maison AI (bottom right)</t>
        </is>
      </c>
      <c r="G370" s="14" t="inlineStr">
        <is>
          <t>Go to ends with "Keyboard shortcuts" and the foot says "? all shortcuts"; the bell holds "Keyboard shortcuts are here — Press ? on any page to see them", which opens the list; Maison AI offers "Keyboard shortcuts for this page".</t>
        </is>
      </c>
      <c r="H370" s="12" t="inlineStr">
        <is>
          <t>New in 2.0</t>
        </is>
      </c>
      <c r="I370" s="11" t="inlineStr">
        <is>
          <t>Dane</t>
        </is>
      </c>
      <c r="J370" s="15" t="n"/>
      <c r="K370" s="15" t="n"/>
      <c r="L370" s="15" t="n"/>
      <c r="M370" s="16" t="n"/>
      <c r="N370" s="17" t="n"/>
      <c r="O370" s="17" t="n"/>
      <c r="P370" s="15" t="n"/>
    </row>
    <row r="371">
      <c r="A371" s="11" t="n">
        <v>16</v>
      </c>
      <c r="B371" s="11" t="inlineStr">
        <is>
          <t>16.12</t>
        </is>
      </c>
      <c r="C371" s="12" t="inlineStr">
        <is>
          <t>Learning the keys</t>
        </is>
      </c>
      <c r="D371" s="12" t="inlineStr">
        <is>
          <t>Shell</t>
        </is>
      </c>
      <c r="E371" s="13" t="inlineStr">
        <is>
          <t>Keys for your computer</t>
        </is>
      </c>
      <c r="F371" s="14" t="inlineStr">
        <is>
          <t>1. On a Windows computer, read the chip beside Search in the wide side navigation and the foot of the search window</t>
        </is>
      </c>
      <c r="G371" s="14" t="inlineStr">
        <is>
          <t>Windows shows Ctrl+K and Ctrl Enter — never ⌘; a Mac shows ⌘K and ⌘↵.</t>
        </is>
      </c>
      <c r="H371" s="12" t="inlineStr">
        <is>
          <t>New in 2.0</t>
        </is>
      </c>
      <c r="I371" s="11" t="inlineStr">
        <is>
          <t>Dane</t>
        </is>
      </c>
      <c r="J371" s="15" t="n"/>
      <c r="K371" s="15" t="n"/>
      <c r="L371" s="15" t="n"/>
      <c r="M371" s="16" t="n"/>
      <c r="N371" s="17" t="n"/>
      <c r="O371" s="17" t="n"/>
      <c r="P371" s="15" t="n"/>
    </row>
    <row r="372">
      <c r="A372" s="11" t="n">
        <v>16</v>
      </c>
      <c r="B372" s="11" t="inlineStr">
        <is>
          <t>16.13</t>
        </is>
      </c>
      <c r="C372" s="12" t="inlineStr">
        <is>
          <t>Learning the keys</t>
        </is>
      </c>
      <c r="D372" s="12" t="inlineStr">
        <is>
          <t>Phone</t>
        </is>
      </c>
      <c r="E372" s="13" t="inlineStr">
        <is>
          <t>No keys on a phone</t>
        </is>
      </c>
      <c r="F372" s="14" t="inlineStr">
        <is>
          <t>1. On your phone open Leads and a lead's Tasks tab</t>
        </is>
      </c>
      <c r="G372" s="14" t="inlineStr">
        <is>
          <t>No key chips anywhere — not in the search box, not in menus.</t>
        </is>
      </c>
      <c r="H372" s="12" t="inlineStr">
        <is>
          <t>New in 2.0</t>
        </is>
      </c>
      <c r="I372" s="11" t="inlineStr">
        <is>
          <t>Dane</t>
        </is>
      </c>
      <c r="J372" s="15" t="n"/>
      <c r="K372" s="15" t="n"/>
      <c r="L372" s="15" t="n"/>
      <c r="M372" s="16" t="n"/>
      <c r="N372" s="17" t="n"/>
      <c r="O372" s="17" t="n"/>
      <c r="P372" s="15" t="n"/>
    </row>
    <row r="373">
      <c r="A373" s="11" t="n">
        <v>16</v>
      </c>
      <c r="B373" s="11" t="inlineStr">
        <is>
          <t>16.14</t>
        </is>
      </c>
      <c r="C373" s="12" t="inlineStr">
        <is>
          <t>Learning the keys</t>
        </is>
      </c>
      <c r="D373" s="12" t="inlineStr">
        <is>
          <t>Shell</t>
        </is>
      </c>
      <c r="E373" s="13" t="inlineStr">
        <is>
          <t>Jump to Messages from the keyboard</t>
        </is>
      </c>
      <c r="F373" s="14" t="inlineStr">
        <is>
          <t>1. Point at "Messages" in the side navigation and read its tooltip
2. Click an empty part of the page, press G, then M
3. Press C, read the menu, then press Esc</t>
        </is>
      </c>
      <c r="G373" s="14" t="inlineStr">
        <is>
          <t>The tooltip reads Messages with the keys G M. G then M opens Messages from any page. On Messages, C opens "New message" ("A member", "A new group", "A client"); Esc closes it.</t>
        </is>
      </c>
      <c r="H373" s="12" t="inlineStr">
        <is>
          <t>Different from 1.0: G then M, where 1.0 had G then I (Inbox)</t>
        </is>
      </c>
      <c r="I373" s="11" t="inlineStr">
        <is>
          <t>Dane</t>
        </is>
      </c>
      <c r="J373" s="15" t="n"/>
      <c r="K373" s="15" t="n"/>
      <c r="L373" s="15" t="n"/>
      <c r="M373" s="16" t="n"/>
      <c r="N373" s="17" t="n"/>
      <c r="O373" s="17" t="n"/>
      <c r="P373" s="15" t="n"/>
    </row>
    <row r="374" ht="22" customHeight="1">
      <c r="A374" s="9" t="inlineStr">
        <is>
          <t>Chapter 17 · Won becomes a project — Sophia’s win becomes a project: what it needs before work starts, the Start, the Projects list, a project with no lead, and the lead’s records carried on.</t>
        </is>
      </c>
      <c r="M374" s="10" t="n"/>
    </row>
    <row r="375">
      <c r="A375" s="11" t="n">
        <v>17</v>
      </c>
      <c r="B375" s="11" t="inlineStr">
        <is>
          <t>17.01</t>
        </is>
      </c>
      <c r="C375" s="12" t="inlineStr">
        <is>
          <t>Sophia’s project begins</t>
        </is>
      </c>
      <c r="D375" s="12" t="inlineStr">
        <is>
          <t>Projects</t>
        </is>
      </c>
      <c r="E375" s="13" t="inlineStr">
        <is>
          <t>Open the project Sophia’s win made</t>
        </is>
      </c>
      <c r="F375" s="14" t="inlineStr">
        <is>
          <t>1. Open "Leads" and click Sophia Wong
2. Read the filled button at the top right, then point at it
3. Press "Open project"</t>
        </is>
      </c>
      <c r="G375" s="14" t="inlineStr">
        <is>
          <t>Her lead (Stage: Won) offers "Open project", no longer "Convert to Project". Her project opens: crumb "Lead / Projects /", the title "HDB 4-Room — Sophia Wong", chips with its number (P-2026-…) and "Whole-home renovation", the button "Stage: Setting up"; seven tabs Overview · Tasks · Schedule · Client · Design · Money · Files &amp; notes. (If you won her before projects existed, this press makes the project now.)</t>
        </is>
      </c>
      <c r="H375" s="12" t="inlineStr">
        <is>
          <t>Different from 1.0: Won makes the project in the same press</t>
        </is>
      </c>
      <c r="I375" s="11" t="inlineStr">
        <is>
          <t>Dane</t>
        </is>
      </c>
      <c r="J375" s="15" t="n"/>
      <c r="K375" s="15" t="n"/>
      <c r="L375" s="15" t="n"/>
      <c r="M375" s="16" t="n"/>
      <c r="N375" s="17" t="n"/>
      <c r="O375" s="17" t="n"/>
      <c r="P375" s="15" t="n"/>
    </row>
    <row r="376">
      <c r="A376" s="11" t="n">
        <v>17</v>
      </c>
      <c r="B376" s="11" t="inlineStr">
        <is>
          <t>17.02</t>
        </is>
      </c>
      <c r="C376" s="12" t="inlineStr">
        <is>
          <t>Sophia’s project begins</t>
        </is>
      </c>
      <c r="D376" s="12" t="inlineStr">
        <is>
          <t>Projects</t>
        </is>
      </c>
      <c r="E376" s="13" t="inlineStr">
        <is>
          <t>See what the project still needs</t>
        </is>
      </c>
      <c r="F376" s="14" t="inlineStr">
        <is>
          <t>1. On the project’s "Overview" read the first card, "Before work starts"
2. Read each row and its button
3. Read the filled button at the top right</t>
        </is>
      </c>
      <c r="G376" s="14" t="inlineStr">
        <is>
          <t>"Before work starts · 2": "Start the project" ("When work begins on site", with "Start") and "The Deposit invoice is ready to send" ("Due on signing · ready …", its amount, with "Send"). Her Members, contract value and contract are already in place, so they are not listed. The filled button reads "Start the project" — the card’s first row.</t>
        </is>
      </c>
      <c r="H376" s="12" t="inlineStr">
        <is>
          <t>New in 2.0</t>
        </is>
      </c>
      <c r="I376" s="11" t="inlineStr">
        <is>
          <t>Dane</t>
        </is>
      </c>
      <c r="J376" s="15" t="n"/>
      <c r="K376" s="15" t="n"/>
      <c r="L376" s="15" t="n"/>
      <c r="M376" s="16" t="n"/>
      <c r="N376" s="17" t="n"/>
      <c r="O376" s="17" t="n"/>
      <c r="P376" s="15" t="n"/>
    </row>
    <row r="377">
      <c r="A377" s="11" t="n">
        <v>17</v>
      </c>
      <c r="B377" s="11" t="inlineStr">
        <is>
          <t>17.03</t>
        </is>
      </c>
      <c r="C377" s="12" t="inlineStr">
        <is>
          <t>Sophia’s project begins</t>
        </is>
      </c>
      <c r="D377" s="12" t="inlineStr">
        <is>
          <t>Projects</t>
        </is>
      </c>
      <c r="E377" s="13" t="inlineStr">
        <is>
          <t>Read the project’s Overview</t>
        </is>
      </c>
      <c r="F377" s="14" t="inlineStr">
        <is>
          <t>1. Read "Project info" in the left column
2. Read "With Sophia", then "Progress" and "Money" on the right
3. In "Money" press "Payment stages · 4"</t>
        </is>
      </c>
      <c r="G377" s="14" t="inlineStr">
        <is>
          <t>Project info: Number, Stage Setting up, Project type, then "Signed quote" (her OM-… number) and "Contract" ("Signed …"), each opening its record. With Sophia: "Not invited" with "Invite". Progress: Setting up (current) · In progress · Completed. Money: "From the signed quote · n lines", the Contract value and no Profit yet; the four stages read 10% · 30% · 30% · 30% with their invoice state.</t>
        </is>
      </c>
      <c r="H377" s="12" t="inlineStr">
        <is>
          <t>Different from 1.0: one page, read from her signed records</t>
        </is>
      </c>
      <c r="I377" s="11" t="inlineStr">
        <is>
          <t>Dane</t>
        </is>
      </c>
      <c r="J377" s="15" t="n"/>
      <c r="K377" s="15" t="n"/>
      <c r="L377" s="15" t="n"/>
      <c r="M377" s="16" t="n"/>
      <c r="N377" s="17" t="n"/>
      <c r="O377" s="17" t="n"/>
      <c r="P377" s="15" t="n"/>
    </row>
    <row r="378">
      <c r="A378" s="11" t="n">
        <v>17</v>
      </c>
      <c r="B378" s="11" t="inlineStr">
        <is>
          <t>17.04</t>
        </is>
      </c>
      <c r="C378" s="12" t="inlineStr">
        <is>
          <t>Sophia’s project begins</t>
        </is>
      </c>
      <c r="D378" s="12" t="inlineStr">
        <is>
          <t>Projects</t>
        </is>
      </c>
      <c r="E378" s="13" t="inlineStr">
        <is>
          <t>Start the project</t>
        </is>
      </c>
      <c r="F378" s="14" t="inlineStr">
        <is>
          <t>1. Press "Start the project" (top right) and read the window’s four parts
2. Set "Works start on" to next Monday
3. Under "The schedule" pick "Not now"; untick "Invite Sophia to their page" and "Send the Deposit invoice · S$…" (chapters 18–20 do these)
4. Press "Start the project"</t>
        </is>
      </c>
      <c r="G378" s="14" t="inlineStr">
        <is>
          <t>"Start the project" asks everything at once: When ("HDB 4-Room — Sophia Wong moves to In progress."), The schedule (where the milestones come from, with "What you will get"), Tell Sophia ("Sophia signs in with 9765 4321.") and Money. Then "HDB 4-Room — Sophia Wong is in progress." with Undo; the button reads "Stage: In progress" and the filled button now names Needs you’s top row: "Send the Deposit invoice".</t>
        </is>
      </c>
      <c r="H378" s="12" t="inlineStr">
        <is>
          <t>Different from 1.0: Setting up · In progress · Completed (1.0: Draft · Active · Closed)</t>
        </is>
      </c>
      <c r="I378" s="11" t="inlineStr">
        <is>
          <t>Dane</t>
        </is>
      </c>
      <c r="J378" s="15" t="n"/>
      <c r="K378" s="15" t="n"/>
      <c r="L378" s="15" t="n"/>
      <c r="M378" s="16" t="n"/>
      <c r="N378" s="17" t="n"/>
      <c r="O378" s="17" t="n"/>
      <c r="P378" s="15" t="n"/>
    </row>
    <row r="379">
      <c r="A379" s="11" t="n">
        <v>17</v>
      </c>
      <c r="B379" s="11" t="inlineStr">
        <is>
          <t>17.05</t>
        </is>
      </c>
      <c r="C379" s="12" t="inlineStr">
        <is>
          <t>Sophia’s project begins</t>
        </is>
      </c>
      <c r="D379" s="12" t="inlineStr">
        <is>
          <t>Projects</t>
        </is>
      </c>
      <c r="E379" s="13" t="inlineStr">
        <is>
          <t>Set the target end date</t>
        </is>
      </c>
      <c r="F379" s="14" t="inlineStr">
        <is>
          <t>1. In "Progress" press "Target end" (it reads --)
2. Pick a "Target end date" before the start and look at "Save"
3. Now pick a day about three months after the start, press "Save"</t>
        </is>
      </c>
      <c r="G379" s="14" t="inlineStr">
        <is>
          <t>"Project dates" says "When work begins on site, and when you aim to hand over.", the start you chose already filled; an end before the start reads "The target end is before the start" and Save stays greyed. Then "Dates saved"; Target end shows the date with "n days left".</t>
        </is>
      </c>
      <c r="H379" s="12" t="inlineStr">
        <is>
          <t>Different from 1.0: dates checked; one small form</t>
        </is>
      </c>
      <c r="I379" s="11" t="inlineStr">
        <is>
          <t>Dane</t>
        </is>
      </c>
      <c r="J379" s="15" t="n"/>
      <c r="K379" s="15" t="n"/>
      <c r="L379" s="15" t="n"/>
      <c r="M379" s="16" t="n"/>
      <c r="N379" s="17" t="n"/>
      <c r="O379" s="17" t="n"/>
      <c r="P379" s="15" t="n"/>
    </row>
    <row r="380">
      <c r="A380" s="11" t="n">
        <v>17</v>
      </c>
      <c r="B380" s="11" t="inlineStr">
        <is>
          <t>17.06</t>
        </is>
      </c>
      <c r="C380" s="12" t="inlineStr">
        <is>
          <t>Every project in one list</t>
        </is>
      </c>
      <c r="D380" s="12" t="inlineStr">
        <is>
          <t>Projects</t>
        </is>
      </c>
      <c r="E380" s="13" t="inlineStr">
        <is>
          <t>Open Projects from the side navigation</t>
        </is>
      </c>
      <c r="F380" s="14" t="inlineStr">
        <is>
          <t>1. Point at "Projects" in the side navigation and read the tooltip
2. Click it</t>
        </is>
      </c>
      <c r="G380" s="14" t="inlineStr">
        <is>
          <t>The tooltip shows G then P; a red count sits on Projects. The listing shows tiles IN PROGRESS · NEEDS ATTENTION (red) · WAITING ON CLIENT · COMPLETING THIS MONTH · CONTRACT VALUE ("Open projects"), and the pill "Open projects (5)": Sophia’s, Ryan D’Souza’s, Benjamin Han’s, Aisha Rahman’s and Marcus Teo’s. Shalini Menon’s (completed) is not listed.</t>
        </is>
      </c>
      <c r="H380" s="12" t="inlineStr">
        <is>
          <t>Different from 1.0: tiles and a pill instead of status tabs</t>
        </is>
      </c>
      <c r="I380" s="11" t="inlineStr">
        <is>
          <t>Dane</t>
        </is>
      </c>
      <c r="J380" s="15" t="n"/>
      <c r="K380" s="15" t="n"/>
      <c r="L380" s="15" t="n"/>
      <c r="M380" s="16" t="n"/>
      <c r="N380" s="17" t="n"/>
      <c r="O380" s="17" t="n"/>
      <c r="P380" s="15" t="n"/>
    </row>
    <row r="381">
      <c r="A381" s="11" t="n">
        <v>17</v>
      </c>
      <c r="B381" s="11" t="inlineStr">
        <is>
          <t>17.07</t>
        </is>
      </c>
      <c r="C381" s="12" t="inlineStr">
        <is>
          <t>Every project in one list</t>
        </is>
      </c>
      <c r="D381" s="12" t="inlineStr">
        <is>
          <t>Projects</t>
        </is>
      </c>
      <c r="E381" s="13" t="inlineStr">
        <is>
          <t>See which projects need you, and why</t>
        </is>
      </c>
      <c r="F381" s="14" t="inlineStr">
        <is>
          <t>1. Press the "Needs attention" tile
2. Read the red words under each project’s name
3. Press the tile again</t>
        </is>
      </c>
      <c r="G381" s="14" t="inlineStr">
        <is>
          <t>The list narrows to the projects with a reason — Ryan D’Souza’s and Benjamin Han’s among them. Each row leads its client line with its worst reason in red — e.g. "2 milestones overdue" (Ryan) or "Payment overdue". Aisha Rahman’s is on hold, so it shows only what a hold doesn’t pause (an overdue payment or task, a ticket). Pressing the tile again brings back Open projects.</t>
        </is>
      </c>
      <c r="H381" s="12" t="inlineStr">
        <is>
          <t>Different from 1.0: plain reasons, no health score</t>
        </is>
      </c>
      <c r="I381" s="11" t="inlineStr">
        <is>
          <t>Dane</t>
        </is>
      </c>
      <c r="J381" s="15" t="n"/>
      <c r="K381" s="15" t="n"/>
      <c r="L381" s="15" t="n"/>
      <c r="M381" s="16" t="n"/>
      <c r="N381" s="17" t="n"/>
      <c r="O381" s="17" t="n"/>
      <c r="P381" s="15" t="n"/>
    </row>
    <row r="382">
      <c r="A382" s="11" t="n">
        <v>17</v>
      </c>
      <c r="B382" s="11" t="inlineStr">
        <is>
          <t>17.08</t>
        </is>
      </c>
      <c r="C382" s="12" t="inlineStr">
        <is>
          <t>Every project in one list</t>
        </is>
      </c>
      <c r="D382" s="12" t="inlineStr">
        <is>
          <t>Projects</t>
        </is>
      </c>
      <c r="E382" s="13" t="inlineStr">
        <is>
          <t>See what waits on the client</t>
        </is>
      </c>
      <c r="F382" s="14" t="inlineStr">
        <is>
          <t>1. Press the "Waiting on client" tile
2. Open Benjamin Han’s project and read its "With Benjamin" card
3. Go back, open Aisha Rahman’s and read "With Aisha"</t>
        </is>
      </c>
      <c r="G382" s="14" t="inlineStr">
        <is>
          <t>Benjamin Han’s, Aisha Rahman’s and Ryan D’Souza’s are listed. "With Benjamin" lists "Painting waits on Benjamin" (paint colours · n days so far) and what waits on his portal — "Choose your paint colours" and "Confirm that electrical and plumbing is done" — each with "Remind". "With Aisha" says "Variation order VO-1 awaits approval".</t>
        </is>
      </c>
      <c r="H382" s="12" t="inlineStr">
        <is>
          <t>New in 2.0</t>
        </is>
      </c>
      <c r="I382" s="11" t="inlineStr">
        <is>
          <t>Dane</t>
        </is>
      </c>
      <c r="J382" s="15" t="n"/>
      <c r="K382" s="15" t="n"/>
      <c r="L382" s="15" t="n"/>
      <c r="M382" s="16" t="n"/>
      <c r="N382" s="17" t="n"/>
      <c r="O382" s="17" t="n"/>
      <c r="P382" s="15" t="n"/>
    </row>
    <row r="383">
      <c r="A383" s="11" t="n">
        <v>17</v>
      </c>
      <c r="B383" s="11" t="inlineStr">
        <is>
          <t>17.09</t>
        </is>
      </c>
      <c r="C383" s="12" t="inlineStr">
        <is>
          <t>Every project in one list</t>
        </is>
      </c>
      <c r="D383" s="12" t="inlineStr">
        <is>
          <t>Projects</t>
        </is>
      </c>
      <c r="E383" s="13" t="inlineStr">
        <is>
          <t>Find a finished project and search the list</t>
        </is>
      </c>
      <c r="F383" s="14" t="inlineStr">
        <is>
          <t>1. Open the "Open projects" pill and pick "Completed", then "All projects"
2. Type 9773 in the search box, then clear it
3. Open "Filters" (Sort · Project type · Members) and "Column settings", then close them</t>
        </is>
      </c>
      <c r="G383" s="14" t="inlineStr">
        <is>
          <t>Completed shows "BTO 4-Room — Shalini Menon" (P-2025-001); All projects shows every one. 9773 finds Benjamin Han by his phone digits. Columns include Next milestone, Progress and Last update; filters apply as you pick, with "Done".</t>
        </is>
      </c>
      <c r="H383" s="12" t="inlineStr">
        <is>
          <t>Different from 1.0: Completed is hidden until asked; no Archive</t>
        </is>
      </c>
      <c r="I383" s="11" t="inlineStr">
        <is>
          <t>Dane</t>
        </is>
      </c>
      <c r="J383" s="15" t="n"/>
      <c r="K383" s="15" t="n"/>
      <c r="L383" s="15" t="n"/>
      <c r="M383" s="16" t="n"/>
      <c r="N383" s="17" t="n"/>
      <c r="O383" s="17" t="n"/>
      <c r="P383" s="15" t="n"/>
    </row>
    <row r="384">
      <c r="A384" s="11" t="n">
        <v>17</v>
      </c>
      <c r="B384" s="11" t="inlineStr">
        <is>
          <t>17.10</t>
        </is>
      </c>
      <c r="C384" s="12" t="inlineStr">
        <is>
          <t>A client who came straight to you</t>
        </is>
      </c>
      <c r="D384" s="12" t="inlineStr">
        <is>
          <t>Projects</t>
        </is>
      </c>
      <c r="E384" s="13" t="inlineStr">
        <is>
          <t>Add a project for a client with no lead — and meet the duplicate check</t>
        </is>
      </c>
      <c r="F384" s="14" t="inlineStr">
        <is>
          <t>1. Press "New project" (or C)
2. "Client name" Daniel Koh · "Client’s phone number" 9773 1968 · "Property type" Condo 3-bedder · "Agreed value (S$)" 36000; press "Create project"
3. In "Assign member" pick Germaine, then press "Create project" again
4. Read the question, then close it with its ✕ (not "Create anyway")</t>
        </is>
      </c>
      <c r="G384" s="14" t="inlineStr">
        <is>
          <t>The form says "For a client who came straight to you. Their details stay with the project — they never join your leads." and keeps District, address, floor area, style, rooms and a first note folded under "More details". The first Create stops at "Assign member": "Assign at least one member". Then the number is Benjamin Han’s, so "A client with this phone already exists" names him, with "Open existing" and "Create anyway".</t>
        </is>
      </c>
      <c r="H384" s="12" t="inlineStr">
        <is>
          <t>New in 2.0</t>
        </is>
      </c>
      <c r="I384" s="11" t="inlineStr">
        <is>
          <t>Dane</t>
        </is>
      </c>
      <c r="J384" s="15" t="n"/>
      <c r="K384" s="15" t="n"/>
      <c r="L384" s="15" t="n"/>
      <c r="M384" s="16" t="n"/>
      <c r="N384" s="17" t="n"/>
      <c r="O384" s="17" t="n"/>
      <c r="P384" s="15" t="n"/>
    </row>
    <row r="385">
      <c r="A385" s="11" t="n">
        <v>17</v>
      </c>
      <c r="B385" s="11" t="inlineStr">
        <is>
          <t>17.11</t>
        </is>
      </c>
      <c r="C385" s="12" t="inlineStr">
        <is>
          <t>A client who came straight to you</t>
        </is>
      </c>
      <c r="D385" s="12" t="inlineStr">
        <is>
          <t>Projects</t>
        </is>
      </c>
      <c r="E385" s="13" t="inlineStr">
        <is>
          <t>Create Daniel Koh’s project</t>
        </is>
      </c>
      <c r="F385" s="14" t="inlineStr">
        <is>
          <t>1. Change the phone to 9456 7801 (Germaine stays picked)
2. Open "More details": "District" East · "Property address" 12 Tampines Ave 5
3. "Payment split": the 10/30/30/30 one · leave "Project type" on Whole-home renovation
4. Press "Create project"</t>
        </is>
      </c>
      <c r="G385" s="14" t="inlineStr">
        <is>
          <t>"Project P-2026-… created" and his project "Condo 3-bedder — Daniel Koh" opens by itself, "Stage: Setting up". Its Money card reads "Agreed value" with the Contract value S$ 36,000; "Payment stages · 4" opens the 10/30/30/30 split. In "Project info", "Signed quote" reads "Agreed outside a quote".</t>
        </is>
      </c>
      <c r="H385" s="12" t="inlineStr">
        <is>
          <t>Different from 1.0: a project with no lead keeps its own client</t>
        </is>
      </c>
      <c r="I385" s="11" t="inlineStr">
        <is>
          <t>Dane</t>
        </is>
      </c>
      <c r="J385" s="15" t="n"/>
      <c r="K385" s="15" t="n"/>
      <c r="L385" s="15" t="n"/>
      <c r="M385" s="16" t="n"/>
      <c r="N385" s="17" t="n"/>
      <c r="O385" s="17" t="n"/>
      <c r="P385" s="15" t="n"/>
    </row>
    <row r="386">
      <c r="A386" s="11" t="n">
        <v>17</v>
      </c>
      <c r="B386" s="11" t="inlineStr">
        <is>
          <t>17.12</t>
        </is>
      </c>
      <c r="C386" s="12" t="inlineStr">
        <is>
          <t>A client who came straight to you</t>
        </is>
      </c>
      <c r="D386" s="12" t="inlineStr">
        <is>
          <t>Leads</t>
        </is>
      </c>
      <c r="E386" s="13" t="inlineStr">
        <is>
          <t>Check Daniel Koh stays out of your leads</t>
        </is>
      </c>
      <c r="F386" s="14" t="inlineStr">
        <is>
          <t>1. Open "Leads" and search Daniel
2. Press ⌘K (Ctrl+K), type Daniel
3. Pick his result</t>
        </is>
      </c>
      <c r="G386" s="14" t="inlineStr">
        <is>
          <t>Leads finds no Daniel Koh. The studio search lists him under "Projects" (P-2026-… · Daniel Koh · 12 Tampines Ave 5, with a stage chip) and opens his project.</t>
        </is>
      </c>
      <c r="H386" s="12" t="inlineStr">
        <is>
          <t>New in 2.0</t>
        </is>
      </c>
      <c r="I386" s="11" t="inlineStr">
        <is>
          <t>Dane</t>
        </is>
      </c>
      <c r="J386" s="15" t="n"/>
      <c r="K386" s="15" t="n"/>
      <c r="L386" s="15" t="n"/>
      <c r="M386" s="16" t="n"/>
      <c r="N386" s="17" t="n"/>
      <c r="O386" s="17" t="n"/>
      <c r="P386" s="15" t="n"/>
    </row>
    <row r="387">
      <c r="A387" s="11" t="n">
        <v>17</v>
      </c>
      <c r="B387" s="11" t="inlineStr">
        <is>
          <t>17.13</t>
        </is>
      </c>
      <c r="C387" s="12" t="inlineStr">
        <is>
          <t>Carried on from the lead</t>
        </is>
      </c>
      <c r="D387" s="12" t="inlineStr">
        <is>
          <t>Projects</t>
        </is>
      </c>
      <c r="E387" s="13" t="inlineStr">
        <is>
          <t>Find Sophia’s tasks and files on her project</t>
        </is>
      </c>
      <c r="F387" s="14" t="inlineStr">
        <is>
          <t>1. Open Sophia’s project › "Tasks"
2. Open "Files &amp; notes", click one of her files, then "Back to Files"</t>
        </is>
      </c>
      <c r="G387" s="14" t="inlineStr">
        <is>
          <t>Tasks opens on "All tasks" (beside "Compliance") with the same tasks as her lead (e.g. "Send Sophia the HDB renovation checklist"); Files &amp; notes opens on "Files", holding the files you uploaded on her lead; the viewer’s Back returns to the project’s Files.</t>
        </is>
      </c>
      <c r="H387" s="12" t="inlineStr">
        <is>
          <t>Different from 1.0: the lead’s records carry on, no copies</t>
        </is>
      </c>
      <c r="I387" s="11" t="inlineStr">
        <is>
          <t>Dane</t>
        </is>
      </c>
      <c r="J387" s="15" t="n"/>
      <c r="K387" s="15" t="n"/>
      <c r="L387" s="15" t="n"/>
      <c r="M387" s="16" t="n"/>
      <c r="N387" s="17" t="n"/>
      <c r="O387" s="17" t="n"/>
      <c r="P387" s="15" t="n"/>
    </row>
    <row r="388">
      <c r="A388" s="11" t="n">
        <v>17</v>
      </c>
      <c r="B388" s="11" t="inlineStr">
        <is>
          <t>17.14</t>
        </is>
      </c>
      <c r="C388" s="12" t="inlineStr">
        <is>
          <t>Carried on from the lead</t>
        </is>
      </c>
      <c r="D388" s="12" t="inlineStr">
        <is>
          <t>Projects</t>
        </is>
      </c>
      <c r="E388" s="13" t="inlineStr">
        <is>
          <t>Read the project’s story in Activity</t>
        </is>
      </c>
      <c r="F388" s="14" t="inlineStr">
        <is>
          <t>1. Open "Files &amp; notes" › "Activity"
2. Read the newest lines</t>
        </is>
      </c>
      <c r="G388" s="14" t="inlineStr">
        <is>
          <t>Her whole history is there, with "You won the lead — the project “HDB 4-Room — Sophia Wong” (P-2026-…) was created.", "You started the project — work begins …" and the dates line "You set the target end date to …".</t>
        </is>
      </c>
      <c r="H388" s="12" t="inlineStr">
        <is>
          <t>Different from 1.0: one history from first call to project</t>
        </is>
      </c>
      <c r="I388" s="11" t="inlineStr">
        <is>
          <t>Dane</t>
        </is>
      </c>
      <c r="J388" s="15" t="n"/>
      <c r="K388" s="15" t="n"/>
      <c r="L388" s="15" t="n"/>
      <c r="M388" s="16" t="n"/>
      <c r="N388" s="17" t="n"/>
      <c r="O388" s="17" t="n"/>
      <c r="P388" s="15" t="n"/>
    </row>
    <row r="389">
      <c r="A389" s="11" t="n">
        <v>17</v>
      </c>
      <c r="B389" s="11" t="inlineStr">
        <is>
          <t>17.15</t>
        </is>
      </c>
      <c r="C389" s="12" t="inlineStr">
        <is>
          <t>Carried on from the lead</t>
        </is>
      </c>
      <c r="D389" s="12" t="inlineStr">
        <is>
          <t>Projects</t>
        </is>
      </c>
      <c r="E389" s="13" t="inlineStr">
        <is>
          <t>Use the project’s menu</t>
        </is>
      </c>
      <c r="F389" s="14" t="inlineStr">
        <is>
          <t>1. Open ⋮ ("More options") at the top of the project
2. Press "Edit details", add " (Tampines)" to "Project name", press "Save"
3. ⋮ › "Open the lead’s record", then press the back arrow</t>
        </is>
      </c>
      <c r="G389" s="14" t="inlineStr">
        <is>
          <t>The menu offers Edit details · Open the lead’s record ("Its quotes and contracts") · Open the signed quote · Open the contract · Invite to Portal · Commission · Duplicate project · Copy Link · Delete. "Details saved" and the header shows the new name; her lead opens and Back returns to the project.</t>
        </is>
      </c>
      <c r="H389" s="12" t="inlineStr">
        <is>
          <t>Same as 1.0</t>
        </is>
      </c>
      <c r="I389" s="11" t="inlineStr">
        <is>
          <t>Dane</t>
        </is>
      </c>
      <c r="J389" s="15" t="n"/>
      <c r="K389" s="15" t="n"/>
      <c r="L389" s="15" t="n"/>
      <c r="M389" s="16" t="n"/>
      <c r="N389" s="17" t="n"/>
      <c r="O389" s="17" t="n"/>
      <c r="P389" s="15" t="n"/>
    </row>
    <row r="390">
      <c r="A390" s="11" t="n">
        <v>17</v>
      </c>
      <c r="B390" s="11" t="inlineStr">
        <is>
          <t>17.16</t>
        </is>
      </c>
      <c r="C390" s="12" t="inlineStr">
        <is>
          <t>Carried on from the lead</t>
        </is>
      </c>
      <c r="D390" s="12" t="inlineStr">
        <is>
          <t>Shell</t>
        </is>
      </c>
      <c r="E390" s="13" t="inlineStr">
        <is>
          <t>Reach Projects from the keyboard and the search</t>
        </is>
      </c>
      <c r="F390" s="14" t="inlineStr">
        <is>
          <t>1. Click an empty part of the page, press G, wait, then P
2. Press G then B
3. Press ⌘K (Ctrl+K) and read "Go to" and "Create"</t>
        </is>
      </c>
      <c r="G390" s="14" t="inlineStr">
        <is>
          <t>The G bar lists D Dashboard, L Leads, P Projects, T Tasks … B Price book; G P opens Projects and G B the Price book. The search window has a "Projects" chip, "Projects" under Go to and "New project" under Create.</t>
        </is>
      </c>
      <c r="H390" s="12" t="inlineStr">
        <is>
          <t>New in 2.0</t>
        </is>
      </c>
      <c r="I390" s="11" t="inlineStr">
        <is>
          <t>Dane</t>
        </is>
      </c>
      <c r="J390" s="15" t="n"/>
      <c r="K390" s="15" t="n"/>
      <c r="L390" s="15" t="n"/>
      <c r="M390" s="16" t="n"/>
      <c r="N390" s="17" t="n"/>
      <c r="O390" s="17" t="n"/>
      <c r="P390" s="15" t="n"/>
    </row>
    <row r="391">
      <c r="A391" s="11" t="n">
        <v>17</v>
      </c>
      <c r="B391" s="11" t="inlineStr">
        <is>
          <t>17.17</t>
        </is>
      </c>
      <c r="C391" s="12" t="inlineStr">
        <is>
          <t>Carried on from the lead</t>
        </is>
      </c>
      <c r="D391" s="12" t="inlineStr">
        <is>
          <t>Phone</t>
        </is>
      </c>
      <c r="E391" s="13" t="inlineStr">
        <is>
          <t>Check the projects on your phone</t>
        </is>
      </c>
      <c r="F391" s="14" t="inlineStr">
        <is>
          <t>1. On your phone tap "Projects" in the bottom bar
2. Tap Benjamin Han’s card</t>
        </is>
      </c>
      <c r="G391" s="14" t="inlineStr">
        <is>
          <t>Projects in the bottom bar wears the same red count. Each project is a card (name, client · property, number · Starts … · Ends …, reasons in red); his project opens with its seven tabs scrolling sideways and, at the foot, a bar for the site: Photos · Done · Note · Message.</t>
        </is>
      </c>
      <c r="H391" s="12" t="inlineStr">
        <is>
          <t>Different from 1.0: the same product on a phone</t>
        </is>
      </c>
      <c r="I391" s="11" t="inlineStr">
        <is>
          <t>Dane</t>
        </is>
      </c>
      <c r="J391" s="15" t="n"/>
      <c r="K391" s="15" t="n"/>
      <c r="L391" s="15" t="n"/>
      <c r="M391" s="16" t="n"/>
      <c r="N391" s="17" t="n"/>
      <c r="O391" s="17" t="n"/>
      <c r="P391" s="15" t="n"/>
    </row>
    <row r="392" ht="22" customHeight="1">
      <c r="A392" s="9" t="inlineStr">
        <is>
          <t>Chapter 18 · The schedule — The list that is also the timeline: from the quote, moves with Undo, the milestone’s layers, reminders, Share changes and templates.</t>
        </is>
      </c>
      <c r="M392" s="10" t="n"/>
    </row>
    <row r="393">
      <c r="A393" s="11" t="n">
        <v>18</v>
      </c>
      <c r="B393" s="11" t="inlineStr">
        <is>
          <t>18.01</t>
        </is>
      </c>
      <c r="C393" s="12" t="inlineStr">
        <is>
          <t>Sophia’s schedule, from her quote</t>
        </is>
      </c>
      <c r="D393" s="12" t="inlineStr">
        <is>
          <t>Projects</t>
        </is>
      </c>
      <c r="E393" s="13" t="inlineStr">
        <is>
          <t>Lay out Sophia’s schedule from her signed quote</t>
        </is>
      </c>
      <c r="F393" s="14" t="inlineStr">
        <is>
          <t>1. Open Sophia’s project; on its Overview read "Needs you", then press "Set up" on the "Schedule" row
2. Read "Works start on", "Milestones come from" and "What you will get"
3. Pick "A schedule template", look at the drawing, then pick "A quote" again</t>
        </is>
      </c>
      <c r="G393" s="14" t="inlineStr">
        <is>
          <t>Needs you lists "The Deposit invoice is ready to send", "Schedule" and "Invite the client" (the filled button reads "Send the Deposit invoice"). "Set up" opens the Schedule tab on "Set up the schedule"; works start on her start date. "A quote" says "One milestone for each stage of work in OM-…, in the order it runs on site …". What you will get lists each stage with its dates, "Handover around …, n weeks after works start." and "Payments follow the quote: 10% deposit, 30% commencement, …". The template redraws it.</t>
        </is>
      </c>
      <c r="H393" s="12" t="inlineStr">
        <is>
          <t>Different from 1.0: built from the quote, shown before it is made</t>
        </is>
      </c>
      <c r="I393" s="11" t="inlineStr">
        <is>
          <t>Dane</t>
        </is>
      </c>
      <c r="J393" s="15" t="n"/>
      <c r="K393" s="15" t="n"/>
      <c r="L393" s="15" t="n"/>
      <c r="M393" s="16" t="n"/>
      <c r="N393" s="17" t="n"/>
      <c r="O393" s="17" t="n"/>
      <c r="P393" s="15" t="n"/>
    </row>
    <row r="394">
      <c r="A394" s="11" t="n">
        <v>18</v>
      </c>
      <c r="B394" s="11" t="inlineStr">
        <is>
          <t>18.02</t>
        </is>
      </c>
      <c r="C394" s="12" t="inlineStr">
        <is>
          <t>Sophia’s schedule, from her quote</t>
        </is>
      </c>
      <c r="D394" s="12" t="inlineStr">
        <is>
          <t>Projects</t>
        </is>
      </c>
      <c r="E394" s="13" t="inlineStr">
        <is>
          <t>Create her schedule and read it</t>
        </is>
      </c>
      <c r="F394" s="14" t="inlineStr">
        <is>
          <t>1. Press "Create schedule"
2. Read the top of the tab, the rows, and the line beside the eye with the button next to it
3. Read the sentences under the list</t>
        </is>
      </c>
      <c r="G394" s="14" t="inlineStr">
        <is>
          <t>"Schedule set up". One list that is also the timeline: names on the left, a bar per milestone to scale, weekends shaded, today’s line, a diamond where a payment falls due. The top sums up Done · To handover · Next payment. Beside the eye: "Sophia has no portal yet — invite them to see the schedule." and an outlined "Share the schedule"; the filled button still reads "Send the Deposit invoice".</t>
        </is>
      </c>
      <c r="H394" s="12" t="inlineStr">
        <is>
          <t>Different from 1.0: list and timeline are one</t>
        </is>
      </c>
      <c r="I394" s="11" t="inlineStr">
        <is>
          <t>Dane</t>
        </is>
      </c>
      <c r="J394" s="15" t="n"/>
      <c r="K394" s="15" t="n"/>
      <c r="L394" s="15" t="n"/>
      <c r="M394" s="16" t="n"/>
      <c r="N394" s="17" t="n"/>
      <c r="O394" s="17" t="n"/>
      <c r="P394" s="15" t="n"/>
    </row>
    <row r="395">
      <c r="A395" s="11" t="n">
        <v>18</v>
      </c>
      <c r="B395" s="11" t="inlineStr">
        <is>
          <t>18.03</t>
        </is>
      </c>
      <c r="C395" s="12" t="inlineStr">
        <is>
          <t>Sophia’s schedule, from her quote</t>
        </is>
      </c>
      <c r="D395" s="12" t="inlineStr">
        <is>
          <t>Projects</t>
        </is>
      </c>
      <c r="E395" s="13" t="inlineStr">
        <is>
          <t>Zoom the timeline</t>
        </is>
      </c>
      <c r="F395" s="14" t="inlineStr">
        <is>
          <t>1. Press "Months", then "Weeks"
2. Scroll the bars sideways, then press "Today"</t>
        </is>
      </c>
      <c r="G395" s="14" t="inlineStr">
        <is>
          <t>Months squeezes the job onto the screen, Weeks spreads it out with week heads; Today brings today’s line back to the middle.</t>
        </is>
      </c>
      <c r="H395" s="12" t="inlineStr">
        <is>
          <t>Same as 1.0</t>
        </is>
      </c>
      <c r="I395" s="11" t="inlineStr">
        <is>
          <t>Dane</t>
        </is>
      </c>
      <c r="J395" s="15" t="n"/>
      <c r="K395" s="15" t="n"/>
      <c r="L395" s="15" t="n"/>
      <c r="M395" s="16" t="n"/>
      <c r="N395" s="17" t="n"/>
      <c r="O395" s="17" t="n"/>
      <c r="P395" s="15" t="n"/>
    </row>
    <row r="396">
      <c r="A396" s="11" t="n">
        <v>18</v>
      </c>
      <c r="B396" s="11" t="inlineStr">
        <is>
          <t>18.04</t>
        </is>
      </c>
      <c r="C396" s="12" t="inlineStr">
        <is>
          <t>Benjamin’s job, half-way</t>
        </is>
      </c>
      <c r="D396" s="12" t="inlineStr">
        <is>
          <t>Projects</t>
        </is>
      </c>
      <c r="E396" s="13" t="inlineStr">
        <is>
          <t>See where Benjamin’s job stands</t>
        </is>
      </c>
      <c r="F396" s="14" t="inlineStr">
        <is>
          <t>1. Open Benjamin Han’s project › "Schedule"
2. Read the top, then the line beside the eye and the button next to it
3. Read each row’s grey line</t>
        </is>
      </c>
      <c r="G396" s="14" t="inlineStr">
        <is>
          <t>The top reads "Handover moves to …, one week later." with "Carpentry now ends …. Painting, cleaning and handover moved with it."; Done 3 of 7. The eye line says "Benjamin still sees the schedule shared on …, handover …" (a week before the new one) and "4 changes to share.", with an outlined "Share 4 changes" beside it. Four rows wear "+1 week" with a dashed outline where he last saw them; Painting is striped amber: "Waiting on Benjamin for paint colours · n days". (The demo’s dates move with the day you reset it, every gap kept — so these steps name the gaps, not the days.)</t>
        </is>
      </c>
      <c r="H396" s="12" t="inlineStr">
        <is>
          <t>New in 2.0</t>
        </is>
      </c>
      <c r="I396" s="11" t="inlineStr">
        <is>
          <t>Dane</t>
        </is>
      </c>
      <c r="J396" s="15" t="n"/>
      <c r="K396" s="15" t="n"/>
      <c r="L396" s="15" t="n"/>
      <c r="M396" s="16" t="n"/>
      <c r="N396" s="17" t="n"/>
      <c r="O396" s="17" t="n"/>
      <c r="P396" s="15" t="n"/>
    </row>
    <row r="397">
      <c r="A397" s="11" t="n">
        <v>18</v>
      </c>
      <c r="B397" s="11" t="inlineStr">
        <is>
          <t>18.05</t>
        </is>
      </c>
      <c r="C397" s="12" t="inlineStr">
        <is>
          <t>Benjamin’s job, half-way</t>
        </is>
      </c>
      <c r="D397" s="12" t="inlineStr">
        <is>
          <t>Projects</t>
        </is>
      </c>
      <c r="E397" s="13" t="inlineStr">
        <is>
          <t>See the schedule as Benjamin has it now</t>
        </is>
      </c>
      <c r="F397" s="14" t="inlineStr">
        <is>
          <t>1. Press the eye line
2. Compare the pane with the list
3. Close the pane</t>
        </is>
      </c>
      <c r="G397" s="14" t="inlineStr">
        <is>
          <t>A pane "What Benjamin sees", "Shared …, handover …", shows his copy: Carpentry still ending a week earlier and the handover a week earlier, with the studio’s note; its foot says "Changes reach Benjamin only when you share them."</t>
        </is>
      </c>
      <c r="H397" s="12" t="inlineStr">
        <is>
          <t>New in 2.0</t>
        </is>
      </c>
      <c r="I397" s="11" t="inlineStr">
        <is>
          <t>Dane</t>
        </is>
      </c>
      <c r="J397" s="15" t="n"/>
      <c r="K397" s="15" t="n"/>
      <c r="L397" s="15" t="n"/>
      <c r="M397" s="16" t="n"/>
      <c r="N397" s="17" t="n"/>
      <c r="O397" s="17" t="n"/>
      <c r="P397" s="15" t="n"/>
    </row>
    <row r="398">
      <c r="A398" s="11" t="n">
        <v>18</v>
      </c>
      <c r="B398" s="11" t="inlineStr">
        <is>
          <t>18.06</t>
        </is>
      </c>
      <c r="C398" s="12" t="inlineStr">
        <is>
          <t>Benjamin’s job, half-way</t>
        </is>
      </c>
      <c r="D398" s="12" t="inlineStr">
        <is>
          <t>Projects</t>
        </is>
      </c>
      <c r="E398" s="13" t="inlineStr">
        <is>
          <t>Move a milestone and take it back</t>
        </is>
      </c>
      <c r="F398" s="14" t="inlineStr">
        <is>
          <t>1. Drag the "Carpentry fabrication" bar a few days to the right, watching the dates over it
2. Let go and read the message
3. Press "Undo"</t>
        </is>
      </c>
      <c r="G398" s="14" t="inlineStr">
        <is>
          <t>Dates show over the bar as it moves ("… – …") and the milestones after it move along, ringed. On release: "Carpentry moved n days later. 3 milestones followed. n open tasks moved with them." with Undo; Undo puts every date back.</t>
        </is>
      </c>
      <c r="H398" s="12" t="inlineStr">
        <is>
          <t>Different from 1.0: what follows moves too, and says so</t>
        </is>
      </c>
      <c r="I398" s="11" t="inlineStr">
        <is>
          <t>Dane</t>
        </is>
      </c>
      <c r="J398" s="15" t="n"/>
      <c r="K398" s="15" t="n"/>
      <c r="L398" s="15" t="n"/>
      <c r="M398" s="16" t="n"/>
      <c r="N398" s="17" t="n"/>
      <c r="O398" s="17" t="n"/>
      <c r="P398" s="15" t="n"/>
    </row>
    <row r="399">
      <c r="A399" s="11" t="n">
        <v>18</v>
      </c>
      <c r="B399" s="11" t="inlineStr">
        <is>
          <t>18.07</t>
        </is>
      </c>
      <c r="C399" s="12" t="inlineStr">
        <is>
          <t>Benjamin’s job, half-way</t>
        </is>
      </c>
      <c r="D399" s="12" t="inlineStr">
        <is>
          <t>Projects</t>
        </is>
      </c>
      <c r="E399" s="13" t="inlineStr">
        <is>
          <t>Change only the end, or change your mind mid-drag</t>
        </is>
      </c>
      <c r="F399" s="14" t="inlineStr">
        <is>
          <t>1. Start dragging the Carpentry bar again and press Esc before letting go
2. Drag the bar’s right end one day to the right and let go
3. Press "Undo"</t>
        </is>
      </c>
      <c r="G399" s="14" t="inlineStr">
        <is>
          <t>Esc puts the bar back with no message. The end drag says "Carpentry now ends …, 1 day later. 3 milestones followed. n open tasks moved with them." with Undo; Undo puts it back.</t>
        </is>
      </c>
      <c r="H399" s="12" t="inlineStr">
        <is>
          <t>New in 2.0</t>
        </is>
      </c>
      <c r="I399" s="11" t="inlineStr">
        <is>
          <t>Dane</t>
        </is>
      </c>
      <c r="J399" s="15" t="n"/>
      <c r="K399" s="15" t="n"/>
      <c r="L399" s="15" t="n"/>
      <c r="M399" s="16" t="n"/>
      <c r="N399" s="17" t="n"/>
      <c r="O399" s="17" t="n"/>
      <c r="P399" s="15" t="n"/>
    </row>
    <row r="400">
      <c r="A400" s="11" t="n">
        <v>18</v>
      </c>
      <c r="B400" s="11" t="inlineStr">
        <is>
          <t>18.08</t>
        </is>
      </c>
      <c r="C400" s="12" t="inlineStr">
        <is>
          <t>Benjamin’s job, half-way</t>
        </is>
      </c>
      <c r="D400" s="12" t="inlineStr">
        <is>
          <t>Projects</t>
        </is>
      </c>
      <c r="E400" s="13" t="inlineStr">
        <is>
          <t>Move a bar from the keyboard</t>
        </is>
      </c>
      <c r="F400" s="14" t="inlineStr">
        <is>
          <t>1. Press Tab until the Carpentry bar is outlined
2. Press → twice and wait a moment
3. Press ⌘Z (Ctrl+Z)
4. Press ?, read "A project’s schedule", press Esc</t>
        </is>
      </c>
      <c r="G400" s="14" t="inlineStr">
        <is>
          <t>Each → moves it a day; the two presses land as one move with its sentence, and ⌘Z presses its Undo. The ? list has "A project’s schedule": Move it a day earlier · later, Move it a week, Its last day…, Open the focused bar, Put a moving bar back.</t>
        </is>
      </c>
      <c r="H400" s="12" t="inlineStr">
        <is>
          <t>New in 2.0</t>
        </is>
      </c>
      <c r="I400" s="11" t="inlineStr">
        <is>
          <t>Dane</t>
        </is>
      </c>
      <c r="J400" s="15" t="n"/>
      <c r="K400" s="15" t="n"/>
      <c r="L400" s="15" t="n"/>
      <c r="M400" s="16" t="n"/>
      <c r="N400" s="17" t="n"/>
      <c r="O400" s="17" t="n"/>
      <c r="P400" s="15" t="n"/>
    </row>
    <row r="401">
      <c r="A401" s="11" t="n">
        <v>18</v>
      </c>
      <c r="B401" s="11" t="inlineStr">
        <is>
          <t>18.09</t>
        </is>
      </c>
      <c r="C401" s="12" t="inlineStr">
        <is>
          <t>Benjamin’s job, half-way</t>
        </is>
      </c>
      <c r="D401" s="12" t="inlineStr">
        <is>
          <t>Projects</t>
        </is>
      </c>
      <c r="E401" s="13" t="inlineStr">
        <is>
          <t>Open a milestone and read its layers</t>
        </is>
      </c>
      <c r="F401" s="14" t="inlineStr">
        <is>
          <t>1. Click the "Painting" bar without dragging
2. Read the panel from top to bottom
3. Press "Cancel"</t>
        </is>
      </c>
      <c r="G401" s="14" t="inlineStr">
        <is>
          <t>A panel "Painting": the status (Not started · In progress · Blocked · Done); When — Starts, Ends, "10 days. Push it later by 1 day · 3 days · 1 week", "Moves with" and "If carpentry moves, painting moves by the same number of days.", "1 week later than first shared (…)."; Tasks (three); switches "Shown to Benjamin", "Waiting on someone" (Benjamin, paint colours), "A payment falls due here", "Ask Benjamin to confirm it".</t>
        </is>
      </c>
      <c r="H401" s="12" t="inlineStr">
        <is>
          <t>Different from 1.0: one panel; waits, payments and the client in it</t>
        </is>
      </c>
      <c r="I401" s="11" t="inlineStr">
        <is>
          <t>Dane</t>
        </is>
      </c>
      <c r="J401" s="15" t="n"/>
      <c r="K401" s="15" t="n"/>
      <c r="L401" s="15" t="n"/>
      <c r="M401" s="16" t="n"/>
      <c r="N401" s="17" t="n"/>
      <c r="O401" s="17" t="n"/>
      <c r="P401" s="15" t="n"/>
    </row>
    <row r="402">
      <c r="A402" s="11" t="n">
        <v>18</v>
      </c>
      <c r="B402" s="11" t="inlineStr">
        <is>
          <t>18.10</t>
        </is>
      </c>
      <c r="C402" s="12" t="inlineStr">
        <is>
          <t>Benjamin’s job, half-way</t>
        </is>
      </c>
      <c r="D402" s="12" t="inlineStr">
        <is>
          <t>Projects</t>
        </is>
      </c>
      <c r="E402" s="13" t="inlineStr">
        <is>
          <t>See what Benjamin has confirmed</t>
        </is>
      </c>
      <c r="F402" s="14" t="inlineStr">
        <is>
          <t>1. Read the grey lines of "Masonry &amp; tiling" and "Electrical &amp; plumbing"
2. Open "Masonry &amp; tiling", read the end of the panel, press "Cancel"
3. Open "Electrical &amp; plumbing", read "Ask Benjamin to confirm it", press "Cancel"</t>
        </is>
      </c>
      <c r="G402" s="14" t="inlineStr">
        <is>
          <t>The rows read "Shared … · Benjamin confirmed it …" (the next day) and "Shared … · waiting for Benjamin to confirm". Masonry’s panel shows "Benjamin confirmed it · …" in green; Electrical’s says "Waiting for Benjamin to confirm it on their portal."</t>
        </is>
      </c>
      <c r="H402" s="12" t="inlineStr">
        <is>
          <t>Different from 1.0: the client confirms only when asked</t>
        </is>
      </c>
      <c r="I402" s="11" t="inlineStr">
        <is>
          <t>Dane</t>
        </is>
      </c>
      <c r="J402" s="15" t="n"/>
      <c r="K402" s="15" t="n"/>
      <c r="L402" s="15" t="n"/>
      <c r="M402" s="16" t="n"/>
      <c r="N402" s="17" t="n"/>
      <c r="O402" s="17" t="n"/>
      <c r="P402" s="15" t="n"/>
    </row>
    <row r="403">
      <c r="A403" s="11" t="n">
        <v>18</v>
      </c>
      <c r="B403" s="11" t="inlineStr">
        <is>
          <t>18.11</t>
        </is>
      </c>
      <c r="C403" s="12" t="inlineStr">
        <is>
          <t>Benjamin’s job, half-way</t>
        </is>
      </c>
      <c r="D403" s="12" t="inlineStr">
        <is>
          <t>Tasks</t>
        </is>
      </c>
      <c r="E403" s="13" t="inlineStr">
        <is>
          <t>Add a task inside a milestone</t>
        </is>
      </c>
      <c r="F403" s="14" t="inlineStr">
        <is>
          <t>1. Open "Painting", press "Add a task", type Buy sample pots for the living room, press Enter
2. Press "Cancel" to close the panel
3. Open the "Tasks" tab (it opens on "All tasks") and find the task</t>
        </is>
      </c>
      <c r="G403" s="14" t="inlineStr">
        <is>
          <t>"Task added to Painting" — due on Painting’s last day, with the project’s team on it. On Tasks a "Milestone" column after Title reads "Painting"; Filters has a "Milestone" tab with "In no milestone".</t>
        </is>
      </c>
      <c r="H403" s="12" t="inlineStr">
        <is>
          <t>Different from 1.0: tasks live inside milestones</t>
        </is>
      </c>
      <c r="I403" s="11" t="inlineStr">
        <is>
          <t>Dane</t>
        </is>
      </c>
      <c r="J403" s="15" t="n"/>
      <c r="K403" s="15" t="n"/>
      <c r="L403" s="15" t="n"/>
      <c r="M403" s="16" t="n"/>
      <c r="N403" s="17" t="n"/>
      <c r="O403" s="17" t="n"/>
      <c r="P403" s="15" t="n"/>
    </row>
    <row r="404">
      <c r="A404" s="11" t="n">
        <v>18</v>
      </c>
      <c r="B404" s="11" t="inlineStr">
        <is>
          <t>18.12</t>
        </is>
      </c>
      <c r="C404" s="12" t="inlineStr">
        <is>
          <t>When a stage slips</t>
        </is>
      </c>
      <c r="D404" s="12" t="inlineStr">
        <is>
          <t>Projects</t>
        </is>
      </c>
      <c r="E404" s="13" t="inlineStr">
        <is>
          <t>Read a late job and mark a stage done</t>
        </is>
      </c>
      <c r="F404" s="14" t="inlineStr">
        <is>
          <t>1. Open Ryan D’Souza’s project › "Schedule"; read the top and the "Electrical &amp; plumbing" row
2. On that row press "Mark done" and read the sheet: "When", "Tell Ryan", "Money"
3. Untick "Show it on Ryan’s schedule as done" and "Send the Mid-Project invoice", then press "Mark done"
4. Press "Undo"</t>
        </is>
      </c>
      <c r="G404" s="14" t="inlineStr">
        <is>
          <t>The top is red: "2 milestones are late. Handover is set for …."; Electrical’s line reads "Blocked · waiting on the plumber … · was due …, n days late". The sheet "Mark Electrical &amp; plumbing done" says "… late — it was due to end …"; under Money "Send the Mid-Project invoice · S$…" is ticked. Then "Electrical marked done." with Undo; Undo answers "Electrical is back as it was" — Blocked and late again.</t>
        </is>
      </c>
      <c r="H404" s="12" t="inlineStr">
        <is>
          <t>Different from 1.0: late stages say so in words</t>
        </is>
      </c>
      <c r="I404" s="11" t="inlineStr">
        <is>
          <t>Dane</t>
        </is>
      </c>
      <c r="J404" s="15" t="n"/>
      <c r="K404" s="15" t="n"/>
      <c r="L404" s="15" t="n"/>
      <c r="M404" s="16" t="n"/>
      <c r="N404" s="17" t="n"/>
      <c r="O404" s="17" t="n"/>
      <c r="P404" s="15" t="n"/>
    </row>
    <row r="405">
      <c r="A405" s="11" t="n">
        <v>18</v>
      </c>
      <c r="B405" s="11" t="inlineStr">
        <is>
          <t>18.13</t>
        </is>
      </c>
      <c r="C405" s="12" t="inlineStr">
        <is>
          <t>When a stage slips</t>
        </is>
      </c>
      <c r="D405" s="12" t="inlineStr">
        <is>
          <t>Notifications</t>
        </is>
      </c>
      <c r="E405" s="13" t="inlineStr">
        <is>
          <t>Get reminded when a milestone ends or runs late</t>
        </is>
      </c>
      <c r="F405" s="14" t="inlineStr">
        <is>
          <t>1. "Demo Studio" block › "View as" › "Michelle"
2. Click the bell (Notifications) and read the "Due" rows
3. Press "Overdue: Electrical &amp; plumbing"
4. "View as" › "Dane"</t>
        </is>
      </c>
      <c r="G405" s="14" t="inlineStr">
        <is>
          <t>Michelle’s bell has "Overdue: Electrical &amp; plumbing" and "Overdue: Carpentry fabrication" (Executive Condo — Ryan D’Souza, n days late) — and "Ends in n days: …" when a milestone ends within three days; the row opens the milestone on Ryan’s schedule.</t>
        </is>
      </c>
      <c r="H405" s="12" t="inlineStr">
        <is>
          <t>Different from 1.0: reminders come whether the timeline is open or not</t>
        </is>
      </c>
      <c r="I405" s="18" t="inlineStr">
        <is>
          <t>Michelle</t>
        </is>
      </c>
      <c r="J405" s="15" t="n"/>
      <c r="K405" s="15" t="n"/>
      <c r="L405" s="15" t="n"/>
      <c r="M405" s="16" t="n"/>
      <c r="N405" s="17" t="n"/>
      <c r="O405" s="17" t="n"/>
      <c r="P405" s="15" t="n"/>
    </row>
    <row r="406">
      <c r="A406" s="11" t="n">
        <v>18</v>
      </c>
      <c r="B406" s="11" t="inlineStr">
        <is>
          <t>18.14</t>
        </is>
      </c>
      <c r="C406" s="12" t="inlineStr">
        <is>
          <t>Telling the clients</t>
        </is>
      </c>
      <c r="D406" s="12" t="inlineStr">
        <is>
          <t>Projects</t>
        </is>
      </c>
      <c r="E406" s="13" t="inlineStr">
        <is>
          <t>Share the new dates with Benjamin</t>
        </is>
      </c>
      <c r="F406" s="14" t="inlineStr">
        <is>
          <t>1. Back as Dane, open Benjamin Han’s project › "Schedule" and press "Share 4 changes" beside the eye line
2. Read "What changes for Benjamin" and "What Benjamin will see"
3. In "A note for Benjamin (optional)" type Carpentry needs one more week for the wardrobes.
4. Press "Share 4 changes"</t>
        </is>
      </c>
      <c r="G406" s="14" t="inlineStr">
        <is>
          <t>"Share changes with Benjamin" strikes each old date beside the new one, a week later (Carpentry’s end … Handover); the right shows his copy with "Updated … · Handover is now …" and your note. Then "Shared 4 changes with Benjamin" (leave its "Tell Benjamin on WhatsApp"); the line reads "Benjamin sees this schedule. Last shared …"; the +1 week marks and the "Share 4 changes" button go.</t>
        </is>
      </c>
      <c r="H406" s="12" t="inlineStr">
        <is>
          <t>Different from 1.0: nothing reaches the client until you share it</t>
        </is>
      </c>
      <c r="I406" s="11" t="inlineStr">
        <is>
          <t>Dane</t>
        </is>
      </c>
      <c r="J406" s="15" t="n"/>
      <c r="K406" s="15" t="n"/>
      <c r="L406" s="15" t="n"/>
      <c r="M406" s="16" t="n"/>
      <c r="N406" s="17" t="n"/>
      <c r="O406" s="17" t="n"/>
      <c r="P406" s="15" t="n"/>
    </row>
    <row r="407">
      <c r="A407" s="11" t="n">
        <v>18</v>
      </c>
      <c r="B407" s="11" t="inlineStr">
        <is>
          <t>18.15</t>
        </is>
      </c>
      <c r="C407" s="12" t="inlineStr">
        <is>
          <t>Telling the clients</t>
        </is>
      </c>
      <c r="D407" s="12" t="inlineStr">
        <is>
          <t>Projects</t>
        </is>
      </c>
      <c r="E407" s="13" t="inlineStr">
        <is>
          <t>Share Sophia’s schedule for the first time</t>
        </is>
      </c>
      <c r="F407" s="14" t="inlineStr">
        <is>
          <t>1. Open Sophia’s project › "Schedule" and press "Share the schedule" beside the eye line
2. Read the window, then press "Share the schedule"</t>
        </is>
      </c>
      <c r="G407" s="14" t="inlineStr">
        <is>
          <t>The window is "Share the schedule with Sophia": "Sophia has no portal yet — the schedule is kept for them, and they see it once you invite them."; "What Sophia will get" says she hasn’t seen the schedule yet and that sharing sends the n milestones shown to her, with the handover day. Then "Schedule kept for Sophia — they see it once you invite them" — leave its "Invite Sophia": chapter 19 invites her.</t>
        </is>
      </c>
      <c r="H407" s="12" t="inlineStr">
        <is>
          <t>New in 2.0</t>
        </is>
      </c>
      <c r="I407" s="11" t="inlineStr">
        <is>
          <t>Dane</t>
        </is>
      </c>
      <c r="J407" s="15" t="n"/>
      <c r="K407" s="15" t="n"/>
      <c r="L407" s="15" t="n"/>
      <c r="M407" s="16" t="n"/>
      <c r="N407" s="17" t="n"/>
      <c r="O407" s="17" t="n"/>
      <c r="P407" s="15" t="n"/>
    </row>
    <row r="408">
      <c r="A408" s="11" t="n">
        <v>18</v>
      </c>
      <c r="B408" s="11" t="inlineStr">
        <is>
          <t>18.16</t>
        </is>
      </c>
      <c r="C408" s="12" t="inlineStr">
        <is>
          <t>Schedules to start from</t>
        </is>
      </c>
      <c r="D408" s="12" t="inlineStr">
        <is>
          <t>Templates</t>
        </is>
      </c>
      <c r="E408" s="13" t="inlineStr">
        <is>
          <t>Keep Benjamin’s schedule as a template</t>
        </is>
      </c>
      <c r="F408" s="14" t="inlineStr">
        <is>
          <t>1. On Benjamin’s Schedule open ⋮ ("More for the schedule") › "Save as a template"
2. Keep the name "Benjamin Han’s schedule", press "Save"
3. Press "Open" in the message</t>
        </is>
      </c>
      <c r="G408" s="14" t="inlineStr">
        <is>
          <t>"Saved to Company › Templates › Schedules" with Open; Open opens "Benjamin Han’s schedule" in the schedule template editor, under the crumbs Company / Templates / Schedules.</t>
        </is>
      </c>
      <c r="H408" s="12" t="inlineStr">
        <is>
          <t>New in 2.0</t>
        </is>
      </c>
      <c r="I408" s="11" t="inlineStr">
        <is>
          <t>Dane</t>
        </is>
      </c>
      <c r="J408" s="15" t="n"/>
      <c r="K408" s="15" t="n"/>
      <c r="L408" s="15" t="n"/>
      <c r="M408" s="16" t="n"/>
      <c r="N408" s="17" t="n"/>
      <c r="O408" s="17" t="n"/>
      <c r="P408" s="15" t="n"/>
    </row>
    <row r="409">
      <c r="A409" s="11" t="n">
        <v>18</v>
      </c>
      <c r="B409" s="11" t="inlineStr">
        <is>
          <t>18.17</t>
        </is>
      </c>
      <c r="C409" s="12" t="inlineStr">
        <is>
          <t>Schedules to start from</t>
        </is>
      </c>
      <c r="D409" s="12" t="inlineStr">
        <is>
          <t>Templates</t>
        </is>
      </c>
      <c r="E409" s="13" t="inlineStr">
        <is>
          <t>Look through the schedule templates</t>
        </is>
      </c>
      <c r="F409" s="14" t="inlineStr">
        <is>
          <t>1. Press "Schedules" in the crumbs above the name; read the cards and the "New" menu
2. Open "Whole-home renovation (HDB)"
3. Read the columns and "How it lays out", then press "Done"</t>
        </is>
      </c>
      <c r="G409" s="14" t="inlineStr">
        <is>
          <t>Cards draw their milestones to scale: "Whole-home renovation (HDB)" (7 milestones · 12 weeks), "Kitchen and bathroom refresh" (5 milestones · 4 weeks), Benjamin Han’s, and five "Ready-made · …" (HDB BTO, HDB resale, Condo, Landed, Commercial fit-out). New offers "Start from a whole-home renovation", a "Ready-made: …" for each, and "Blank schedule". The editor lists Milestone · Days · Gap (days) · Client confirms, with "How it lays out" beneath.</t>
        </is>
      </c>
      <c r="H409" s="12" t="inlineStr">
        <is>
          <t>New in 2.0</t>
        </is>
      </c>
      <c r="I409" s="11" t="inlineStr">
        <is>
          <t>Dane</t>
        </is>
      </c>
      <c r="J409" s="15" t="n"/>
      <c r="K409" s="15" t="n"/>
      <c r="L409" s="15" t="n"/>
      <c r="M409" s="16" t="n"/>
      <c r="N409" s="17" t="n"/>
      <c r="O409" s="17" t="n"/>
      <c r="P409" s="15" t="n"/>
    </row>
    <row r="410">
      <c r="A410" s="11" t="n">
        <v>18</v>
      </c>
      <c r="B410" s="11" t="inlineStr">
        <is>
          <t>18.18</t>
        </is>
      </c>
      <c r="C410" s="12" t="inlineStr">
        <is>
          <t>Schedules to start from</t>
        </is>
      </c>
      <c r="D410" s="12" t="inlineStr">
        <is>
          <t>Settings</t>
        </is>
      </c>
      <c r="E410" s="13" t="inlineStr">
        <is>
          <t>Choose where new schedules start</t>
        </is>
      </c>
      <c r="F410" s="14" t="inlineStr">
        <is>
          <t>1. "Settings" › "Projects", scroll to the "Schedule" card
2. Under "Where a schedule starts, by project type" set "Studio default" to Whole-home renovation (HDB)
3. Set it back to "The signed quote’s stages"</t>
        </is>
      </c>
      <c r="G410" s="14" t="inlineStr">
        <is>
          <t>Each pick saves at once, with Undo: "The studio default is now Whole-home renovation (HDB)", then "The studio default is now the signed quote’s stages". The project types below read "Same as the studio default"; the card’s approvals now sit in "What waits for an Owner or an Admin", at the top.</t>
        </is>
      </c>
      <c r="H410" s="12" t="inlineStr">
        <is>
          <t>New in 2.0</t>
        </is>
      </c>
      <c r="I410" s="11" t="inlineStr">
        <is>
          <t>Dane</t>
        </is>
      </c>
      <c r="J410" s="15" t="n"/>
      <c r="K410" s="15" t="n"/>
      <c r="L410" s="15" t="n"/>
      <c r="M410" s="16" t="n"/>
      <c r="N410" s="17" t="n"/>
      <c r="O410" s="17" t="n"/>
      <c r="P410" s="15" t="n"/>
    </row>
    <row r="411">
      <c r="A411" s="11" t="n">
        <v>18</v>
      </c>
      <c r="B411" s="11" t="inlineStr">
        <is>
          <t>18.19</t>
        </is>
      </c>
      <c r="C411" s="12" t="inlineStr">
        <is>
          <t>Schedules to start from</t>
        </is>
      </c>
      <c r="D411" s="12" t="inlineStr">
        <is>
          <t>Phone</t>
        </is>
      </c>
      <c r="E411" s="13" t="inlineStr">
        <is>
          <t>Check a schedule on your phone</t>
        </is>
      </c>
      <c r="F411" s="14" t="inlineStr">
        <is>
          <t>1. On your phone open Benjamin Han’s project › "Schedule"
2. Tap the "Painting" row, then close the sheet
3. Tap "Done" on the "Carpentry fabrication" row, read the sheet, then "Cancel"</t>
        </is>
      </c>
      <c r="G411" s="14" t="inlineStr">
        <is>
          <t>The top reads "n days to go · 3 of 7 done"; each row has a thin bar to scale with today’s line, and each not done its own "Done". A row opens its milestone as a bottom sheet; Done opens "Mark Carpentry fabrication done" from the bottom. "Add milestone" sits at the foot — on Schedule it takes the place of the bar Photos · Done · Note · Message. Dates move in the sheet, not by dragging.</t>
        </is>
      </c>
      <c r="H411" s="12" t="inlineStr">
        <is>
          <t>Different from 1.0: the schedule works on a phone</t>
        </is>
      </c>
      <c r="I411" s="11" t="inlineStr">
        <is>
          <t>Dane</t>
        </is>
      </c>
      <c r="J411" s="15" t="n"/>
      <c r="K411" s="15" t="n"/>
      <c r="L411" s="15" t="n"/>
      <c r="M411" s="16" t="n"/>
      <c r="N411" s="17" t="n"/>
      <c r="O411" s="17" t="n"/>
      <c r="P411" s="15" t="n"/>
    </row>
    <row r="412" ht="22" customHeight="1">
      <c r="A412" s="9" t="inlineStr">
        <is>
          <t>Chapter 19 · Updates and the client portal — Updates with photos and review, Invite to Portal, the client’s own portal (sign in, what needs them, confirm a stage), the household and the portal’s set-up.</t>
        </is>
      </c>
      <c r="M412" s="10" t="n"/>
    </row>
    <row r="413">
      <c r="A413" s="11" t="n">
        <v>19</v>
      </c>
      <c r="B413" s="11" t="inlineStr">
        <is>
          <t>19.01</t>
        </is>
      </c>
      <c r="C413" s="12" t="inlineStr">
        <is>
          <t>Telling the client what happened</t>
        </is>
      </c>
      <c r="D413" s="12" t="inlineStr">
        <is>
          <t>Projects</t>
        </is>
      </c>
      <c r="E413" s="13" t="inlineStr">
        <is>
          <t>Read Benjamin’s updates and approve one</t>
        </is>
      </c>
      <c r="F413" s="14" t="inlineStr">
        <is>
          <t>1. Open Benjamin Han’s project and read the filled button (top right), then press "Client" (it opens on "Updates")
2. Read the chips and each post’s band
3. On "Feature wall panels have arrived" press "Approve"</t>
        </is>
      </c>
      <c r="G413" s="14" t="inlineStr">
        <is>
          <t>The filled button reads "Review the update" (the top of Needs you). Client’s title line is the chips Updates · Messages · Tickets · Meetings · Questionnaire, Updates picked; under them All · Published · In review · Sent back, posts grouped by day. "Wardrobe carcass is up…" reads "Sent back by Dane … — Add a close-up of the laminate — Benjamin asked about the finish." with Edit · Post; published posts end "Seen by Benjamin …" (not "Kitchen cabinets are in"). Approve answers "Approved — Benjamin can see “Feature wall panels have arrived”".</t>
        </is>
      </c>
      <c r="H413" s="12" t="inlineStr">
        <is>
          <t>Different from 1.0: a sent-back post keeps its reason</t>
        </is>
      </c>
      <c r="I413" s="11" t="inlineStr">
        <is>
          <t>Dane</t>
        </is>
      </c>
      <c r="J413" s="15" t="n"/>
      <c r="K413" s="15" t="n"/>
      <c r="L413" s="15" t="n"/>
      <c r="M413" s="16" t="n"/>
      <c r="N413" s="17" t="n"/>
      <c r="O413" s="17" t="n"/>
      <c r="P413" s="15" t="n"/>
    </row>
    <row r="414">
      <c r="A414" s="11" t="n">
        <v>19</v>
      </c>
      <c r="B414" s="11" t="inlineStr">
        <is>
          <t>19.02</t>
        </is>
      </c>
      <c r="C414" s="12" t="inlineStr">
        <is>
          <t>Telling the client what happened</t>
        </is>
      </c>
      <c r="D414" s="12" t="inlineStr">
        <is>
          <t>Projects</t>
        </is>
      </c>
      <c r="E414" s="13" t="inlineStr">
        <is>
          <t>Post an update with photos, tied to a stage</t>
        </is>
      </c>
      <c r="F414" s="14" t="inlineStr">
        <is>
          <t>1. Download the two pictures below, then on Updates press "Post an update" beside the search box (not the filled button at the top)
2. "Title" Electrical and plumbing are finished · a line in "Details" · "Milestone" Electrical &amp; plumbing · drop both pictures in
3. Press "Preview", then "Back to edit"
4. Press "Post"</t>
        </is>
      </c>
      <c r="G414" s="14" t="inlineStr">
        <is>
          <t>The window says "Once it’s posted, Benjamin sees it. Save a draft to finish it later."; each picture shows "Uploading…" then a tick and its size. Preview shows "As Benjamin sees it". "Update posted — Benjamin can see it"; the post arrives at the top and pulses once, and its photos sit in Files &amp; notes › Files › Site updates.</t>
        </is>
      </c>
      <c r="H414" s="12" t="inlineStr">
        <is>
          <t>Different from 1.0: photos really upload; 1.0 kept file names</t>
        </is>
      </c>
      <c r="I414" s="11" t="inlineStr">
        <is>
          <t>Dane</t>
        </is>
      </c>
      <c r="J414" s="15" t="n"/>
      <c r="K414" s="15" t="n"/>
      <c r="L414" s="15" t="n"/>
      <c r="M414" s="16" t="n"/>
      <c r="N414" s="17" t="n"/>
      <c r="O414" s="17" t="n"/>
      <c r="P414" s="15" t="n"/>
    </row>
    <row r="415">
      <c r="A415" s="11" t="n">
        <v>19</v>
      </c>
      <c r="B415" s="11" t="inlineStr">
        <is>
          <t>19.03</t>
        </is>
      </c>
      <c r="C415" s="12" t="inlineStr">
        <is>
          <t>Telling the client what happened</t>
        </is>
      </c>
      <c r="D415" s="12" t="inlineStr">
        <is>
          <t>Projects</t>
        </is>
      </c>
      <c r="E415" s="13" t="inlineStr">
        <is>
          <t>Take an update back, and see it as Benjamin will</t>
        </is>
      </c>
      <c r="F415" s="14" t="inlineStr">
        <is>
          <t>1. On your new post open ⋮ ("More options") › "Withdraw"
2. Press "Undo"
3. ⋮ › "See it as the client", then "Close"</t>
        </is>
      </c>
      <c r="G415" s="14" t="inlineStr">
        <is>
          <t>"Withdrawn — Benjamin no longer sees “Electrical and plumbing are finished”" with Undo; Undo answers "Published again". "As the client sees it" shows his card ("… · from Dane", the stage, the words, the photos) and "Benjamin sees it on the client portal."</t>
        </is>
      </c>
      <c r="H415" s="12" t="inlineStr">
        <is>
          <t>New in 2.0</t>
        </is>
      </c>
      <c r="I415" s="11" t="inlineStr">
        <is>
          <t>Dane</t>
        </is>
      </c>
      <c r="J415" s="15" t="n"/>
      <c r="K415" s="15" t="n"/>
      <c r="L415" s="15" t="n"/>
      <c r="M415" s="16" t="n"/>
      <c r="N415" s="17" t="n"/>
      <c r="O415" s="17" t="n"/>
      <c r="P415" s="15" t="n"/>
    </row>
    <row r="416">
      <c r="A416" s="11" t="n">
        <v>19</v>
      </c>
      <c r="B416" s="11" t="inlineStr">
        <is>
          <t>19.04</t>
        </is>
      </c>
      <c r="C416" s="12" t="inlineStr">
        <is>
          <t>Telling the client what happened</t>
        </is>
      </c>
      <c r="D416" s="12" t="inlineStr">
        <is>
          <t>Projects</t>
        </is>
      </c>
      <c r="E416" s="13" t="inlineStr">
        <is>
          <t>Resubmit a sent-back update as the designer</t>
        </is>
      </c>
      <c r="F416" s="14" t="inlineStr">
        <is>
          <t>1. "Demo Studio" block › "View as" › "Germaine"
2. Open Benjamin Han’s project › "Client" (it opens on "Updates"); on "Wardrobe carcass is up in the master bedroom" press "Edit"
3. Add a picture, press "Resubmit"</t>
        </is>
      </c>
      <c r="G416" s="14" t="inlineStr">
        <is>
          <t>The window’s button reads "Resubmit", not Post. "Sent for review — an Owner or an Admin approves it"; the post now waits in review, its band reading "Waiting for an Owner or an Admin" — Germaine has no Approve.</t>
        </is>
      </c>
      <c r="H416" s="12" t="inlineStr">
        <is>
          <t>Different from 1.0: Resubmit; 1.0 had no sent-back state</t>
        </is>
      </c>
      <c r="I416" s="18" t="inlineStr">
        <is>
          <t>Germaine</t>
        </is>
      </c>
      <c r="J416" s="15" t="n"/>
      <c r="K416" s="15" t="n"/>
      <c r="L416" s="15" t="n"/>
      <c r="M416" s="16" t="n"/>
      <c r="N416" s="17" t="n"/>
      <c r="O416" s="17" t="n"/>
      <c r="P416" s="15" t="n"/>
    </row>
    <row r="417">
      <c r="A417" s="11" t="n">
        <v>19</v>
      </c>
      <c r="B417" s="11" t="inlineStr">
        <is>
          <t>19.05</t>
        </is>
      </c>
      <c r="C417" s="12" t="inlineStr">
        <is>
          <t>Telling the client what happened</t>
        </is>
      </c>
      <c r="D417" s="12" t="inlineStr">
        <is>
          <t>Projects</t>
        </is>
      </c>
      <c r="E417" s="13" t="inlineStr">
        <is>
          <t>Post Sophia’s first update as her designer</t>
        </is>
      </c>
      <c r="F417" s="14" t="inlineStr">
        <is>
          <t>1. "View as" › "Sarah"
2. Open Sophia’s project › "Client" (it opens on "Updates"), press "Post an update"
3. "Title" Measurements are done · a line in "Details"
4. Press "Send for review"</t>
        </is>
      </c>
      <c r="G417" s="14" t="inlineStr">
        <is>
          <t>Her Updates is empty: "No updates yet" ending "Sophia sees it once invited to the portal.", with "Post an update" and "Invite Sophia". The window says "An Owner or an Admin checks it before Sophia sees it." and its button reads "Send for review", not Post. "Sent for review — an Owner or an Admin approves it"; the band reads "Waiting for an Owner or an Admin".</t>
        </is>
      </c>
      <c r="H417" s="12" t="inlineStr">
        <is>
          <t>Different from 1.0: designers’ posts are checked first</t>
        </is>
      </c>
      <c r="I417" s="18" t="inlineStr">
        <is>
          <t>Sarah</t>
        </is>
      </c>
      <c r="J417" s="15" t="n"/>
      <c r="K417" s="15" t="n"/>
      <c r="L417" s="15" t="n"/>
      <c r="M417" s="16" t="n"/>
      <c r="N417" s="17" t="n"/>
      <c r="O417" s="17" t="n"/>
      <c r="P417" s="15" t="n"/>
    </row>
    <row r="418">
      <c r="A418" s="11" t="n">
        <v>19</v>
      </c>
      <c r="B418" s="11" t="inlineStr">
        <is>
          <t>19.06</t>
        </is>
      </c>
      <c r="C418" s="12" t="inlineStr">
        <is>
          <t>Telling the client what happened</t>
        </is>
      </c>
      <c r="D418" s="12" t="inlineStr">
        <is>
          <t>Notifications</t>
        </is>
      </c>
      <c r="E418" s="13" t="inlineStr">
        <is>
          <t>Approve one, send one back</t>
        </is>
      </c>
      <c r="F418" s="14" t="inlineStr">
        <is>
          <t>1. "View as" › "Dane"; open the bell
2. Press "Sarah sent an update for your review", then "Approve" on it
3. Open Benjamin Han’s project; under "Needs your OK", on “Wardrobe carcass is up in the master bedroom” press "Send back"
4. In the window that opens write The close-up is blurry — please take another, press "Send back"</t>
        </is>
      </c>
      <c r="G418" s="14" t="inlineStr">
        <is>
          <t>The bell has a row for each update waiting. Sophia’s post: "Approved" (she isn’t invited yet). Benjamin’s filled button reads "Review the update"; the row’s Send back opens its window right there on the Overview. "Send back" asks "Why does it go back?" ("Germaine reads this on the update; Benjamin never sees it."), then "Sent back to Germaine".</t>
        </is>
      </c>
      <c r="H418" s="12" t="inlineStr">
        <is>
          <t>Different from 1.0: the reviewer’s reason travels with the post</t>
        </is>
      </c>
      <c r="I418" s="11" t="inlineStr">
        <is>
          <t>Dane</t>
        </is>
      </c>
      <c r="J418" s="15" t="n"/>
      <c r="K418" s="15" t="n"/>
      <c r="L418" s="15" t="n"/>
      <c r="M418" s="16" t="n"/>
      <c r="N418" s="17" t="n"/>
      <c r="O418" s="17" t="n"/>
      <c r="P418" s="15" t="n"/>
    </row>
    <row r="419">
      <c r="A419" s="11" t="n">
        <v>19</v>
      </c>
      <c r="B419" s="11" t="inlineStr">
        <is>
          <t>19.07</t>
        </is>
      </c>
      <c r="C419" s="12" t="inlineStr">
        <is>
          <t>Opening the door to Sophia</t>
        </is>
      </c>
      <c r="D419" s="12" t="inlineStr">
        <is>
          <t>Client portal</t>
        </is>
      </c>
      <c r="E419" s="13" t="inlineStr">
        <is>
          <t>Invite Sophia to her portal</t>
        </is>
      </c>
      <c r="F419" s="14" t="inlineStr">
        <is>
          <t>1. On Sophia’s project open ⋮ › "Invite to Portal"
2. Read the panel
3. Press "Invite on WhatsApp" — a WhatsApp tab opens: close it, do not send
4. Press "Copy" beside "Their page"</t>
        </is>
      </c>
      <c r="G419" s="14" t="inlineStr">
        <is>
          <t>"Invite to Portal": "Who can open this project" — Sophia Wong, "9765 4321 · Not invited yet", grey "Not invited"; "Their page" with the address; "See it as Sophia"; "What Sophia can see" (Quotes and agreements, Questionnaire — asked in chapter 5 — then Schedule · Updates · Money … Files) and "Nothing reaches Sophia until you share it…". Then "WhatsApp opened with the invite", the chip "Invited, not opened", and "Address copied".</t>
        </is>
      </c>
      <c r="H419" s="12" t="inlineStr">
        <is>
          <t>Different from 1.0: a phone sign-in replaces the single client link</t>
        </is>
      </c>
      <c r="I419" s="11" t="inlineStr">
        <is>
          <t>Dane</t>
        </is>
      </c>
      <c r="J419" s="15" t="n"/>
      <c r="K419" s="15" t="n"/>
      <c r="L419" s="15" t="n"/>
      <c r="M419" s="16" t="n"/>
      <c r="N419" s="17" t="n"/>
      <c r="O419" s="17" t="n"/>
      <c r="P419" s="15" t="n"/>
    </row>
    <row r="420">
      <c r="A420" s="11" t="n">
        <v>19</v>
      </c>
      <c r="B420" s="11" t="inlineStr">
        <is>
          <t>19.08</t>
        </is>
      </c>
      <c r="C420" s="12" t="inlineStr">
        <is>
          <t>Opening the door to Sophia</t>
        </is>
      </c>
      <c r="D420" s="12" t="inlineStr">
        <is>
          <t>Client portal</t>
        </is>
      </c>
      <c r="E420" s="13" t="inlineStr">
        <is>
          <t>Show Sophia one of her files</t>
        </is>
      </c>
      <c r="F420" s="14" t="inlineStr">
        <is>
          <t>1. Press "Done", open the project’s "Files &amp; notes" (it opens on "Files")
2. On her floor plan (or any file of hers) open ⋮ › "Show to client"</t>
        </is>
      </c>
      <c r="G420" s="14" t="inlineStr">
        <is>
          <t>The file now carries an eye ("Shown" in the list’s Client column); only files marked so reach her portal.</t>
        </is>
      </c>
      <c r="H420" s="12" t="inlineStr">
        <is>
          <t>Different from 1.0: the client sees only files you mark</t>
        </is>
      </c>
      <c r="I420" s="11" t="inlineStr">
        <is>
          <t>Dane</t>
        </is>
      </c>
      <c r="J420" s="15" t="n"/>
      <c r="K420" s="15" t="n"/>
      <c r="L420" s="15" t="n"/>
      <c r="M420" s="16" t="n"/>
      <c r="N420" s="17" t="n"/>
      <c r="O420" s="17" t="n"/>
      <c r="P420" s="15" t="n"/>
    </row>
    <row r="421">
      <c r="A421" s="11" t="n">
        <v>19</v>
      </c>
      <c r="B421" s="11" t="inlineStr">
        <is>
          <t>19.09</t>
        </is>
      </c>
      <c r="C421" s="12" t="inlineStr">
        <is>
          <t>Sophia signs in</t>
        </is>
      </c>
      <c r="D421" s="12" t="inlineStr">
        <is>
          <t>Client portal</t>
        </is>
      </c>
      <c r="E421" s="13" t="inlineStr">
        <is>
          <t>Sign in as Sophia</t>
        </is>
      </c>
      <c r="F421" s="14" t="inlineStr">
        <is>
          <t>1. Open a private window (Chrome: ⌘⇧N / Ctrl+Shift+N) and paste the address
2. Type 9123 4567, press "Send me a code"
3. Type 9765 4321, press "Send me a code"
4. Type any six digits, press "Open my project"</t>
        </is>
      </c>
      <c r="G421" s="14" t="inlineStr">
        <is>
          <t>The page is headed "Welcome to your renovation" — "Enter the mobile number Demo Studio has for you. We’ll send a 6-digit code to it." The first number reads "Demo Studio hasn’t added this number. Ask your designer to add it, then try again." Then "We sent a 6-digit code to the number ending 4321…" with six boxes and the line "Demo only — no text is sent: any six digits open your project."; any six digits open her page.</t>
        </is>
      </c>
      <c r="H421" s="12" t="inlineStr">
        <is>
          <t>Different from 1.0: mobile number and a code, no password</t>
        </is>
      </c>
      <c r="I421" s="18" t="inlineStr">
        <is>
          <t>Sophia Wong (client)</t>
        </is>
      </c>
      <c r="J421" s="15" t="n"/>
      <c r="K421" s="15" t="n"/>
      <c r="L421" s="15" t="n"/>
      <c r="M421" s="16" t="n"/>
      <c r="N421" s="17" t="n"/>
      <c r="O421" s="17" t="n"/>
      <c r="P421" s="15" t="n"/>
    </row>
    <row r="422">
      <c r="A422" s="11" t="n">
        <v>19</v>
      </c>
      <c r="B422" s="11" t="inlineStr">
        <is>
          <t>19.10</t>
        </is>
      </c>
      <c r="C422" s="12" t="inlineStr">
        <is>
          <t>Sophia signs in</t>
        </is>
      </c>
      <c r="D422" s="12" t="inlineStr">
        <is>
          <t>Client portal</t>
        </is>
      </c>
      <c r="E422" s="13" t="inlineStr">
        <is>
          <t>Look around Sophia’s portal</t>
        </is>
      </c>
      <c r="F422" s="14" t="inlineStr">
        <is>
          <t>1. Read the home page from top to bottom
2. Open "Schedule", "Updates" and "Files" in the bar
3. Press "Sign out"</t>
        </is>
      </c>
      <c r="G422" s="14" t="inlineStr">
        <is>
          <t>"Hello Sophia", the studio’s name with "Welcome to your renovation" under it — Demo Studio’s logo and colour, never OpenMaison’s. What needs you lists the new file; Where the work stands and her Latest update ("Measurements are done") follow. Schedule shows the stages as shared, Updates the approved post, Files her quote and agreement under "Documents" and the floor plan.</t>
        </is>
      </c>
      <c r="H422" s="12" t="inlineStr">
        <is>
          <t>Different from 1.0: one home for everything that needs her</t>
        </is>
      </c>
      <c r="I422" s="18" t="inlineStr">
        <is>
          <t>Sophia Wong (client)</t>
        </is>
      </c>
      <c r="J422" s="15" t="n"/>
      <c r="K422" s="15" t="n"/>
      <c r="L422" s="15" t="n"/>
      <c r="M422" s="16" t="n"/>
      <c r="N422" s="17" t="n"/>
      <c r="O422" s="17" t="n"/>
      <c r="P422" s="15" t="n"/>
    </row>
    <row r="423">
      <c r="A423" s="11" t="n">
        <v>19</v>
      </c>
      <c r="B423" s="11" t="inlineStr">
        <is>
          <t>19.11</t>
        </is>
      </c>
      <c r="C423" s="12" t="inlineStr">
        <is>
          <t>Benjamin’s turn</t>
        </is>
      </c>
      <c r="D423" s="12" t="inlineStr">
        <is>
          <t>Client portal</t>
        </is>
      </c>
      <c r="E423" s="13" t="inlineStr">
        <is>
          <t>Sign in as Benjamin and see what needs him</t>
        </is>
      </c>
      <c r="F423" s="14" t="inlineStr">
        <is>
          <t>1. In the private window sign in with 9773 1968 and any six digits
2. Read "What needs you" and the cards under it</t>
        </is>
      </c>
      <c r="G423" s="14" t="inlineStr">
        <is>
          <t>"Hello Benjamin". What needs you lists "Confirm that electrical and plumbing is done" (Finished … · have a look and confirm, "Look and confirm") and "Choose your paint colours" (3 options · needed by …, "Choose"), then Where the work stands ("3 of 7 stages done…") and his Latest update.</t>
        </is>
      </c>
      <c r="H423" s="12" t="inlineStr">
        <is>
          <t>New in 2.0</t>
        </is>
      </c>
      <c r="I423" s="18" t="inlineStr">
        <is>
          <t>Benjamin Han (client)</t>
        </is>
      </c>
      <c r="J423" s="15" t="n"/>
      <c r="K423" s="15" t="n"/>
      <c r="L423" s="15" t="n"/>
      <c r="M423" s="16" t="n"/>
      <c r="N423" s="17" t="n"/>
      <c r="O423" s="17" t="n"/>
      <c r="P423" s="15" t="n"/>
    </row>
    <row r="424">
      <c r="A424" s="11" t="n">
        <v>19</v>
      </c>
      <c r="B424" s="11" t="inlineStr">
        <is>
          <t>19.12</t>
        </is>
      </c>
      <c r="C424" s="12" t="inlineStr">
        <is>
          <t>Benjamin’s turn</t>
        </is>
      </c>
      <c r="D424" s="12" t="inlineStr">
        <is>
          <t>Client portal</t>
        </is>
      </c>
      <c r="E424" s="13" t="inlineStr">
        <is>
          <t>See what changed since he last looked</t>
        </is>
      </c>
      <c r="F424" s="14" t="inlineStr">
        <is>
          <t>1. Open "Schedule"
2. Read the cards beside the stages</t>
        </is>
      </c>
      <c r="G424" s="14" t="inlineStr">
        <is>
          <t>"Since you last looked on …" lists the dates you shared in chapter 18; changed rows are tinted "Changed" with the old date struck; "Updated … · Handover is now …" carries your note. Masonry &amp; tiling reads "Confirmed".</t>
        </is>
      </c>
      <c r="H424" s="12" t="inlineStr">
        <is>
          <t>Different from 1.0: changes are marked; 1.0 showed only the latest</t>
        </is>
      </c>
      <c r="I424" s="18" t="inlineStr">
        <is>
          <t>Benjamin Han (client)</t>
        </is>
      </c>
      <c r="J424" s="15" t="n"/>
      <c r="K424" s="15" t="n"/>
      <c r="L424" s="15" t="n"/>
      <c r="M424" s="16" t="n"/>
      <c r="N424" s="17" t="n"/>
      <c r="O424" s="17" t="n"/>
      <c r="P424" s="15" t="n"/>
    </row>
    <row r="425">
      <c r="A425" s="11" t="n">
        <v>19</v>
      </c>
      <c r="B425" s="11" t="inlineStr">
        <is>
          <t>19.13</t>
        </is>
      </c>
      <c r="C425" s="12" t="inlineStr">
        <is>
          <t>Benjamin’s turn</t>
        </is>
      </c>
      <c r="D425" s="12" t="inlineStr">
        <is>
          <t>Client portal</t>
        </is>
      </c>
      <c r="E425" s="13" t="inlineStr">
        <is>
          <t>Tell the studio something is not right</t>
        </is>
      </c>
      <c r="F425" s="14" t="inlineStr">
        <is>
          <t>1. On "Electrical and plumbing is finished" press "Something is not right"
2. In "What you noticed" type The socket by the kitchen window doesn’t work
3. Press "Send"</t>
        </is>
      </c>
      <c r="G425" s="14" t="inlineStr">
        <is>
          <t>The window says "Tell Germaine what you noticed with electrical and plumbing. They will look at it with you."; then "Thank you — Germaine will look at it with you" and the stage reads "With your designer".</t>
        </is>
      </c>
      <c r="H425" s="12" t="inlineStr">
        <is>
          <t>Different from 1.0: an answer is kept for good</t>
        </is>
      </c>
      <c r="I425" s="18" t="inlineStr">
        <is>
          <t>Benjamin Han (client)</t>
        </is>
      </c>
      <c r="J425" s="15" t="n"/>
      <c r="K425" s="15" t="n"/>
      <c r="L425" s="15" t="n"/>
      <c r="M425" s="16" t="n"/>
      <c r="N425" s="17" t="n"/>
      <c r="O425" s="17" t="n"/>
      <c r="P425" s="15" t="n"/>
    </row>
    <row r="426">
      <c r="A426" s="11" t="n">
        <v>19</v>
      </c>
      <c r="B426" s="11" t="inlineStr">
        <is>
          <t>19.14</t>
        </is>
      </c>
      <c r="C426" s="12" t="inlineStr">
        <is>
          <t>Benjamin’s turn</t>
        </is>
      </c>
      <c r="D426" s="12" t="inlineStr">
        <is>
          <t>Client portal</t>
        </is>
      </c>
      <c r="E426" s="13" t="inlineStr">
        <is>
          <t>Read the updates and open a photo</t>
        </is>
      </c>
      <c r="F426" s="14" t="inlineStr">
        <is>
          <t>1. Open "Updates"
2. Tap a photo of "Electrical and plumbing are finished", press → then Esc
3. Look under that post for a "Confirm this stage" link</t>
        </is>
      </c>
      <c r="G426" s="14" t="inlineStr">
        <is>
          <t>Only published posts, newest first, the unread ones tagged "New". The photo opens full-window with "1 of 2" and arrows; Esc closes. There is none now: he already answered for that stage in the last step ("Confirm this stage" shows under a post only while its stage waits on him — it comes back once you ask again).</t>
        </is>
      </c>
      <c r="H426" s="12" t="inlineStr">
        <is>
          <t>Different from 1.0: photos open large; stages confirm from a post</t>
        </is>
      </c>
      <c r="I426" s="18" t="inlineStr">
        <is>
          <t>Benjamin Han (client)</t>
        </is>
      </c>
      <c r="J426" s="15" t="n"/>
      <c r="K426" s="15" t="n"/>
      <c r="L426" s="15" t="n"/>
      <c r="M426" s="16" t="n"/>
      <c r="N426" s="17" t="n"/>
      <c r="O426" s="17" t="n"/>
      <c r="P426" s="15" t="n"/>
    </row>
    <row r="427">
      <c r="A427" s="11" t="n">
        <v>19</v>
      </c>
      <c r="B427" s="11" t="inlineStr">
        <is>
          <t>19.15</t>
        </is>
      </c>
      <c r="C427" s="12" t="inlineStr">
        <is>
          <t>Benjamin’s turn</t>
        </is>
      </c>
      <c r="D427" s="12" t="inlineStr">
        <is>
          <t>Client portal</t>
        </is>
      </c>
      <c r="E427" s="13" t="inlineStr">
        <is>
          <t>Catch up in the client’s bell</t>
        </is>
      </c>
      <c r="F427" s="14" t="inlineStr">
        <is>
          <t>1. Click the bell beside his name
2. Read the rows, press "Mark all as read"</t>
        </is>
      </c>
      <c r="G427" s="14" t="inlineStr">
        <is>
          <t>Rows such as "Your schedule has changed", "New update: …", "Choose your paint colours" (no "Confirm that electrical and plumbing is done" — that row left the bell once he answered it in 19.13) and rows about his invoices, which open his Money page; "Mark all as read" answers "All caught up".</t>
        </is>
      </c>
      <c r="H427" s="12" t="inlineStr">
        <is>
          <t>New in 2.0</t>
        </is>
      </c>
      <c r="I427" s="18" t="inlineStr">
        <is>
          <t>Benjamin Han (client)</t>
        </is>
      </c>
      <c r="J427" s="15" t="n"/>
      <c r="K427" s="15" t="n"/>
      <c r="L427" s="15" t="n"/>
      <c r="M427" s="16" t="n"/>
      <c r="N427" s="17" t="n"/>
      <c r="O427" s="17" t="n"/>
      <c r="P427" s="15" t="n"/>
    </row>
    <row r="428">
      <c r="A428" s="11" t="n">
        <v>19</v>
      </c>
      <c r="B428" s="11" t="inlineStr">
        <is>
          <t>19.16</t>
        </is>
      </c>
      <c r="C428" s="12" t="inlineStr">
        <is>
          <t>The studio answers</t>
        </is>
      </c>
      <c r="D428" s="12" t="inlineStr">
        <is>
          <t>Projects</t>
        </is>
      </c>
      <c r="E428" s="13" t="inlineStr">
        <is>
          <t>See Benjamin’s concern and ask him again</t>
        </is>
      </c>
      <c r="F428" s="14" t="inlineStr">
        <is>
          <t>1. Back in your own window, open the bell
2. Open Benjamin Han’s project and read "Needs you" (unfold the rest if the list is cut short)
3. Press "Schedule", read the "Electrical &amp; plumbing" row
4. Open it and press "Ask Benjamin again"</t>
        </is>
      </c>
      <c r="G428" s="14" t="inlineStr">
        <is>
          <t>The bell says Benjamin Han says something is not right with Electrical &amp; plumbing. Needs you lists "Benjamin says something is not right with Electrical &amp; plumbing" with "Open". The row reads in red "Benjamin says something is not right · “The socket by the kitchen window doesn’t work”". Then "Asked Benjamin again to confirm Electrical &amp; plumbing".</t>
        </is>
      </c>
      <c r="H428" s="12" t="inlineStr">
        <is>
          <t>New in 2.0</t>
        </is>
      </c>
      <c r="I428" s="11" t="inlineStr">
        <is>
          <t>Dane</t>
        </is>
      </c>
      <c r="J428" s="15" t="n"/>
      <c r="K428" s="15" t="n"/>
      <c r="L428" s="15" t="n"/>
      <c r="M428" s="16" t="n"/>
      <c r="N428" s="17" t="n"/>
      <c r="O428" s="17" t="n"/>
      <c r="P428" s="15" t="n"/>
    </row>
    <row r="429">
      <c r="A429" s="11" t="n">
        <v>19</v>
      </c>
      <c r="B429" s="11" t="inlineStr">
        <is>
          <t>19.17</t>
        </is>
      </c>
      <c r="C429" s="12" t="inlineStr">
        <is>
          <t>The studio answers</t>
        </is>
      </c>
      <c r="D429" s="12" t="inlineStr">
        <is>
          <t>Client portal</t>
        </is>
      </c>
      <c r="E429" s="13" t="inlineStr">
        <is>
          <t>Add his son to the household, then take him off</t>
        </is>
      </c>
      <c r="F429" s="14" t="inlineStr">
        <is>
          <t>1. ⋮ › "Invite to Portal" and read "Who can open this project"
2. "Add someone else from the household": "Their name" Ethan Han · "Their mobile number" 9456 7123 · "How they’re related (optional)" Son · "Add and send the link" (close WhatsApp)
3. On Ethan’s row ⋮ › "Withdraw Ethan’s access", then ⋮ › "Take off the list"</t>
        </is>
      </c>
      <c r="G429" s="14" t="inlineStr">
        <is>
          <t>Benjamin (Opened …) and Mei Ling Han ("Wife · 9182 7364 · Invited … by Germaine", Opened …) each have a chip. The window "Add someone else from the household" explains they sign in with their own number. "Ethan is on Benjamin’s household — WhatsApp opened with their link"; then "Ethan can no longer open the portal" and "Ethan is off the list", each with Undo.</t>
        </is>
      </c>
      <c r="H429" s="12" t="inlineStr">
        <is>
          <t>Different from 1.0: each person signs in with their own number</t>
        </is>
      </c>
      <c r="I429" s="11" t="inlineStr">
        <is>
          <t>Dane</t>
        </is>
      </c>
      <c r="J429" s="15" t="n"/>
      <c r="K429" s="15" t="n"/>
      <c r="L429" s="15" t="n"/>
      <c r="M429" s="16" t="n"/>
      <c r="N429" s="17" t="n"/>
      <c r="O429" s="17" t="n"/>
      <c r="P429" s="15" t="n"/>
    </row>
    <row r="430">
      <c r="A430" s="11" t="n">
        <v>19</v>
      </c>
      <c r="B430" s="11" t="inlineStr">
        <is>
          <t>19.18</t>
        </is>
      </c>
      <c r="C430" s="12" t="inlineStr">
        <is>
          <t>The studio answers</t>
        </is>
      </c>
      <c r="D430" s="12" t="inlineStr">
        <is>
          <t>Client portal</t>
        </is>
      </c>
      <c r="E430" s="13" t="inlineStr">
        <is>
          <t>Let his wife confirm the stage</t>
        </is>
      </c>
      <c r="F430" s="14" t="inlineStr">
        <is>
          <t>1. In the private window press "Sign out", sign in with 9182 7364 and any six digits
2. Press "Look and confirm" on the electrical and plumbing row
3. Press "Looks good"
4. In your window open Benjamin’s project › "Files &amp; notes" › "Activity"</t>
        </is>
      </c>
      <c r="G430" s="14" t="inlineStr">
        <is>
          <t>Her page opens on Benjamin’s home. "Thank you — Demo Studio knows electrical and plumbing looks good"; the stage reads "Confirmed". Activity names Mei Ling Han as the one who confirmed “Electrical &amp; plumbing”.</t>
        </is>
      </c>
      <c r="H430" s="12" t="inlineStr">
        <is>
          <t>Different from 1.0: the household acts under their own names</t>
        </is>
      </c>
      <c r="I430" s="18" t="inlineStr">
        <is>
          <t>Mei Ling Han (client)</t>
        </is>
      </c>
      <c r="J430" s="15" t="n"/>
      <c r="K430" s="15" t="n"/>
      <c r="L430" s="15" t="n"/>
      <c r="M430" s="16" t="n"/>
      <c r="N430" s="17" t="n"/>
      <c r="O430" s="17" t="n"/>
      <c r="P430" s="15" t="n"/>
    </row>
    <row r="431">
      <c r="A431" s="11" t="n">
        <v>19</v>
      </c>
      <c r="B431" s="11" t="inlineStr">
        <is>
          <t>19.19</t>
        </is>
      </c>
      <c r="C431" s="12" t="inlineStr">
        <is>
          <t>The studio answers</t>
        </is>
      </c>
      <c r="D431" s="12" t="inlineStr">
        <is>
          <t>Client portal</t>
        </is>
      </c>
      <c r="E431" s="13" t="inlineStr">
        <is>
          <t>See Benjamin’s portal as he sees it</t>
        </is>
      </c>
      <c r="F431" s="14" t="inlineStr">
        <is>
          <t>1. Benjamin’s ⋮ › "Invite to Portal" › "See it as Benjamin"
2. In the new tab open "Choices" and tap an option
3. Press "Close preview"</t>
        </is>
      </c>
      <c r="G431" s="14" t="inlineStr">
        <is>
          <t>A dark strip reads "You’re seeing Benjamin Han’s page as they see it. Nothing here is saved or recorded as theirs."; the choice says "A preview — your choice isn’t saved." and nothing is recorded. Close preview closes the tab.</t>
        </is>
      </c>
      <c r="H431" s="12" t="inlineStr">
        <is>
          <t>Different from 1.0: the preview is the real page, read-only</t>
        </is>
      </c>
      <c r="I431" s="11" t="inlineStr">
        <is>
          <t>Dane</t>
        </is>
      </c>
      <c r="J431" s="15" t="n"/>
      <c r="K431" s="15" t="n"/>
      <c r="L431" s="15" t="n"/>
      <c r="M431" s="16" t="n"/>
      <c r="N431" s="17" t="n"/>
      <c r="O431" s="17" t="n"/>
      <c r="P431" s="15" t="n"/>
    </row>
    <row r="432">
      <c r="A432" s="11" t="n">
        <v>19</v>
      </c>
      <c r="B432" s="11" t="inlineStr">
        <is>
          <t>19.20</t>
        </is>
      </c>
      <c r="C432" s="12" t="inlineStr">
        <is>
          <t>Setting up the portal</t>
        </is>
      </c>
      <c r="D432" s="12" t="inlineStr">
        <is>
          <t>Company</t>
        </is>
      </c>
      <c r="E432" s="13" t="inlineStr">
        <is>
          <t>Read the portal’s set-up</t>
        </is>
      </c>
      <c r="F432" s="14" t="inlineStr">
        <is>
          <t>1. "Company" › "Client portal"
2. Read the header, "Getting it live" and "What a client sees"
3. Press "See it as Ryan", look, then close that tab</t>
        </is>
      </c>
      <c r="G432" s="14" t="inlineStr">
        <is>
          <t>Tabs Set-up · Clients; a green "Live" chip. Getting it live: Address (…/my/demo-studio, made from your studio’s name, "Change"), Logo and colour ("Open brand kit"), How clients pay (Demo Studio Pte Ltd · bank transfer and PayNow), Privacy notice (not linked yet — "Add the link"), Try it yourself — which now reads "Done …". What a client sees shows Ryan D’Souza’s real page in a phone frame.</t>
        </is>
      </c>
      <c r="H432" s="12" t="inlineStr">
        <is>
          <t>Different from 1.0: one page instead of 70 scattered settings</t>
        </is>
      </c>
      <c r="I432" s="11" t="inlineStr">
        <is>
          <t>Dane</t>
        </is>
      </c>
      <c r="J432" s="15" t="n"/>
      <c r="K432" s="15" t="n"/>
      <c r="L432" s="15" t="n"/>
      <c r="M432" s="16" t="n"/>
      <c r="N432" s="17" t="n"/>
      <c r="O432" s="17" t="n"/>
      <c r="P432" s="15" t="n"/>
    </row>
    <row r="433">
      <c r="A433" s="11" t="n">
        <v>19</v>
      </c>
      <c r="B433" s="11" t="inlineStr">
        <is>
          <t>19.21</t>
        </is>
      </c>
      <c r="C433" s="12" t="inlineStr">
        <is>
          <t>Setting up the portal</t>
        </is>
      </c>
      <c r="D433" s="12" t="inlineStr">
        <is>
          <t>Company</t>
        </is>
      </c>
      <c r="E433" s="13" t="inlineStr">
        <is>
          <t>Pause the portal and put it live again</t>
        </is>
      </c>
      <c r="F433" s="14" t="inlineStr">
        <is>
          <t>1. Press "Pause the portal", then "Pause"
2. Reload the private window
3. Press "Go live again"</t>
        </is>
      </c>
      <c r="G433" s="14" t="inlineStr">
        <is>
          <t>"Pause the portal?" says clients see a notice and their links keep working; then "The portal is paused — clients see a notice". The client’s window reads "Demo Studio’s portal is paused" — "You can’t open your page right now…". "The portal is live again" and her page opens again.</t>
        </is>
      </c>
      <c r="H433" s="12" t="inlineStr">
        <is>
          <t>Different from 1.0: a pause really stops every client page</t>
        </is>
      </c>
      <c r="I433" s="11" t="inlineStr">
        <is>
          <t>Dane</t>
        </is>
      </c>
      <c r="J433" s="15" t="n"/>
      <c r="K433" s="15" t="n"/>
      <c r="L433" s="15" t="n"/>
      <c r="M433" s="16" t="n"/>
      <c r="N433" s="17" t="n"/>
      <c r="O433" s="17" t="n"/>
      <c r="P433" s="15" t="n"/>
    </row>
    <row r="434">
      <c r="A434" s="11" t="n">
        <v>19</v>
      </c>
      <c r="B434" s="11" t="inlineStr">
        <is>
          <t>19.22</t>
        </is>
      </c>
      <c r="C434" s="12" t="inlineStr">
        <is>
          <t>Setting up the portal</t>
        </is>
      </c>
      <c r="D434" s="12" t="inlineStr">
        <is>
          <t>Company</t>
        </is>
      </c>
      <c r="E434" s="13" t="inlineStr">
        <is>
          <t>Change the portal’s address, then undo it</t>
        </is>
      </c>
      <c r="F434" s="14" t="inlineStr">
        <is>
          <t>1. On "Address" press "Change"
2. Type test, press "Save"
3. Type our-home, press "Save", then "Undo"</t>
        </is>
      </c>
      <c r="G434" s="14" t="inlineStr">
        <is>
          <t>"Change the address": "test" reads "That word is kept for OpenMaison — try another". Then "The portal’s address is now /my/our-home — /my/demo-studio leads there" with Undo; Undo puts demo-studio back.</t>
        </is>
      </c>
      <c r="H434" s="12" t="inlineStr">
        <is>
          <t>Different from 1.0: an old address keeps working</t>
        </is>
      </c>
      <c r="I434" s="11" t="inlineStr">
        <is>
          <t>Dane</t>
        </is>
      </c>
      <c r="J434" s="15" t="n"/>
      <c r="K434" s="15" t="n"/>
      <c r="L434" s="15" t="n"/>
      <c r="M434" s="16" t="n"/>
      <c r="N434" s="17" t="n"/>
      <c r="O434" s="17" t="n"/>
      <c r="P434" s="15" t="n"/>
    </row>
    <row r="435">
      <c r="A435" s="11" t="n">
        <v>19</v>
      </c>
      <c r="B435" s="11" t="inlineStr">
        <is>
          <t>19.23</t>
        </is>
      </c>
      <c r="C435" s="12" t="inlineStr">
        <is>
          <t>Setting up the portal</t>
        </is>
      </c>
      <c r="D435" s="12" t="inlineStr">
        <is>
          <t>Company</t>
        </is>
      </c>
      <c r="E435" s="13" t="inlineStr">
        <is>
          <t>Choose what clients see, and the welcome line</t>
        </is>
      </c>
      <c r="F435" s="14" t="inlineStr">
        <is>
          <t>1. Under "What clients can see" (10 of 10 on) switch "Choices" off; reload the private window; switch it back on
2. In "Welcome line, shown when a client signs in" type Your home, step by step and press "Save"
3. Press "Undo"</t>
        </is>
      </c>
      <c r="G435" s="14" t="inlineStr">
        <is>
          <t>"Choices is off — no client sees it" (with Undo) and the client’s Choices tab is gone; "Choices is back on every client’s portal". "Welcome line saved — clients read it when they sign in"; Undo returns "Welcome to your renovation".</t>
        </is>
      </c>
      <c r="H435" s="12" t="inlineStr">
        <is>
          <t>Different from 1.0: switches the server enforces</t>
        </is>
      </c>
      <c r="I435" s="11" t="inlineStr">
        <is>
          <t>Dane</t>
        </is>
      </c>
      <c r="J435" s="15" t="n"/>
      <c r="K435" s="15" t="n"/>
      <c r="L435" s="15" t="n"/>
      <c r="M435" s="16" t="n"/>
      <c r="N435" s="17" t="n"/>
      <c r="O435" s="17" t="n"/>
      <c r="P435" s="15" t="n"/>
    </row>
    <row r="436">
      <c r="A436" s="11" t="n">
        <v>19</v>
      </c>
      <c r="B436" s="11" t="inlineStr">
        <is>
          <t>19.24</t>
        </is>
      </c>
      <c r="C436" s="12" t="inlineStr">
        <is>
          <t>Setting up the portal</t>
        </is>
      </c>
      <c r="D436" s="12" t="inlineStr">
        <is>
          <t>Company</t>
        </is>
      </c>
      <c r="E436" s="13" t="inlineStr">
        <is>
          <t>See every client with access</t>
        </is>
      </c>
      <c r="F436" s="14" t="inlineStr">
        <is>
          <t>1. Open the "Clients" tab
2. Search Han</t>
        </is>
      </c>
      <c r="G436" s="14" t="inlineStr">
        <is>
          <t>Columns Client · Home · Access · Invited · Last opened · Actions: "Opened …" — Benjamin Han with Mei Ling Han under him, Sophia Wong, Ryan D’Souza, Shalini Menon; "Invited, not opened" — Gerald Tan (chapter 9), Kevin Ng, Serena Koh; "Not invited" — Aisha Rahman, Marcus Teo, Daniel Koh. The search keeps Benjamin and Mei Ling.</t>
        </is>
      </c>
      <c r="H436" s="12" t="inlineStr">
        <is>
          <t>New in 2.0</t>
        </is>
      </c>
      <c r="I436" s="11" t="inlineStr">
        <is>
          <t>Dane</t>
        </is>
      </c>
      <c r="J436" s="15" t="n"/>
      <c r="K436" s="15" t="n"/>
      <c r="L436" s="15" t="n"/>
      <c r="M436" s="16" t="n"/>
      <c r="N436" s="17" t="n"/>
      <c r="O436" s="17" t="n"/>
      <c r="P436" s="15" t="n"/>
    </row>
    <row r="437" ht="22" customHeight="1">
      <c r="A437" s="9" t="inlineStr">
        <is>
          <t>Chapter 20 · Money in — Contract value, variation orders, invoices from the payment schedule, then payments: the client’s proof, receipts, reminders and reversals.</t>
        </is>
      </c>
      <c r="M437" s="10" t="n"/>
    </row>
    <row r="438">
      <c r="A438" s="11" t="n">
        <v>20</v>
      </c>
      <c r="B438" s="11" t="inlineStr">
        <is>
          <t>20.01</t>
        </is>
      </c>
      <c r="C438" s="12" t="inlineStr">
        <is>
          <t>Where the money stands</t>
        </is>
      </c>
      <c r="D438" s="12" t="inlineStr">
        <is>
          <t>Money</t>
        </is>
      </c>
      <c r="E438" s="13" t="inlineStr">
        <is>
          <t>See where Benjamin’s money stands</t>
        </is>
      </c>
      <c r="F438" s="14" t="inlineStr">
        <is>
          <t>1. Open Benjamin Han’s project › "Money"
2. Read "Needs you", then press "Show 2 more"
3. Read the three tiles, then the "Billing" table: the line under its title and the Mid-Project and Commencement rows</t>
        </is>
      </c>
      <c r="G438" s="14" t="inlineStr">
        <is>
          <t>Needs you (5): PO-2026-008 to Stone &amp; Tile Masonry Pte Ltd · Germaine’s claim · AquaFlow Plumbing Works’s bill AF-7781 (red) · INV-2026-006 · Mid-Project · S$1,090.00 to refund on CN-2026-002. Tiles TO COLLECT S$20,784.94 in red ("S$20,784.94 overdue", "S$27,713.25 collected of S$69,283.13", "Next: Completion S$20,784.94 — when Handover &amp; defect check is done") · TO PAY S$1,400.00 · PROFIT "--" with "Early estimate". Billing: "From OM-10005’s payment schedule — each stage bills its share of the contract value, GST included."; columns Stage · Amount · Invoice · Paid · Next step; Mid-Project: Electrical &amp; plumbing · done, 30% · GST inside, OVERDUE "INV-2026-006 · sent … · due … · n days overdue …", "Record a payment"; Commencement’s Paid reads "RCT-2026-004 · S$1,090.00 credited".</t>
        </is>
      </c>
      <c r="H438" s="12" t="inlineStr">
        <is>
          <t>Different from 1.0: one set of numbers, from the signed quote</t>
        </is>
      </c>
      <c r="I438" s="11" t="inlineStr">
        <is>
          <t>Dane</t>
        </is>
      </c>
      <c r="J438" s="15" t="n"/>
      <c r="K438" s="15" t="n"/>
      <c r="L438" s="15" t="n"/>
      <c r="M438" s="16" t="n"/>
      <c r="N438" s="17" t="n"/>
      <c r="O438" s="17" t="n"/>
      <c r="P438" s="15" t="n"/>
    </row>
    <row r="439">
      <c r="A439" s="11" t="n">
        <v>20</v>
      </c>
      <c r="B439" s="11" t="inlineStr">
        <is>
          <t>20.02</t>
        </is>
      </c>
      <c r="C439" s="12" t="inlineStr">
        <is>
          <t>Where the money stands</t>
        </is>
      </c>
      <c r="D439" s="12" t="inlineStr">
        <is>
          <t>Money</t>
        </is>
      </c>
      <c r="E439" s="13" t="inlineStr">
        <is>
          <t>Check money stays with the project’s team</t>
        </is>
      </c>
      <c r="F439" s="14" t="inlineStr">
        <is>
          <t>1. "Demo Studio" block › "View as" › "Alex"
2. Open Benjamin Han’s project
3. Add /money to the end of the address and press Enter
4. "View as" › "Dane"</t>
        </is>
      </c>
      <c r="G439" s="14" t="inlineStr">
        <is>
          <t>Alex (not on the team) sees the project, but its tabs read Overview · Tasks · Schedule · Client · Design · Files &amp; notes — no Money — and its Overview has no Money card. The Money address says "Money is the project’s team’s" — "The contract value, the invoices and what the client has paid are for the project’s team, Owners and Admins…".</t>
        </is>
      </c>
      <c r="H439" s="12" t="inlineStr">
        <is>
          <t>Different from 1.0: 1.0 showed money to everyone</t>
        </is>
      </c>
      <c r="I439" s="18" t="inlineStr">
        <is>
          <t>Alex</t>
        </is>
      </c>
      <c r="J439" s="15" t="n"/>
      <c r="K439" s="15" t="n"/>
      <c r="L439" s="15" t="n"/>
      <c r="M439" s="16" t="n"/>
      <c r="N439" s="17" t="n"/>
      <c r="O439" s="17" t="n"/>
      <c r="P439" s="15" t="n"/>
    </row>
    <row r="440">
      <c r="A440" s="11" t="n">
        <v>20</v>
      </c>
      <c r="B440" s="11" t="inlineStr">
        <is>
          <t>20.03</t>
        </is>
      </c>
      <c r="C440" s="12" t="inlineStr">
        <is>
          <t>A change to the works</t>
        </is>
      </c>
      <c r="D440" s="12" t="inlineStr">
        <is>
          <t>Money</t>
        </is>
      </c>
      <c r="E440" s="13" t="inlineStr">
        <is>
          <t>Start a variation order on Sophia’s project</t>
        </is>
      </c>
      <c r="F440" s="14" t="inlineStr">
        <is>
          <t>1. Open Sophia’s project › "Money"
2. Press "New" (or C) and pick "Variation order"
3. Read the header, the bar under it and the section tabs</t>
        </is>
      </c>
      <c r="G440" s="14" t="inlineStr">
        <is>
          <t>"New" lists two groups, "Bill Sophia" and "Costs". The quote editor opens on VO-1: crumb "Projects / … / Money", chips "Variation order" (yellow) · "VO-1" · "Draft". The bar: "A change to the contract of … (P-2026-…): S$… today, S$… once the client approves it. An omission is a line with a minus quantity." There is no Payment Schedule.</t>
        </is>
      </c>
      <c r="H440" s="12" t="inlineStr">
        <is>
          <t>Different from 1.0: a VO is a quote in its own mode</t>
        </is>
      </c>
      <c r="I440" s="11" t="inlineStr">
        <is>
          <t>Dane</t>
        </is>
      </c>
      <c r="J440" s="15" t="n"/>
      <c r="K440" s="15" t="n"/>
      <c r="L440" s="15" t="n"/>
      <c r="M440" s="16" t="n"/>
      <c r="N440" s="17" t="n"/>
      <c r="O440" s="17" t="n"/>
      <c r="P440" s="15" t="n"/>
    </row>
    <row r="441">
      <c r="A441" s="11" t="n">
        <v>20</v>
      </c>
      <c r="B441" s="11" t="inlineStr">
        <is>
          <t>20.04</t>
        </is>
      </c>
      <c r="C441" s="12" t="inlineStr">
        <is>
          <t>A change to the works</t>
        </is>
      </c>
      <c r="D441" s="12" t="inlineStr">
        <is>
          <t>Money</t>
        </is>
      </c>
      <c r="E441" s="13" t="inlineStr">
        <is>
          <t>Add one line and take one out</t>
        </is>
      </c>
      <c r="F441" s="14" t="inlineStr">
        <is>
          <t>1. Under Items add Extra power point · Qty 2 · "Unit Price" 85
2. Add Ceiling fan point · Qty -1 · "Unit Price" 120
3. Read the total and the bar</t>
        </is>
      </c>
      <c r="G441" s="14" t="inlineStr">
        <is>
          <t>The minus quantity stays; the total row reads "Change to the contract" and the bar’s second figure moves by the change.</t>
        </is>
      </c>
      <c r="H441" s="12" t="inlineStr">
        <is>
          <t>Different from 1.0: an omission is a minus line</t>
        </is>
      </c>
      <c r="I441" s="11" t="inlineStr">
        <is>
          <t>Dane</t>
        </is>
      </c>
      <c r="J441" s="15" t="n"/>
      <c r="K441" s="15" t="n"/>
      <c r="L441" s="15" t="n"/>
      <c r="M441" s="16" t="n"/>
      <c r="N441" s="17" t="n"/>
      <c r="O441" s="17" t="n"/>
      <c r="P441" s="15" t="n"/>
    </row>
    <row r="442">
      <c r="A442" s="11" t="n">
        <v>20</v>
      </c>
      <c r="B442" s="11" t="inlineStr">
        <is>
          <t>20.05</t>
        </is>
      </c>
      <c r="C442" s="12" t="inlineStr">
        <is>
          <t>A change to the works</t>
        </is>
      </c>
      <c r="D442" s="12" t="inlineStr">
        <is>
          <t>Money</t>
        </is>
      </c>
      <c r="E442" s="13" t="inlineStr">
        <is>
          <t>Record an approval Sophia gave in person</t>
        </is>
      </c>
      <c r="F442" s="14" t="inlineStr">
        <is>
          <t>1. Go back to "Money" (the crumb)
2. Under "Changes to the contract", on VO-1’s row open ⋮ › "Mark as approved by the client"
3. "Approved on" today · "How they approved it" In person
4. Press "Mark as approved"</t>
        </is>
      </c>
      <c r="G442" s="14" t="inlineStr">
        <is>
          <t>The window says "Sophia approved VO-1 in person or elsewhere? Record when and how — the contract becomes S$… and the unsent invoices are re-sized." Then "VO-1 approved — the contract is now S$… — … were re-sized. Sent invoices and the agreed shares stay as they are." with Undo; VO-1 reads "Approved by the client" (Sophia Wong · … · in person), and pointing at the TO COLLECT figure shows "Contract S$… (signed quote S$… + variation orders S$…)".</t>
        </is>
      </c>
      <c r="H442" s="12" t="inlineStr">
        <is>
          <t>Different from 1.0: approval moves the contract and re-sizes drafts</t>
        </is>
      </c>
      <c r="I442" s="11" t="inlineStr">
        <is>
          <t>Dane</t>
        </is>
      </c>
      <c r="J442" s="15" t="n"/>
      <c r="K442" s="15" t="n"/>
      <c r="L442" s="15" t="n"/>
      <c r="M442" s="16" t="n"/>
      <c r="N442" s="17" t="n"/>
      <c r="O442" s="17" t="n"/>
      <c r="P442" s="15" t="n"/>
    </row>
    <row r="443">
      <c r="A443" s="11" t="n">
        <v>20</v>
      </c>
      <c r="B443" s="11" t="inlineStr">
        <is>
          <t>20.06</t>
        </is>
      </c>
      <c r="C443" s="12" t="inlineStr">
        <is>
          <t>A change to the works</t>
        </is>
      </c>
      <c r="D443" s="12" t="inlineStr">
        <is>
          <t>Money</t>
        </is>
      </c>
      <c r="E443" s="13" t="inlineStr">
        <is>
          <t>Let Aisha approve her variation order on its link</t>
        </is>
      </c>
      <c r="F443" s="14" t="inlineStr">
        <is>
          <t>1. Open Aisha Rahman’s project › "Money"; under "Changes to the contract", on VO-1 press "Open"
2. ⋮ › "Copy confirmation link"; paste it into the private window
3. Type Aisha Rahman in "Your full name", press "Approve the changes"</t>
        </is>
      </c>
      <c r="G443" s="14" t="inlineStr">
        <is>
          <t>"Approve this variation order": "Hi Aisha, please read the changes…" — her contract goes from S$62,702.25 to S$62,157.25; "Change to the contract −S$545.00"; "Approving … is not a signature." Then "Approved" — "Approved by Aisha Rahman on … Your contract … is now S$62,157.25."</t>
        </is>
      </c>
      <c r="H443" s="12" t="inlineStr">
        <is>
          <t>Different from 1.0: the client approves the change herself</t>
        </is>
      </c>
      <c r="I443" s="18" t="inlineStr">
        <is>
          <t>Aisha Rahman (client)</t>
        </is>
      </c>
      <c r="J443" s="15" t="n"/>
      <c r="K443" s="15" t="n"/>
      <c r="L443" s="15" t="n"/>
      <c r="M443" s="16" t="n"/>
      <c r="N443" s="17" t="n"/>
      <c r="O443" s="17" t="n"/>
      <c r="P443" s="15" t="n"/>
    </row>
    <row r="444">
      <c r="A444" s="11" t="n">
        <v>20</v>
      </c>
      <c r="B444" s="11" t="inlineStr">
        <is>
          <t>20.07</t>
        </is>
      </c>
      <c r="C444" s="12" t="inlineStr">
        <is>
          <t>A change to the works</t>
        </is>
      </c>
      <c r="D444" s="12" t="inlineStr">
        <is>
          <t>Money</t>
        </is>
      </c>
      <c r="E444" s="13" t="inlineStr">
        <is>
          <t>See the contract move and the drafts re-size</t>
        </is>
      </c>
      <c r="F444" s="14" t="inlineStr">
        <is>
          <t>1. Back in your window, reload Aisha’s "Money"
2. Point at the TO COLLECT figure and read the line under it
3. Read "Changes to the contract", then the "Billing" rows down to "Outside the stages"</t>
        </is>
      </c>
      <c r="G444" s="14" t="inlineStr">
        <is>
          <t>The figure’s hover reads "Contract S$62,157.25 (signed quote S$62,702.25 − variation orders S$545.00) · …"; the line "S$6,270.23 collected of S$62,157.25". VO-1 reads "Approved by the client" (Aisha Rahman · … · on the confirmation link). Commencement, Mid-Project and Completion are now S$18,629.01 · S$18,629.01 · S$18,629.00; the Deposit already sent stays as it was; INV-2026-009 (Permit and lift padding fees) sits under "Outside the stages".</t>
        </is>
      </c>
      <c r="H444" s="12" t="inlineStr">
        <is>
          <t>Different from 1.0: sent invoices never change</t>
        </is>
      </c>
      <c r="I444" s="11" t="inlineStr">
        <is>
          <t>Dane</t>
        </is>
      </c>
      <c r="J444" s="15" t="n"/>
      <c r="K444" s="15" t="n"/>
      <c r="L444" s="15" t="n"/>
      <c r="M444" s="16" t="n"/>
      <c r="N444" s="17" t="n"/>
      <c r="O444" s="17" t="n"/>
      <c r="P444" s="15" t="n"/>
    </row>
    <row r="445">
      <c r="A445" s="11" t="n">
        <v>20</v>
      </c>
      <c r="B445" s="11" t="inlineStr">
        <is>
          <t>20.08</t>
        </is>
      </c>
      <c r="C445" s="12" t="inlineStr">
        <is>
          <t>Asking for money</t>
        </is>
      </c>
      <c r="D445" s="12" t="inlineStr">
        <is>
          <t>Money</t>
        </is>
      </c>
      <c r="E445" s="13" t="inlineStr">
        <is>
          <t>Send Aisha’s Commencement invoice</t>
        </is>
      </c>
      <c r="F445" s="14" t="inlineStr">
        <is>
          <t>1. In "Billing", on the Commencement row (READY TO SEND) press "Send"
2. Read the window, then press "Send via WhatsApp" — close the WhatsApp tab, do not send</t>
        </is>
      </c>
      <c r="G445" s="14" t="inlineStr">
        <is>
          <t>"Send the Commencement invoice": "S$18,629.01, due … It’s numbered INV-2026-010 and recorded as sent, and WhatsApp opens with the message." Then "INV-2026-010 sent to Aisha — due …" (7 days from today); the row now reads SENT "INV-2026-010 · sent … · due …" and offers "Record a payment".</t>
        </is>
      </c>
      <c r="H445" s="12" t="inlineStr">
        <is>
          <t>Different from 1.0: one press records it and opens WhatsApp</t>
        </is>
      </c>
      <c r="I445" s="11" t="inlineStr">
        <is>
          <t>Dane</t>
        </is>
      </c>
      <c r="J445" s="15" t="n"/>
      <c r="K445" s="15" t="n"/>
      <c r="L445" s="15" t="n"/>
      <c r="M445" s="16" t="n"/>
      <c r="N445" s="17" t="n"/>
      <c r="O445" s="17" t="n"/>
      <c r="P445" s="15" t="n"/>
    </row>
    <row r="446">
      <c r="A446" s="11" t="n">
        <v>20</v>
      </c>
      <c r="B446" s="11" t="inlineStr">
        <is>
          <t>20.09</t>
        </is>
      </c>
      <c r="C446" s="12" t="inlineStr">
        <is>
          <t>Asking for money</t>
        </is>
      </c>
      <c r="D446" s="12" t="inlineStr">
        <is>
          <t>Money</t>
        </is>
      </c>
      <c r="E446" s="13" t="inlineStr">
        <is>
          <t>Open the invoice as the client gets it</t>
        </is>
      </c>
      <c r="F446" s="14" t="inlineStr">
        <is>
          <t>1. Press "Commencement" in "Billing" — its panel opens; read it, then press "Open the invoice"
2. Read the paper to "How to pay"
3. Point at the download icon, then press "Back to Money"</t>
        </is>
      </c>
      <c r="G446" s="14" t="inlineStr">
        <is>
          <t>The panel: "INV-2026-010 · Commencement", Sent, its facts and "Payments" — "Nothing paid yet — record a payment when it comes in.". The page: crumb "Projects / … / Money", the number with "Sent" and "Commencement · S$18,629.01". The paper: the studio’s letterhead, "Tax invoice", Invoice no. · Issued · Due, Bill to Aisha Rahman, "Commencement — the 30% stage, its share of what the contract leaves" with how the contract is made up and "Original … → adjusted S$18,629.01 after VO-1", Subtotal · GST (9%) · Total due, How to pay (bank, PayNow, Reference INV-2026-010). The icon reads "Download PDF"; Back to Money reopens the panel.</t>
        </is>
      </c>
      <c r="H446" s="12" t="inlineStr">
        <is>
          <t>Different from 1.0: on the issuing entity’s letterhead</t>
        </is>
      </c>
      <c r="I446" s="11" t="inlineStr">
        <is>
          <t>Dane</t>
        </is>
      </c>
      <c r="J446" s="15" t="n"/>
      <c r="K446" s="15" t="n"/>
      <c r="L446" s="15" t="n"/>
      <c r="M446" s="16" t="n"/>
      <c r="N446" s="17" t="n"/>
      <c r="O446" s="17" t="n"/>
      <c r="P446" s="15" t="n"/>
    </row>
    <row r="447">
      <c r="A447" s="11" t="n">
        <v>20</v>
      </c>
      <c r="B447" s="11" t="inlineStr">
        <is>
          <t>20.10</t>
        </is>
      </c>
      <c r="C447" s="12" t="inlineStr">
        <is>
          <t>Asking for money</t>
        </is>
      </c>
      <c r="D447" s="12" t="inlineStr">
        <is>
          <t>Money</t>
        </is>
      </c>
      <c r="E447" s="13" t="inlineStr">
        <is>
          <t>Submit an invoice as the designer</t>
        </is>
      </c>
      <c r="F447" s="14" t="inlineStr">
        <is>
          <t>1. "View as" › "Germaine"
2. Open Marcus Teo’s project › "Money"; read "Needs you" and the tiles
3. On the Deposit row press "Submit for approval"</t>
        </is>
      </c>
      <c r="G447" s="14" t="inlineStr">
        <is>
          <t>Needs you: "The Deposit invoice is ready to submit" with "Submit for approval" — no Send anywhere. Tiles: TO COLLECT and CONTRACT VALUE S$48,600.00 only. "Deposit invoice submitted — an Owner or an Admin approves it" with Undo; the row leaves Needs you and the Deposit row reads WAITING FOR APPROVAL, "You · just now".</t>
        </is>
      </c>
      <c r="H447" s="12" t="inlineStr">
        <is>
          <t>Different from 1.0: no way round the approval</t>
        </is>
      </c>
      <c r="I447" s="18" t="inlineStr">
        <is>
          <t>Germaine</t>
        </is>
      </c>
      <c r="J447" s="15" t="n"/>
      <c r="K447" s="15" t="n"/>
      <c r="L447" s="15" t="n"/>
      <c r="M447" s="16" t="n"/>
      <c r="N447" s="17" t="n"/>
      <c r="O447" s="17" t="n"/>
      <c r="P447" s="15" t="n"/>
    </row>
    <row r="448">
      <c r="A448" s="11" t="n">
        <v>20</v>
      </c>
      <c r="B448" s="11" t="inlineStr">
        <is>
          <t>20.11</t>
        </is>
      </c>
      <c r="C448" s="12" t="inlineStr">
        <is>
          <t>Asking for money</t>
        </is>
      </c>
      <c r="D448" s="12" t="inlineStr">
        <is>
          <t>Money</t>
        </is>
      </c>
      <c r="E448" s="13" t="inlineStr">
        <is>
          <t>Send an invoice back with a note</t>
        </is>
      </c>
      <c r="F448" s="14" t="inlineStr">
        <is>
          <t>1. "View as" › "Dane"; open the bell and press "Germaine submitted an invoice for your approval"
2. Close the Deposit invoice’s panel that opens; on Needs you’s "The Deposit invoice" row press "Send back"
3. "What should change?" Send it after Friday’s site visit · press "Send back"</t>
        </is>
      </c>
      <c r="G448" s="14" t="inlineStr">
        <is>
          <t>The panel offers "Approve and send"; the Needs you row reads "Germaine submitted it … — waiting for your approval" with "Send back" and "Approve and send". "Sent back to Germaine"; the row becomes "The Deposit invoice was sent back" — "by You … — “Send it after Friday’s site visit”".</t>
        </is>
      </c>
      <c r="H448" s="12" t="inlineStr">
        <is>
          <t>New in 2.0</t>
        </is>
      </c>
      <c r="I448" s="11" t="inlineStr">
        <is>
          <t>Dane</t>
        </is>
      </c>
      <c r="J448" s="15" t="n"/>
      <c r="K448" s="15" t="n"/>
      <c r="L448" s="15" t="n"/>
      <c r="M448" s="16" t="n"/>
      <c r="N448" s="17" t="n"/>
      <c r="O448" s="17" t="n"/>
      <c r="P448" s="15" t="n"/>
    </row>
    <row r="449">
      <c r="A449" s="11" t="n">
        <v>20</v>
      </c>
      <c r="B449" s="11" t="inlineStr">
        <is>
          <t>20.12</t>
        </is>
      </c>
      <c r="C449" s="12" t="inlineStr">
        <is>
          <t>Asking for money</t>
        </is>
      </c>
      <c r="D449" s="12" t="inlineStr">
        <is>
          <t>Money</t>
        </is>
      </c>
      <c r="E449" s="13" t="inlineStr">
        <is>
          <t>Preview the draft, then send it yourself</t>
        </is>
      </c>
      <c r="F449" s="14" t="inlineStr">
        <is>
          <t>1. On the Deposit row ⋮ › "Preview the invoice"; read the stamp, press "Back to Money"
2. In the Deposit invoice’s panel that opens press "Send", then "Send via WhatsApp" — close WhatsApp</t>
        </is>
      </c>
      <c r="G449" s="14" t="inlineStr">
        <is>
          <t>The draft reads "Draft — numbered when it is sent", its number blank. "Send the Deposit invoice": "S$4,860.00, due … It’s numbered INV-2026-011 …". Then "INV-2026-011 sent to Marcus — due …"; the sent-back row leaves Needs you.</t>
        </is>
      </c>
      <c r="H449" s="12" t="inlineStr">
        <is>
          <t>Different from 1.0: numbers are given when an invoice is sent</t>
        </is>
      </c>
      <c r="I449" s="11" t="inlineStr">
        <is>
          <t>Dane</t>
        </is>
      </c>
      <c r="J449" s="15" t="n"/>
      <c r="K449" s="15" t="n"/>
      <c r="L449" s="15" t="n"/>
      <c r="M449" s="16" t="n"/>
      <c r="N449" s="17" t="n"/>
      <c r="O449" s="17" t="n"/>
      <c r="P449" s="15" t="n"/>
    </row>
    <row r="450">
      <c r="A450" s="11" t="n">
        <v>20</v>
      </c>
      <c r="B450" s="11" t="inlineStr">
        <is>
          <t>20.13</t>
        </is>
      </c>
      <c r="C450" s="12" t="inlineStr">
        <is>
          <t>Asking for money</t>
        </is>
      </c>
      <c r="D450" s="12" t="inlineStr">
        <is>
          <t>Money</t>
        </is>
      </c>
      <c r="E450" s="13" t="inlineStr">
        <is>
          <t>Bill a different amount, and put the others back in step</t>
        </is>
      </c>
      <c r="F450" s="14" t="inlineStr">
        <is>
          <t>1. On the Completion row ⋮ › "Change the amount": 15000 · "Why it differs" Extra hacking agreed on site · "Save"
2. Read the Completion row (point at "Differs") and the Commencement and Mid-Project amounts
3. Completion ⋮ › "Change the amount" › "Use the schedule’s amount" › "Save"</t>
        </is>
      </c>
      <c r="G450" s="14" t="inlineStr">
        <is>
          <t>"Change the Completion invoice" says "By the schedule it bills S$14,580.00." and, at 15000, "Differs from the schedule by S$420.00 more. Saving re-sizes Commencement and Mid-Project to take the difference." Then "Completion invoice is S$15,000.00 — Commencement and Mid-Project were re-sized to take the difference" with Undo; Completion wears "Differs" (its reason on hover), the other two read S$14,370.00. Last: "Completion invoice follows the schedule — Commencement and Mid-Project were re-sized to match".</t>
        </is>
      </c>
      <c r="H450" s="12" t="inlineStr">
        <is>
          <t>Different from 1.0: no reconcile task; a reason, the rest re-sized</t>
        </is>
      </c>
      <c r="I450" s="11" t="inlineStr">
        <is>
          <t>Dane</t>
        </is>
      </c>
      <c r="J450" s="15" t="n"/>
      <c r="K450" s="15" t="n"/>
      <c r="L450" s="15" t="n"/>
      <c r="M450" s="16" t="n"/>
      <c r="N450" s="17" t="n"/>
      <c r="O450" s="17" t="n"/>
      <c r="P450" s="15" t="n"/>
    </row>
    <row r="451">
      <c r="A451" s="11" t="n">
        <v>20</v>
      </c>
      <c r="B451" s="11" t="inlineStr">
        <is>
          <t>20.14</t>
        </is>
      </c>
      <c r="C451" s="12" t="inlineStr">
        <is>
          <t>Asking for money</t>
        </is>
      </c>
      <c r="D451" s="12" t="inlineStr">
        <is>
          <t>Money</t>
        </is>
      </c>
      <c r="E451" s="13" t="inlineStr">
        <is>
          <t>Void a sent invoice, then undo it</t>
        </is>
      </c>
      <c r="F451" s="14" t="inlineStr">
        <is>
          <t>1. Open Aisha’s "Money"; on the Commencement row (INV-2026-010) ⋮ › "Void"
2. "Why is it void?" Sent before the site inspection · press "Void"
3. Read the Commencement row and the faint row under it, then press "Undo"</t>
        </is>
      </c>
      <c r="G451" s="14" t="inlineStr">
        <is>
          <t>"Void INV-2026-010": "It stays on the record with this reason; a fresh Commencement Draft takes its share." Then "INV-2026-010 is void — a fresh Commencement Draft takes its share": a faint "INV-2026-010 · Void" row with its reason sits under Commencement, now a Draft reading "Replaces INV-2026-010". Undo: "INV-2026-010 is no longer void".</t>
        </is>
      </c>
      <c r="H451" s="12" t="inlineStr">
        <is>
          <t>Different from 1.0: sent invoices void with a reason and Undo</t>
        </is>
      </c>
      <c r="I451" s="11" t="inlineStr">
        <is>
          <t>Dane</t>
        </is>
      </c>
      <c r="J451" s="15" t="n"/>
      <c r="K451" s="15" t="n"/>
      <c r="L451" s="15" t="n"/>
      <c r="M451" s="16" t="n"/>
      <c r="N451" s="17" t="n"/>
      <c r="O451" s="17" t="n"/>
      <c r="P451" s="15" t="n"/>
    </row>
    <row r="452">
      <c r="A452" s="11" t="n">
        <v>20</v>
      </c>
      <c r="B452" s="11" t="inlineStr">
        <is>
          <t>20.15</t>
        </is>
      </c>
      <c r="C452" s="12" t="inlineStr">
        <is>
          <t>Getting paid</t>
        </is>
      </c>
      <c r="D452" s="12" t="inlineStr">
        <is>
          <t>Money</t>
        </is>
      </c>
      <c r="E452" s="13" t="inlineStr">
        <is>
          <t>Remind Benjamin about an overdue payment</t>
        </is>
      </c>
      <c r="F452" s="14" t="inlineStr">
        <is>
          <t>1. Open Benjamin’s "Money"; under "Needs you" press "Show 2 more" and read the INV-2026-006 row
2. Press its "Remind on WhatsApp" — close the WhatsApp tab, do not send
3. Open "Files &amp; notes" › "Activity"</t>
        </is>
      </c>
      <c r="G452" s="14" t="inlineStr">
        <is>
          <t>The row: "INV-2026-006 · Mid-Project · S$20,784.94" — "n days overdue · due … · reminded 2× …", with "Remind on WhatsApp" and "Record a payment". "Reminder drafted on WhatsApp for Benjamin — it’s on the project’s Activity"; the row now says reminded 3×; Activity has Dane’s reminder line.</t>
        </is>
      </c>
      <c r="H452" s="12" t="inlineStr">
        <is>
          <t>Different from 1.0: the reminder is one press and recorded</t>
        </is>
      </c>
      <c r="I452" s="11" t="inlineStr">
        <is>
          <t>Dane</t>
        </is>
      </c>
      <c r="J452" s="15" t="n"/>
      <c r="K452" s="15" t="n"/>
      <c r="L452" s="15" t="n"/>
      <c r="M452" s="16" t="n"/>
      <c r="N452" s="17" t="n"/>
      <c r="O452" s="17" t="n"/>
      <c r="P452" s="15" t="n"/>
    </row>
    <row r="453">
      <c r="A453" s="11" t="n">
        <v>20</v>
      </c>
      <c r="B453" s="11" t="inlineStr">
        <is>
          <t>20.16</t>
        </is>
      </c>
      <c r="C453" s="12" t="inlineStr">
        <is>
          <t>Getting paid</t>
        </is>
      </c>
      <c r="D453" s="12" t="inlineStr">
        <is>
          <t>Client portal</t>
        </is>
      </c>
      <c r="E453" s="13" t="inlineStr">
        <is>
          <t>See what Benjamin owes, on his portal</t>
        </is>
      </c>
      <c r="F453" s="14" t="inlineStr">
        <is>
          <t>1. In the private window press "Sign out", then sign in with 9773 1968 and any six digits
2. Open "Money"</t>
        </is>
      </c>
      <c r="G453" s="14" t="inlineStr">
        <is>
          <t>Deposit · 10% "Paid … · Receipt"; Commencement "Paid … · Receipt · Credit note CN-2026-002 (S$1,090.00 to come back to you)"; Mid-Project · 30% S$20,784.94 due, with Pay to Demo Studio Pte Ltd, "Reference INV-2026-006", the bank, PayNow and its QR, "I have paid" and "See invoice INV-2026-006"; Completion "Planned for …". Beside it "Paid so far" S$27,713.25 of S$69,283.13.</t>
        </is>
      </c>
      <c r="H453" s="12" t="inlineStr">
        <is>
          <t>Different from 1.0: one Money page with receipts</t>
        </is>
      </c>
      <c r="I453" s="18" t="inlineStr">
        <is>
          <t>Benjamin Han (client)</t>
        </is>
      </c>
      <c r="J453" s="15" t="n"/>
      <c r="K453" s="15" t="n"/>
      <c r="L453" s="15" t="n"/>
      <c r="M453" s="16" t="n"/>
      <c r="N453" s="17" t="n"/>
      <c r="O453" s="17" t="n"/>
      <c r="P453" s="15" t="n"/>
    </row>
    <row r="454">
      <c r="A454" s="11" t="n">
        <v>20</v>
      </c>
      <c r="B454" s="11" t="inlineStr">
        <is>
          <t>20.17</t>
        </is>
      </c>
      <c r="C454" s="12" t="inlineStr">
        <is>
          <t>Getting paid</t>
        </is>
      </c>
      <c r="D454" s="12" t="inlineStr">
        <is>
          <t>Client portal</t>
        </is>
      </c>
      <c r="E454" s="13" t="inlineStr">
        <is>
          <t>Tell the studio he has paid</t>
        </is>
      </c>
      <c r="F454" s="14" t="inlineStr">
        <is>
          <t>1. Press "I have paid"
2. "Amount paid (S$)" 20784.94 · "Paid on" today · "How you paid" PayNow · add any picture as the bank’s confirmation
3. Press "Send"</t>
        </is>
      </c>
      <c r="G454" s="14" t="inlineStr">
        <is>
          <t>The window tells him the studio confirms it once it is in their bank. "Received — Demo Studio will confirm it and send your receipt"; the stage reads "Received, waiting for Demo Studio to confirm".</t>
        </is>
      </c>
      <c r="H454" s="12" t="inlineStr">
        <is>
          <t>Different from 1.0: proof never marks an invoice paid by itself</t>
        </is>
      </c>
      <c r="I454" s="18" t="inlineStr">
        <is>
          <t>Benjamin Han (client)</t>
        </is>
      </c>
      <c r="J454" s="15" t="n"/>
      <c r="K454" s="15" t="n"/>
      <c r="L454" s="15" t="n"/>
      <c r="M454" s="16" t="n"/>
      <c r="N454" s="17" t="n"/>
      <c r="O454" s="17" t="n"/>
      <c r="P454" s="15" t="n"/>
    </row>
    <row r="455">
      <c r="A455" s="11" t="n">
        <v>20</v>
      </c>
      <c r="B455" s="11" t="inlineStr">
        <is>
          <t>20.18</t>
        </is>
      </c>
      <c r="C455" s="12" t="inlineStr">
        <is>
          <t>Getting paid</t>
        </is>
      </c>
      <c r="D455" s="12" t="inlineStr">
        <is>
          <t>Money</t>
        </is>
      </c>
      <c r="E455" s="13" t="inlineStr">
        <is>
          <t>Check the payment, then confirm it</t>
        </is>
      </c>
      <c r="F455" s="14" t="inlineStr">
        <is>
          <t>1. In your window reload Benjamin’s "Money"; under "Needs you" press "Show 2 more" and read the payment row
2. Press "Not received", write Not in the bank yet, press "Mark not received", then "Undo"
3. On the payment row press "Confirm"</t>
        </is>
      </c>
      <c r="G455" s="14" t="inlineStr">
        <is>
          <t>The row: "Benjamin says they paid for INV-2026-006 · S$20,784.94" — "Mid-Project · paid …", with "See the bank’s confirmation", "Not received" and "Confirm"; the overdue row is gone and Billing’s Mid-Project reads PAYMENT TO CONFIRM. "Marked not received — Benjamin reads why on their page", Undo puts it back to To confirm; then "Confirmed — S$20,784.94 from Benjamin, receipt RCT-2026-…".</t>
        </is>
      </c>
      <c r="H455" s="12" t="inlineStr">
        <is>
          <t>Different from 1.0: the client’s proof waits for the studio</t>
        </is>
      </c>
      <c r="I455" s="11" t="inlineStr">
        <is>
          <t>Dane</t>
        </is>
      </c>
      <c r="J455" s="15" t="n"/>
      <c r="K455" s="15" t="n"/>
      <c r="L455" s="15" t="n"/>
      <c r="M455" s="16" t="n"/>
      <c r="N455" s="17" t="n"/>
      <c r="O455" s="17" t="n"/>
      <c r="P455" s="15" t="n"/>
    </row>
    <row r="456">
      <c r="A456" s="11" t="n">
        <v>20</v>
      </c>
      <c r="B456" s="11" t="inlineStr">
        <is>
          <t>20.19</t>
        </is>
      </c>
      <c r="C456" s="12" t="inlineStr">
        <is>
          <t>Getting paid</t>
        </is>
      </c>
      <c r="D456" s="12" t="inlineStr">
        <is>
          <t>Money</t>
        </is>
      </c>
      <c r="E456" s="13" t="inlineStr">
        <is>
          <t>Open the receipt</t>
        </is>
      </c>
      <c r="F456" s="14" t="inlineStr">
        <is>
          <t>1. Press "Mid-Project" in "Billing" — its panel opens; under "Payments", on the new receipt’s line ⋮ › "Open the receipt"
2. Read it, then "Back to Money"
3. In the private window reload "Money"</t>
        </is>
      </c>
      <c r="G456" s="14" t="inlineStr">
        <is>
          <t>The receipt: "Receipt no.", Issued, "Invoice no." INV-2026-006, "Received from" Benjamin Han, Invoice total · Paid to date · Still owed, "Thank you — Demo Studio Pte Ltd received this payment." Back to Money reopens the panel on that payment. Benjamin’s Mid-Project now reads "Paid … · Receipt" and Paid so far has grown.</t>
        </is>
      </c>
      <c r="H456" s="12" t="inlineStr">
        <is>
          <t>Different from 1.0: every confirmed payment gets a receipt</t>
        </is>
      </c>
      <c r="I456" s="11" t="inlineStr">
        <is>
          <t>Dane</t>
        </is>
      </c>
      <c r="J456" s="15" t="n"/>
      <c r="K456" s="15" t="n"/>
      <c r="L456" s="15" t="n"/>
      <c r="M456" s="16" t="n"/>
      <c r="N456" s="17" t="n"/>
      <c r="O456" s="17" t="n"/>
      <c r="P456" s="15" t="n"/>
    </row>
    <row r="457">
      <c r="A457" s="11" t="n">
        <v>20</v>
      </c>
      <c r="B457" s="11" t="inlineStr">
        <is>
          <t>20.20</t>
        </is>
      </c>
      <c r="C457" s="12" t="inlineStr">
        <is>
          <t>Getting paid</t>
        </is>
      </c>
      <c r="D457" s="12" t="inlineStr">
        <is>
          <t>Money</t>
        </is>
      </c>
      <c r="E457" s="13" t="inlineStr">
        <is>
          <t>Record a payment the studio received</t>
        </is>
      </c>
      <c r="F457" s="14" t="inlineStr">
        <is>
          <t>1. Open Aisha’s "Money"; on the Commencement row (INV-2026-010) press "Record a payment"
2. "Amount paid (S$)" 10000 · "Paid on" today · "How it was paid" Cheque · "Reference" UOB cheque 223344
3. Press "Record payment"</t>
        </is>
      </c>
      <c r="G457" s="14" t="inlineStr">
        <is>
          <t>"Record a payment": "INV-2026-010 · Commencement — S$18,629.01 still owed. A payment you record is confirmed and gets its receipt." Then "Payment recorded — receipt RCT-2026-…; S$8,629.01 still owed on INV-2026-010"; the row reads PART PAID with S$10,000.00 paid.</t>
        </is>
      </c>
      <c r="H457" s="12" t="inlineStr">
        <is>
          <t>Different from 1.0: confirmed on entry, receipt included</t>
        </is>
      </c>
      <c r="I457" s="11" t="inlineStr">
        <is>
          <t>Dane</t>
        </is>
      </c>
      <c r="J457" s="15" t="n"/>
      <c r="K457" s="15" t="n"/>
      <c r="L457" s="15" t="n"/>
      <c r="M457" s="16" t="n"/>
      <c r="N457" s="17" t="n"/>
      <c r="O457" s="17" t="n"/>
      <c r="P457" s="15" t="n"/>
    </row>
    <row r="458">
      <c r="A458" s="11" t="n">
        <v>20</v>
      </c>
      <c r="B458" s="11" t="inlineStr">
        <is>
          <t>20.21</t>
        </is>
      </c>
      <c r="C458" s="12" t="inlineStr">
        <is>
          <t>Getting paid</t>
        </is>
      </c>
      <c r="D458" s="12" t="inlineStr">
        <is>
          <t>Money</t>
        </is>
      </c>
      <c r="E458" s="13" t="inlineStr">
        <is>
          <t>Reverse a bounced payment</t>
        </is>
      </c>
      <c r="F458" s="14" t="inlineStr">
        <is>
          <t>1. Press "Commencement" in "Billing" — its panel opens; under "Payments", on the RCT-… line ⋮ › "Reverse"
2. "Why is it reversed?" The cheque bounced · press "Reverse"
3. Same line ⋮ › "Open the receipt", then "Back to Money"</t>
        </is>
      </c>
      <c r="G458" s="14" t="inlineStr">
        <is>
          <t>"Reverse RCT-…": "It stays on the record with this reason; its receipt reads Reversed and the invoice is owed again." Then "RCT-… reversed — it no longer counts toward INV-2026-010" with Undo; the receipt reads "Reversed" and "This payment was reversed on … and no longer counts toward the invoice."</t>
        </is>
      </c>
      <c r="H458" s="12" t="inlineStr">
        <is>
          <t>Different from 1.0: reversals keep the record, with a reason</t>
        </is>
      </c>
      <c r="I458" s="11" t="inlineStr">
        <is>
          <t>Dane</t>
        </is>
      </c>
      <c r="J458" s="15" t="n"/>
      <c r="K458" s="15" t="n"/>
      <c r="L458" s="15" t="n"/>
      <c r="M458" s="16" t="n"/>
      <c r="N458" s="17" t="n"/>
      <c r="O458" s="17" t="n"/>
      <c r="P458" s="15" t="n"/>
    </row>
    <row r="459">
      <c r="A459" s="11" t="n">
        <v>20</v>
      </c>
      <c r="B459" s="11" t="inlineStr">
        <is>
          <t>20.22</t>
        </is>
      </c>
      <c r="C459" s="12" t="inlineStr">
        <is>
          <t>Getting paid</t>
        </is>
      </c>
      <c r="D459" s="12" t="inlineStr">
        <is>
          <t>Settings</t>
        </is>
      </c>
      <c r="E459" s="13" t="inlineStr">
        <is>
          <t>Choose who confirms a client’s payment</t>
        </is>
      </c>
      <c r="F459" s="14" t="inlineStr">
        <is>
          <t>1. "Settings" › "Finance"; read "Document numbers", then "Invoices" and "Client payments" under "Money in"
2. Set "Who confirms a client’s payment" to Studio owner, then back to Assigned designer
3. Under "Invoices" press "Projects › What waits for an Owner or an Admin" and read its invoice row</t>
        </is>
      </c>
      <c r="G459" s="14" t="inlineStr">
        <is>
          <t>Document numbers: Invoices "Next: INV-2026-012", Receipts "Next: RCT-2026-…". Invoices: "Payment terms (days)" 7. Client payments: who confirms (Assigned designer · Studio owner · A member) and "Trust the client’s proof" (off). The picks answer "The Owner confirms every client’s payment", then "Each project’s designer confirms its client’s payments". The link opens Settings › Projects on "Invoices need approval before they’re sent" (on).</t>
        </is>
      </c>
      <c r="H459" s="12" t="inlineStr">
        <is>
          <t>Different from 1.0: one place for the money rules</t>
        </is>
      </c>
      <c r="I459" s="11" t="inlineStr">
        <is>
          <t>Dane</t>
        </is>
      </c>
      <c r="J459" s="15" t="n"/>
      <c r="K459" s="15" t="n"/>
      <c r="L459" s="15" t="n"/>
      <c r="M459" s="16" t="n"/>
      <c r="N459" s="17" t="n"/>
      <c r="O459" s="17" t="n"/>
      <c r="P459" s="15" t="n"/>
    </row>
    <row r="460">
      <c r="A460" s="11" t="n">
        <v>20</v>
      </c>
      <c r="B460" s="11" t="inlineStr">
        <is>
          <t>20.23</t>
        </is>
      </c>
      <c r="C460" s="12" t="inlineStr">
        <is>
          <t>Getting paid</t>
        </is>
      </c>
      <c r="D460" s="12" t="inlineStr">
        <is>
          <t>Money</t>
        </is>
      </c>
      <c r="E460" s="13" t="inlineStr">
        <is>
          <t>Turn a chosen upgrade into a variation order</t>
        </is>
      </c>
      <c r="F460" s="14" t="inlineStr">
        <is>
          <t>1. Open Benjamin’s project › "Design" (it opens on "Choices"); on "Kitchen countertop" read the line under the options
2. Press "Draft a variation order"
3. Read the editor, then go back</t>
        </is>
      </c>
      <c r="G460" s="14" t="inlineStr">
        <is>
          <t>The line reads "+S$1,308.00 on the contract (S$1,200.00 + GST)". The editor opens on VO-1 with "VO-1 drafted from the pick — check its line, then send it for approval", titled "Kitchen countertop — Calacatta quartz", the pick its one line under "Client’s choices". Back on Choices the card offers "Open VO-1".</t>
        </is>
      </c>
      <c r="H460" s="12" t="inlineStr">
        <is>
          <t>Different from 1.0: the pick drafts the VO; 1.0 did it by hand</t>
        </is>
      </c>
      <c r="I460" s="11" t="inlineStr">
        <is>
          <t>Dane</t>
        </is>
      </c>
      <c r="J460" s="15" t="n"/>
      <c r="K460" s="15" t="n"/>
      <c r="L460" s="15" t="n"/>
      <c r="M460" s="16" t="n"/>
      <c r="N460" s="17" t="n"/>
      <c r="O460" s="17" t="n"/>
      <c r="P460" s="15" t="n"/>
    </row>
    <row r="461">
      <c r="A461" s="11" t="n">
        <v>20</v>
      </c>
      <c r="B461" s="11" t="inlineStr">
        <is>
          <t>20.24</t>
        </is>
      </c>
      <c r="C461" s="12" t="inlineStr">
        <is>
          <t>Getting paid</t>
        </is>
      </c>
      <c r="D461" s="12" t="inlineStr">
        <is>
          <t>Settings</t>
        </is>
      </c>
      <c r="E461" s="13" t="inlineStr">
        <is>
          <t>Choose how approved variation orders are billed</t>
        </is>
      </c>
      <c r="F461" s="14" t="inlineStr">
        <is>
          <t>1. "Settings" › "Finance"; under "Money in" › "Invoices" find "Variation orders are billed"
2. Pick "On their own, up front" and read the line under the chips
3. Pick "Spread over the stages" again</t>
        </is>
      </c>
      <c r="G461" s="14" t="inlineStr">
        <is>
          <t>"Spread over the stages" is picked: "An approved order’s money joins the stage invoices not sent yet — each takes its share." The other pick reads "An approved order gets its own invoice at once — a Draft for its whole amount; the stages keep their shares." and answers "Approved variation orders now get their own invoice, up front"; going back answers "Approved variation orders are now spread over the stages".</t>
        </is>
      </c>
      <c r="H461" s="12" t="inlineStr">
        <is>
          <t>New in 2.0</t>
        </is>
      </c>
      <c r="I461" s="11" t="inlineStr">
        <is>
          <t>Dane</t>
        </is>
      </c>
      <c r="J461" s="15" t="n"/>
      <c r="K461" s="15" t="n"/>
      <c r="L461" s="15" t="n"/>
      <c r="M461" s="16" t="n"/>
      <c r="N461" s="17" t="n"/>
      <c r="O461" s="17" t="n"/>
      <c r="P461" s="15" t="n"/>
    </row>
    <row r="462" ht="22" customHeight="1">
      <c r="A462" s="9" t="inlineStr">
        <is>
          <t>Chapter 21 · Choices and the ending — Choices on the project and the portal, Complete handover with its checklist, the owner’s review, Reopen, Delete and Restore, and the rules.</t>
        </is>
      </c>
      <c r="M462" s="10" t="n"/>
    </row>
    <row r="463">
      <c r="A463" s="11" t="n">
        <v>21</v>
      </c>
      <c r="B463" s="11" t="inlineStr">
        <is>
          <t>21.01</t>
        </is>
      </c>
      <c r="C463" s="12" t="inlineStr">
        <is>
          <t>Choices for the client</t>
        </is>
      </c>
      <c r="D463" s="12" t="inlineStr">
        <is>
          <t>Projects</t>
        </is>
      </c>
      <c r="E463" s="13" t="inlineStr">
        <is>
          <t>Read the choices put to Benjamin</t>
        </is>
      </c>
      <c r="F463" s="14" t="inlineStr">
        <is>
          <t>1. Open Benjamin Han’s project › "Design" (it opens on "Choices")
2. Press "By room", then "By milestone"
3. Read each card’s band, its options and the line under them</t>
        </is>
      </c>
      <c r="G463" s="14" t="inlineStr">
        <is>
          <t>The title line holds the chips Choices · Floor plan · Designs, Choices lit. Paint colours: "Waiting for Benjamin — shared … by Germaine.", options Sage Whisper ("+S$240 + GST"), Warm White and Soft Greige ("No change"), "Choose with Benjamin". Kitchen countertop: "Benjamin chose Calacatta quartz on … — The Calacatta, please…", the pick ringed, "+S$1,308.00 on the contract (S$1,200.00 + GST)" with "Open VO-1" (chapter 20), and in place of Change the pick "Carpentry fabrication has started — the pick stays".</t>
        </is>
      </c>
      <c r="H463" s="12" t="inlineStr">
        <is>
          <t>Different from 1.0: the pick is kept by option, with its price</t>
        </is>
      </c>
      <c r="I463" s="11" t="inlineStr">
        <is>
          <t>Dane</t>
        </is>
      </c>
      <c r="J463" s="15" t="n"/>
      <c r="K463" s="15" t="n"/>
      <c r="L463" s="15" t="n"/>
      <c r="M463" s="16" t="n"/>
      <c r="N463" s="17" t="n"/>
      <c r="O463" s="17" t="n"/>
      <c r="P463" s="15" t="n"/>
    </row>
    <row r="464">
      <c r="A464" s="11" t="n">
        <v>21</v>
      </c>
      <c r="B464" s="11" t="inlineStr">
        <is>
          <t>21.02</t>
        </is>
      </c>
      <c r="C464" s="12" t="inlineStr">
        <is>
          <t>Choices for the client</t>
        </is>
      </c>
      <c r="D464" s="12" t="inlineStr">
        <is>
          <t>Projects</t>
        </is>
      </c>
      <c r="E464" s="13" t="inlineStr">
        <is>
          <t>Pick for Benjamin after a call, then change the pick</t>
        </is>
      </c>
      <c r="F464" s="14" t="inlineStr">
        <is>
          <t>1. On "Paint colours" press "Choose with Benjamin"; pick Warm White, keep "How it was chosen", press "Save the pick"
2. Press "Change the pick", pick Sage Whisper, press "Save the pick"
3. Read the card</t>
        </is>
      </c>
      <c r="G464" s="14" t="inlineStr">
        <is>
          <t>The window says "A pick made with Benjamin off the portal — on a call, on site. It reads as theirs."; "How it was chosen" is filled with "Chosen with the client on a call". "Chosen with Benjamin — Warm White · Painting no longer waits on Benjamin", then "The pick is now Sage Whisper"; the line reads "+S$261.60 on the contract (S$240.00 + GST)" and offers "Draft a variation order".</t>
        </is>
      </c>
      <c r="H464" s="12" t="inlineStr">
        <is>
          <t>Different from 1.0: picks change until the work starts</t>
        </is>
      </c>
      <c r="I464" s="11" t="inlineStr">
        <is>
          <t>Dane</t>
        </is>
      </c>
      <c r="J464" s="15" t="n"/>
      <c r="K464" s="15" t="n"/>
      <c r="L464" s="15" t="n"/>
      <c r="M464" s="16" t="n"/>
      <c r="N464" s="17" t="n"/>
      <c r="O464" s="17" t="n"/>
      <c r="P464" s="15" t="n"/>
    </row>
    <row r="465">
      <c r="A465" s="11" t="n">
        <v>21</v>
      </c>
      <c r="B465" s="11" t="inlineStr">
        <is>
          <t>21.03</t>
        </is>
      </c>
      <c r="C465" s="12" t="inlineStr">
        <is>
          <t>Choices for the client</t>
        </is>
      </c>
      <c r="D465" s="12" t="inlineStr">
        <is>
          <t>Projects</t>
        </is>
      </c>
      <c r="E465" s="13" t="inlineStr">
        <is>
          <t>Put a choice to Sophia</t>
        </is>
      </c>
      <c r="F465" s="14" t="inlineStr">
        <is>
          <t>1. Open Sophia’s project › "Design" (it opens on "Choices"), press "Add a choice"
2. "What the client chooses" Kitchen backsplash · "Room or area" Kitchen · "Milestone" Masonry &amp; tiling · "Needed by" two weeks from today · press "Add choice"</t>
        </is>
      </c>
      <c r="G465" s="14" t="inlineStr">
        <is>
          <t>Empty first: "No choices yet" with "Add a choice". The window says "It starts as a draft — add the options, then share it with Sophia."; under Milestone, "The pick can change until it starts". Then "Choice added — now add its options"; the band reads "Draft — add the options, then share it with Sophia."</t>
        </is>
      </c>
      <c r="H465" s="12" t="inlineStr">
        <is>
          <t>Different from 1.0: a choice is its own record</t>
        </is>
      </c>
      <c r="I465" s="11" t="inlineStr">
        <is>
          <t>Dane</t>
        </is>
      </c>
      <c r="J465" s="15" t="n"/>
      <c r="K465" s="15" t="n"/>
      <c r="L465" s="15" t="n"/>
      <c r="M465" s="16" t="n"/>
      <c r="N465" s="17" t="n"/>
      <c r="O465" s="17" t="n"/>
      <c r="P465" s="15" t="n"/>
    </row>
    <row r="466">
      <c r="A466" s="11" t="n">
        <v>21</v>
      </c>
      <c r="B466" s="11" t="inlineStr">
        <is>
          <t>21.04</t>
        </is>
      </c>
      <c r="C466" s="12" t="inlineStr">
        <is>
          <t>Choices for the client</t>
        </is>
      </c>
      <c r="D466" s="12" t="inlineStr">
        <is>
          <t>Projects</t>
        </is>
      </c>
      <c r="E466" s="13" t="inlineStr">
        <is>
          <t>Give Sophia two options and share them</t>
        </is>
      </c>
      <c r="F466" s="14" t="inlineStr">
        <is>
          <t>1. Press "Add an option" › "From Materials", pick any material, press "Add option"
2. "Add an option" › "Upload a picture": drop the picture below · "Name" Matt white subway tile · "Price against the quote" Adds · "It adds (S$)" 300 · "Add option"
3. Press "Share with Sophia"</t>
        </is>
      </c>
      <c r="G466" s="14" t="inlineStr">
        <is>
          <t>Each option lands as a square with its name, price ("No change" · "+S$300 + GST") and source; the upload is "Kept in the lead’s Files › Choices". "Shared — Sophia can choose on the portal · Masonry &amp; tiling waits on Sophia for it" with Undo (leave it); the band reads "Waiting for Sophia — shared just now by Dane."</t>
        </is>
      </c>
      <c r="H466" s="12" t="inlineStr">
        <is>
          <t>Different from 1.0: options from Materials, the Price book, a render or a photo</t>
        </is>
      </c>
      <c r="I466" s="11" t="inlineStr">
        <is>
          <t>Dane</t>
        </is>
      </c>
      <c r="J466" s="15" t="n"/>
      <c r="K466" s="15" t="n"/>
      <c r="L466" s="15" t="n"/>
      <c r="M466" s="16" t="n"/>
      <c r="N466" s="17" t="n"/>
      <c r="O466" s="17" t="n"/>
      <c r="P466" s="15" t="n"/>
    </row>
    <row r="467">
      <c r="A467" s="11" t="n">
        <v>21</v>
      </c>
      <c r="B467" s="11" t="inlineStr">
        <is>
          <t>21.05</t>
        </is>
      </c>
      <c r="C467" s="12" t="inlineStr">
        <is>
          <t>Choices for the client</t>
        </is>
      </c>
      <c r="D467" s="12" t="inlineStr">
        <is>
          <t>Client portal</t>
        </is>
      </c>
      <c r="E467" s="13" t="inlineStr">
        <is>
          <t>Choose on the portal as Sophia</t>
        </is>
      </c>
      <c r="F467" s="14" t="inlineStr">
        <is>
          <t>1. In the private window "Sign out", sign in with 9765 4321 and any six digits
2. Open "Choices", tap Matt white subway tile
3. Type With the grey grout, please in "A note for your designer", press "Confirm Matt white subway tile"</t>
        </is>
      </c>
      <c r="G467" s="14" t="inlineStr">
        <is>
          <t>"Choices" — "One choice waits for you. Pick the one you like, then confirm." The option reads "Adds S$327.00"; the tap rings it: "Matt white subway tile adds S$327.00 (S$300.00 + GST) to your contract. Your designer sends you the change to confirm." Then "Thank you — Demo Studio has your choice: Matt white subway tile" and "You chose Matt white subway tile on …", with "Your note: “With the grey grout, please”".</t>
        </is>
      </c>
      <c r="H467" s="12" t="inlineStr">
        <is>
          <t>Different from 1.0: the client can see, and change, what was picked</t>
        </is>
      </c>
      <c r="I467" s="18" t="inlineStr">
        <is>
          <t>Sophia Wong (client)</t>
        </is>
      </c>
      <c r="J467" s="15" t="n"/>
      <c r="K467" s="15" t="n"/>
      <c r="L467" s="15" t="n"/>
      <c r="M467" s="16" t="n"/>
      <c r="N467" s="17" t="n"/>
      <c r="O467" s="17" t="n"/>
      <c r="P467" s="15" t="n"/>
    </row>
    <row r="468">
      <c r="A468" s="11" t="n">
        <v>21</v>
      </c>
      <c r="B468" s="11" t="inlineStr">
        <is>
          <t>21.06</t>
        </is>
      </c>
      <c r="C468" s="12" t="inlineStr">
        <is>
          <t>Choices for the client</t>
        </is>
      </c>
      <c r="D468" s="12" t="inlineStr">
        <is>
          <t>Projects</t>
        </is>
      </c>
      <c r="E468" s="13" t="inlineStr">
        <is>
          <t>See Sophia’s pick arrive</t>
        </is>
      </c>
      <c r="F468" s="14" t="inlineStr">
        <is>
          <t>1. In your window reload Sophia’s "Design" › "Choices"
2. Open "Money" and read "Needs you"
3. Open "Files &amp; notes" › "Activity"</t>
        </is>
      </c>
      <c r="G468" s="14" t="inlineStr">
        <is>
          <t>The band reads "Sophia chose Matt white subway tile … — With the grey grout, please"; the line "+S$327.00 on the contract (S$300.00 + GST)" offers "Open VO-2" — her pick drafted it. Money’s "Needs you" has "Sophia chose Matt white subway tile" with "Send VO-2". Activity files a small card under the pick’s line: the option’s square, "Kitchen backsplash · Matt white subway tile", the same price line, her note and "Masonry &amp; tiling no longer waits on the client".</t>
        </is>
      </c>
      <c r="H468" s="12" t="inlineStr">
        <is>
          <t>Different from 1.0: a card in Activity, not a PDF receipt</t>
        </is>
      </c>
      <c r="I468" s="11" t="inlineStr">
        <is>
          <t>Dane</t>
        </is>
      </c>
      <c r="J468" s="15" t="n"/>
      <c r="K468" s="15" t="n"/>
      <c r="L468" s="15" t="n"/>
      <c r="M468" s="16" t="n"/>
      <c r="N468" s="17" t="n"/>
      <c r="O468" s="17" t="n"/>
      <c r="P468" s="15" t="n"/>
    </row>
    <row r="469">
      <c r="A469" s="11" t="n">
        <v>21</v>
      </c>
      <c r="B469" s="11" t="inlineStr">
        <is>
          <t>21.07</t>
        </is>
      </c>
      <c r="C469" s="12" t="inlineStr">
        <is>
          <t>Handing over</t>
        </is>
      </c>
      <c r="D469" s="12" t="inlineStr">
        <is>
          <t>Projects</t>
        </is>
      </c>
      <c r="E469" s="13" t="inlineStr">
        <is>
          <t>Try to finish a job early as the designer</t>
        </is>
      </c>
      <c r="F469" s="14" t="inlineStr">
        <is>
          <t>1. "Demo Studio" block › "View as" › "Michelle"
2. Open Ryan D’Souza’s project, press "Stage: In progress" › "Completed"
3. Read the checklist, then press "Cancel"</t>
        </is>
      </c>
      <c r="G469" s="14" t="inlineStr">
        <is>
          <t>"Complete handover" lists Every milestone is done · Ryan has confirmed “Handover &amp; defect check” · Nothing is outstanding on money · No update waits for review · Compliance’s Handover items are done · No ticket waits on the studio. Each open row says why, with "Defer" and a fix in place ("Remind", "Mark “Monitor 12-month defects…” done") or a door (Open the schedule · Open Money · Open Compliance). Michelle’s button reads "Ask an Owner or an Admin" — she cannot complete it.</t>
        </is>
      </c>
      <c r="H469" s="12" t="inlineStr">
        <is>
          <t>Different from 1.0: one ending, drawn from the records</t>
        </is>
      </c>
      <c r="I469" s="18" t="inlineStr">
        <is>
          <t>Michelle</t>
        </is>
      </c>
      <c r="J469" s="15" t="n"/>
      <c r="K469" s="15" t="n"/>
      <c r="L469" s="15" t="n"/>
      <c r="M469" s="16" t="n"/>
      <c r="N469" s="17" t="n"/>
      <c r="O469" s="17" t="n"/>
      <c r="P469" s="15" t="n"/>
    </row>
    <row r="470">
      <c r="A470" s="11" t="n">
        <v>21</v>
      </c>
      <c r="B470" s="11" t="inlineStr">
        <is>
          <t>21.08</t>
        </is>
      </c>
      <c r="C470" s="12" t="inlineStr">
        <is>
          <t>Handing over</t>
        </is>
      </c>
      <c r="D470" s="12" t="inlineStr">
        <is>
          <t>Projects</t>
        </is>
      </c>
      <c r="E470" s="13" t="inlineStr">
        <is>
          <t>Complete it anyway as the owner</t>
        </is>
      </c>
      <c r="F470" s="14" t="inlineStr">
        <is>
          <t>1. "View as" › "Dane"; on Ryan’s project "Stage: In progress" › "Completed"
2. "Why complete it with items open?" Ryan moved in early; defects agreed on site
3. Leave "Tell Ryan it’s handed over" ticked, press "Complete anyway" — a WhatsApp tab opens: close it, do not send
4. Let the message go — do not press its "Undo"</t>
        </is>
      </c>
      <c r="G470" s="14" t="inlineStr">
        <is>
          <t>"Executive Condo — Ryan D’Souza is completed" with Undo. The header reads "Stage: Completed" and a bar under the tabs says "Completed on … by Dane. … items were still open: “Ryan moved in early; defects agreed on site”. Its schedule, choices and agreed money are read-only until you reopen it…" with "Reopen". Under Open projects it is gone.</t>
        </is>
      </c>
      <c r="H470" s="12" t="inlineStr">
        <is>
          <t>Different from 1.0: open items stay on the record</t>
        </is>
      </c>
      <c r="I470" s="11" t="inlineStr">
        <is>
          <t>Dane</t>
        </is>
      </c>
      <c r="J470" s="15" t="n"/>
      <c r="K470" s="15" t="n"/>
      <c r="L470" s="15" t="n"/>
      <c r="M470" s="16" t="n"/>
      <c r="N470" s="17" t="n"/>
      <c r="O470" s="17" t="n"/>
      <c r="P470" s="15" t="n"/>
    </row>
    <row r="471">
      <c r="A471" s="11" t="n">
        <v>21</v>
      </c>
      <c r="B471" s="11" t="inlineStr">
        <is>
          <t>21.09</t>
        </is>
      </c>
      <c r="C471" s="12" t="inlineStr">
        <is>
          <t>Handing over</t>
        </is>
      </c>
      <c r="D471" s="12" t="inlineStr">
        <is>
          <t>Projects</t>
        </is>
      </c>
      <c r="E471" s="13" t="inlineStr">
        <is>
          <t>Check a completed project stays as it was</t>
        </is>
      </c>
      <c r="F471" s="14" t="inlineStr">
        <is>
          <t>1. Open Ryan’s "Schedule" and click a bar
2. Open "Money" and press "New"
3. On the Mid-Project row open ⋮ and read "Change the amount"</t>
        </is>
      </c>
      <c r="G471" s="14" t="inlineStr">
        <is>
          <t>The schedule has no "Add milestone"; the panel reads "This project is completed — reopen it to change its schedule". Money’s "New" has no "Bill Ryan" group (no "Variation order"), only Costs; "Change the amount" is greyed: "This project is completed — reopen it to change its money".</t>
        </is>
      </c>
      <c r="H471" s="12" t="inlineStr">
        <is>
          <t>Different from 1.0: closed means closed, except money owed</t>
        </is>
      </c>
      <c r="I471" s="11" t="inlineStr">
        <is>
          <t>Dane</t>
        </is>
      </c>
      <c r="J471" s="15" t="n"/>
      <c r="K471" s="15" t="n"/>
      <c r="L471" s="15" t="n"/>
      <c r="M471" s="16" t="n"/>
      <c r="N471" s="17" t="n"/>
      <c r="O471" s="17" t="n"/>
      <c r="P471" s="15" t="n"/>
    </row>
    <row r="472">
      <c r="A472" s="11" t="n">
        <v>21</v>
      </c>
      <c r="B472" s="11" t="inlineStr">
        <is>
          <t>21.10</t>
        </is>
      </c>
      <c r="C472" s="12" t="inlineStr">
        <is>
          <t>Handing over</t>
        </is>
      </c>
      <c r="D472" s="12" t="inlineStr">
        <is>
          <t>Projects</t>
        </is>
      </c>
      <c r="E472" s="13" t="inlineStr">
        <is>
          <t>Reopen the project</t>
        </is>
      </c>
      <c r="F472" s="14" t="inlineStr">
        <is>
          <t>1. In the bar press "Reopen"
2. "Why is it reopened?" The plumber is back for the pressure test · press "Reopen"
3. Open "Files &amp; notes" › "Activity"</t>
        </is>
      </c>
      <c r="G472" s="14" t="inlineStr">
        <is>
          <t>The window "Reopen project" says "It goes back to In progress; its schedule, choices and money open again. The reason stays in Activity." Then "Executive Condo — Ryan D’Souza is in progress again"; Activity keeps both lines, with their reasons.</t>
        </is>
      </c>
      <c r="H472" s="12" t="inlineStr">
        <is>
          <t>Different from 1.0: a project can come back</t>
        </is>
      </c>
      <c r="I472" s="11" t="inlineStr">
        <is>
          <t>Dane</t>
        </is>
      </c>
      <c r="J472" s="15" t="n"/>
      <c r="K472" s="15" t="n"/>
      <c r="L472" s="15" t="n"/>
      <c r="M472" s="16" t="n"/>
      <c r="N472" s="17" t="n"/>
      <c r="O472" s="17" t="n"/>
      <c r="P472" s="15" t="n"/>
    </row>
    <row r="473">
      <c r="A473" s="11" t="n">
        <v>21</v>
      </c>
      <c r="B473" s="11" t="inlineStr">
        <is>
          <t>21.11</t>
        </is>
      </c>
      <c r="C473" s="12" t="inlineStr">
        <is>
          <t>Handing over</t>
        </is>
      </c>
      <c r="D473" s="12" t="inlineStr">
        <is>
          <t>Settings</t>
        </is>
      </c>
      <c r="E473" s="13" t="inlineStr">
        <is>
          <t>Ask for an owner’s review of every handover</t>
        </is>
      </c>
      <c r="F473" s="14" t="inlineStr">
        <is>
          <t>1. "Settings" › "Projects" › "What waits for an Owner or an Admin": switch "Handover needs an owner’s review" on
2. "Projects" › the "Open projects" pill › "Completed" › "BTO 4-Room — Shalini Menon"
3. In the bar press "Reopen", reason Re-check before the warranty starts, press "Reopen"</t>
        </is>
      </c>
      <c r="G473" s="14" t="inlineStr">
        <is>
          <t>"A Designer’s or a Manager’s handover now waits for an Owner or an Admin" (leave its Undo); the Stages and handover card only points to that switch. Shalini’s project ("Completed on … by Sarah") goes back to In progress; with every milestone done, its filled button reads "Complete handover".</t>
        </is>
      </c>
      <c r="H473" s="12" t="inlineStr">
        <is>
          <t>Different from 1.0: the owner’s review is a setting</t>
        </is>
      </c>
      <c r="I473" s="11" t="inlineStr">
        <is>
          <t>Dane</t>
        </is>
      </c>
      <c r="J473" s="15" t="n"/>
      <c r="K473" s="15" t="n"/>
      <c r="L473" s="15" t="n"/>
      <c r="M473" s="16" t="n"/>
      <c r="N473" s="17" t="n"/>
      <c r="O473" s="17" t="n"/>
      <c r="P473" s="15" t="n"/>
    </row>
    <row r="474">
      <c r="A474" s="11" t="n">
        <v>21</v>
      </c>
      <c r="B474" s="11" t="inlineStr">
        <is>
          <t>21.12</t>
        </is>
      </c>
      <c r="C474" s="12" t="inlineStr">
        <is>
          <t>Handing over</t>
        </is>
      </c>
      <c r="D474" s="12" t="inlineStr">
        <is>
          <t>Projects</t>
        </is>
      </c>
      <c r="E474" s="13" t="inlineStr">
        <is>
          <t>Ask for the handover as her designer</t>
        </is>
      </c>
      <c r="F474" s="14" t="inlineStr">
        <is>
          <t>1. "View as" › "Sarah"
2. On Shalini’s project press "Complete handover"
3. Read the checklist, press "Ask for review"</t>
        </is>
      </c>
      <c r="G474" s="14" t="inlineStr">
        <is>
          <t>Every row is ticked — "Compliance’s Handover items are done" and "No ticket waits on the studio" too; the window says an Owner or an Admin reviews it first, and its button reads "Ask for review". "Handover sent for review — an Owner or an Admin approves it"; a bar on every tab reads "You asked to complete the handover…" with "Waiting for an Owner or an Admin" and "Take it back".</t>
        </is>
      </c>
      <c r="H474" s="12" t="inlineStr">
        <is>
          <t>New in 2.0</t>
        </is>
      </c>
      <c r="I474" s="18" t="inlineStr">
        <is>
          <t>Sarah</t>
        </is>
      </c>
      <c r="J474" s="15" t="n"/>
      <c r="K474" s="15" t="n"/>
      <c r="L474" s="15" t="n"/>
      <c r="M474" s="16" t="n"/>
      <c r="N474" s="17" t="n"/>
      <c r="O474" s="17" t="n"/>
      <c r="P474" s="15" t="n"/>
    </row>
    <row r="475">
      <c r="A475" s="11" t="n">
        <v>21</v>
      </c>
      <c r="B475" s="11" t="inlineStr">
        <is>
          <t>21.13</t>
        </is>
      </c>
      <c r="C475" s="12" t="inlineStr">
        <is>
          <t>Handing over</t>
        </is>
      </c>
      <c r="D475" s="12" t="inlineStr">
        <is>
          <t>Projects</t>
        </is>
      </c>
      <c r="E475" s="13" t="inlineStr">
        <is>
          <t>Send the handover back</t>
        </is>
      </c>
      <c r="F475" s="14" t="inlineStr">
        <is>
          <t>1. "View as" › "Dane"; open Shalini’s project
2. In the bar press "Send back"
3. "What does the handover still need?" Add the warranty card to Files · press "Send back"</t>
        </is>
      </c>
      <c r="G475" s="14" t="inlineStr">
        <is>
          <t>Dane’s bar shows "Send back" and "Review", and his filled button reads "Review the handover". "Handover sent back"; the bar now reads "Handover sent back by Dane … — “Add the warranty card to Files”." (Sarah’s own bar adds "Ask again when it’s ready.")</t>
        </is>
      </c>
      <c r="H475" s="12" t="inlineStr">
        <is>
          <t>New in 2.0</t>
        </is>
      </c>
      <c r="I475" s="11" t="inlineStr">
        <is>
          <t>Dane</t>
        </is>
      </c>
      <c r="J475" s="15" t="n"/>
      <c r="K475" s="15" t="n"/>
      <c r="L475" s="15" t="n"/>
      <c r="M475" s="16" t="n"/>
      <c r="N475" s="17" t="n"/>
      <c r="O475" s="17" t="n"/>
      <c r="P475" s="15" t="n"/>
    </row>
    <row r="476">
      <c r="A476" s="11" t="n">
        <v>21</v>
      </c>
      <c r="B476" s="11" t="inlineStr">
        <is>
          <t>21.14</t>
        </is>
      </c>
      <c r="C476" s="12" t="inlineStr">
        <is>
          <t>Handing over</t>
        </is>
      </c>
      <c r="D476" s="12" t="inlineStr">
        <is>
          <t>Projects</t>
        </is>
      </c>
      <c r="E476" s="13" t="inlineStr">
        <is>
          <t>Approve the handover</t>
        </is>
      </c>
      <c r="F476" s="14" t="inlineStr">
        <is>
          <t>1. "View as" › "Sarah"; press "Complete handover", then "Ask for review"
2. "View as" › "Dane"; press "Review the handover", untick "Tell Shalini it’s handed over", press "Approve" (leave the message’s Undo)
3. "Settings" › "Projects" › "What waits for an Owner or an Admin": switch "Handover needs an owner’s review" off</t>
        </is>
      </c>
      <c r="G476" s="14" t="inlineStr">
        <is>
          <t>The review window is titled "Review the handover" with Send back · Cancel · Approve. "BTO 4-Room — Shalini Menon is completed" with Undo; the header reads "Stage: Completed" again. The switch answers "The project’s team now completes its own handover".</t>
        </is>
      </c>
      <c r="H476" s="12" t="inlineStr">
        <is>
          <t>New in 2.0</t>
        </is>
      </c>
      <c r="I476" s="11" t="inlineStr">
        <is>
          <t>Dane</t>
        </is>
      </c>
      <c r="J476" s="15" t="n"/>
      <c r="K476" s="15" t="n"/>
      <c r="L476" s="15" t="n"/>
      <c r="M476" s="16" t="n"/>
      <c r="N476" s="17" t="n"/>
      <c r="O476" s="17" t="n"/>
      <c r="P476" s="15" t="n"/>
    </row>
    <row r="477">
      <c r="A477" s="11" t="n">
        <v>21</v>
      </c>
      <c r="B477" s="11" t="inlineStr">
        <is>
          <t>21.15</t>
        </is>
      </c>
      <c r="C477" s="12" t="inlineStr">
        <is>
          <t>Removing a project</t>
        </is>
      </c>
      <c r="D477" s="12" t="inlineStr">
        <is>
          <t>Leads</t>
        </is>
      </c>
      <c r="E477" s="13" t="inlineStr">
        <is>
          <t>Try to delete a lead that has a project</t>
        </is>
      </c>
      <c r="F477" s="14" t="inlineStr">
        <is>
          <t>1. Open "Leads"; on Sophia Wong’s row open ⋮
2. Read "Delete"
3. Press "Open project"</t>
        </is>
      </c>
      <c r="G477" s="14" t="inlineStr">
        <is>
          <t>"Delete" is greyed and says "Has project P-2026-… — delete the project first"; above it "Open project" (P-2026-…) opens her project. Her lead stays.</t>
        </is>
      </c>
      <c r="H477" s="12" t="inlineStr">
        <is>
          <t>Different from 1.0: the lead keeps its project safe</t>
        </is>
      </c>
      <c r="I477" s="11" t="inlineStr">
        <is>
          <t>Dane</t>
        </is>
      </c>
      <c r="J477" s="15" t="n"/>
      <c r="K477" s="15" t="n"/>
      <c r="L477" s="15" t="n"/>
      <c r="M477" s="16" t="n"/>
      <c r="N477" s="17" t="n"/>
      <c r="O477" s="17" t="n"/>
      <c r="P477" s="15" t="n"/>
    </row>
    <row r="478">
      <c r="A478" s="11" t="n">
        <v>21</v>
      </c>
      <c r="B478" s="11" t="inlineStr">
        <is>
          <t>21.16</t>
        </is>
      </c>
      <c r="C478" s="12" t="inlineStr">
        <is>
          <t>Removing a project</t>
        </is>
      </c>
      <c r="D478" s="12" t="inlineStr">
        <is>
          <t>Projects</t>
        </is>
      </c>
      <c r="E478" s="13" t="inlineStr">
        <is>
          <t>Try to delete a project with money on it</t>
        </is>
      </c>
      <c r="F478" s="14" t="inlineStr">
        <is>
          <t>1. On Benjamin Han’s project open ⋮ › "Delete"
2. Read the window</t>
        </is>
      </c>
      <c r="G478" s="14" t="inlineStr">
        <is>
          <t>"This project can’t be deleted" (HDB 5-Room — Benjamin Han · Current stage: In progress) reads "HDB 5-Room — Benjamin Han can’t be deleted. Three payments are recorded on this project."; it offers "Close" and "Open Money", no Delete.</t>
        </is>
      </c>
      <c r="H478" s="12" t="inlineStr">
        <is>
          <t>Different from 1.0: money comes first</t>
        </is>
      </c>
      <c r="I478" s="11" t="inlineStr">
        <is>
          <t>Dane</t>
        </is>
      </c>
      <c r="J478" s="15" t="n"/>
      <c r="K478" s="15" t="n"/>
      <c r="L478" s="15" t="n"/>
      <c r="M478" s="16" t="n"/>
      <c r="N478" s="17" t="n"/>
      <c r="O478" s="17" t="n"/>
      <c r="P478" s="15" t="n"/>
    </row>
    <row r="479">
      <c r="A479" s="11" t="n">
        <v>21</v>
      </c>
      <c r="B479" s="11" t="inlineStr">
        <is>
          <t>21.17</t>
        </is>
      </c>
      <c r="C479" s="12" t="inlineStr">
        <is>
          <t>Removing a project</t>
        </is>
      </c>
      <c r="D479" s="12" t="inlineStr">
        <is>
          <t>Projects</t>
        </is>
      </c>
      <c r="E479" s="13" t="inlineStr">
        <is>
          <t>Delete a project and undo it</t>
        </is>
      </c>
      <c r="F479" s="14" t="inlineStr">
        <is>
          <t>1. Open Daniel Koh’s project (chapter 17) › ⋮ › "Delete"
2. Read the window, press "Delete"
3. Press "Undo"</t>
        </is>
      </c>
      <c r="G479" s="14" t="inlineStr">
        <is>
          <t>"Delete this project?" says "Condo 3-bedder — Daniel Koh moves to Deleted Projects, where an Owner or an Admin can restore it. Daniel Koh’s details go with it." Then "Condo 3-bedder — Daniel Koh deleted" with Undo, and the page goes back to Projects; Undo answers "Condo 3-bedder — Daniel Koh restored".</t>
        </is>
      </c>
      <c r="H479" s="12" t="inlineStr">
        <is>
          <t>Different from 1.0: one soft delete, with Undo</t>
        </is>
      </c>
      <c r="I479" s="11" t="inlineStr">
        <is>
          <t>Dane</t>
        </is>
      </c>
      <c r="J479" s="15" t="n"/>
      <c r="K479" s="15" t="n"/>
      <c r="L479" s="15" t="n"/>
      <c r="M479" s="16" t="n"/>
      <c r="N479" s="17" t="n"/>
      <c r="O479" s="17" t="n"/>
      <c r="P479" s="15" t="n"/>
    </row>
    <row r="480">
      <c r="A480" s="11" t="n">
        <v>21</v>
      </c>
      <c r="B480" s="11" t="inlineStr">
        <is>
          <t>21.18</t>
        </is>
      </c>
      <c r="C480" s="12" t="inlineStr">
        <is>
          <t>Removing a project</t>
        </is>
      </c>
      <c r="D480" s="12" t="inlineStr">
        <is>
          <t>Projects</t>
        </is>
      </c>
      <c r="E480" s="13" t="inlineStr">
        <is>
          <t>Delete Sophia’s project and bring it back</t>
        </is>
      </c>
      <c r="F480" s="14" t="inlineStr">
        <is>
          <t>1. On Sophia’s project ⋮ › "Delete", read the window, press "Delete" (leave the Undo)
2. Open her lead and point at the filled button
3. "Projects" › ⋮ › "Deleted Projects"; on her row press "Restore", close the sheet</t>
        </is>
      </c>
      <c r="G480" s="14" t="inlineStr">
        <is>
          <t>The window says her lead stays Won and its page offers Make the project again. Her lead’s button reads "Make the project again" ("P-2026-… is in Deleted Projects") — do not press it. "Deleted Projects" lists Project · Client · Stage · Deleted · Deleted by, with Tan Wei Ling’s project and hers; "Project restored" and "Open project" is back on her lead.</t>
        </is>
      </c>
      <c r="H480" s="12" t="inlineStr">
        <is>
          <t>Different from 1.0: Restore instead of Archive</t>
        </is>
      </c>
      <c r="I480" s="11" t="inlineStr">
        <is>
          <t>Dane</t>
        </is>
      </c>
      <c r="J480" s="15" t="n"/>
      <c r="K480" s="15" t="n"/>
      <c r="L480" s="15" t="n"/>
      <c r="M480" s="16" t="n"/>
      <c r="N480" s="17" t="n"/>
      <c r="O480" s="17" t="n"/>
      <c r="P480" s="15" t="n"/>
    </row>
    <row r="481">
      <c r="A481" s="11" t="n">
        <v>21</v>
      </c>
      <c r="B481" s="11" t="inlineStr">
        <is>
          <t>21.19</t>
        </is>
      </c>
      <c r="C481" s="12" t="inlineStr">
        <is>
          <t>The studio’s rules</t>
        </is>
      </c>
      <c r="D481" s="12" t="inlineStr">
        <is>
          <t>Settings</t>
        </is>
      </c>
      <c r="E481" s="13" t="inlineStr">
        <is>
          <t>Read the projects’ settings</t>
        </is>
      </c>
      <c r="F481" s="14" t="inlineStr">
        <is>
          <t>1. "Settings" › "Projects"
2. Read the two lines under the title, then the cards from top to bottom</t>
        </is>
      </c>
      <c r="G481" s="14" t="inlineStr">
        <is>
          <t>The lines point to "Roles &amp; access › Who sees leads" and to "Finance" for invoices and payments. Cards: What waits for an Owner or an Admin ("Updates need review before the client sees them" and "Invoices need approval before they’re sent" on, … "Handover needs an owner’s review") · Project numbers ("Next project: P-2026-…") · Stages and handover · Schedule · Ticket categories · Workload · Compliance.</t>
        </is>
      </c>
      <c r="H481" s="12" t="inlineStr">
        <is>
          <t>Different from 1.0: one module instead of scattered screens</t>
        </is>
      </c>
      <c r="I481" s="11" t="inlineStr">
        <is>
          <t>Dane</t>
        </is>
      </c>
      <c r="J481" s="15" t="n"/>
      <c r="K481" s="15" t="n"/>
      <c r="L481" s="15" t="n"/>
      <c r="M481" s="16" t="n"/>
      <c r="N481" s="17" t="n"/>
      <c r="O481" s="17" t="n"/>
      <c r="P481" s="15" t="n"/>
    </row>
    <row r="482">
      <c r="A482" s="11" t="n">
        <v>21</v>
      </c>
      <c r="B482" s="11" t="inlineStr">
        <is>
          <t>21.20</t>
        </is>
      </c>
      <c r="C482" s="12" t="inlineStr">
        <is>
          <t>The studio’s rules</t>
        </is>
      </c>
      <c r="D482" s="12" t="inlineStr">
        <is>
          <t>Settings</t>
        </is>
      </c>
      <c r="E482" s="13" t="inlineStr">
        <is>
          <t>See who may do what on a project</t>
        </is>
      </c>
      <c r="F482" s="14" t="inlineStr">
        <is>
          <t>1. "View as" › "Sarah"; "Settings" › "Projects"
2. "View as" › "Dane"; "Settings" › "Roles &amp; access" › "Who may do what"
3. Read the "Projects" group</t>
        </is>
      </c>
      <c r="G482" s="14" t="inlineStr">
        <is>
          <t>Sarah reads "Only Owners and Admins change these." and every switch is greyed. Under Projects: "Post an update to the client" (Designer: "Submits for approval — their own"; "Set under Projects › What waits for an Owner or an Admin"), "Complete a handover with checklist items still open" (Designer: Submits for approval — their own), "Reopen a completed project" and "Delete, restore or delete forever a project" (ticks for Owner and Admin only).</t>
        </is>
      </c>
      <c r="H482" s="12" t="inlineStr">
        <is>
          <t>Different from 1.0: every rule written down</t>
        </is>
      </c>
      <c r="I482" s="18" t="inlineStr">
        <is>
          <t>Sarah</t>
        </is>
      </c>
      <c r="J482" s="15" t="n"/>
      <c r="K482" s="15" t="n"/>
      <c r="L482" s="15" t="n"/>
      <c r="M482" s="16" t="n"/>
      <c r="N482" s="17" t="n"/>
      <c r="O482" s="17" t="n"/>
      <c r="P482" s="15" t="n"/>
    </row>
    <row r="483" ht="22" customHeight="1">
      <c r="A483" s="9" t="inlineStr">
        <is>
          <t>Chapter 22 · Meetings — A meeting held moves its lead the way the studio’s rule allows; a live meeting with the co-pilot, from the client’s consent to the brief, saved to the lead and shared; an invitation the client answers.</t>
        </is>
      </c>
      <c r="M483" s="10" t="n"/>
    </row>
    <row r="484">
      <c r="A484" s="11" t="n">
        <v>22</v>
      </c>
      <c r="B484" s="11" t="inlineStr">
        <is>
          <t>22.01</t>
        </is>
      </c>
      <c r="C484" s="12" t="inlineStr">
        <is>
          <t>A meeting that moves its lead</t>
        </is>
      </c>
      <c r="D484" s="12" t="inlineStr">
        <is>
          <t>Meetings</t>
        </is>
      </c>
      <c r="E484" s="13" t="inlineStr">
        <is>
          <t>Open Kelvin Goh’s first consultation and read what it offers</t>
        </is>
      </c>
      <c r="F484" s="14" t="inlineStr">
        <is>
          <t>1. Open Kelvin Goh (a New lead, Germaine’s) › "Meetings"
2. On the "First consultation" row press "Open"
3. Read the header and the banner under it</t>
        </is>
      </c>
      <c r="G484" s="14" t="inlineStr">
        <is>
          <t>The row reads Held with "Brief to save". The page "First consultation with Kelvin" (chips Held · the day · In person) offers "Save to the lead" and "Share the notes". The banner reads "Kelvin’s lead is still New" — "Moving it to Contacted logs this meeting as the first contact — Met comes next." — with "Move to Contacted". Nowhere does it offer Move to Met.</t>
        </is>
      </c>
      <c r="H484" s="12" t="inlineStr">
        <is>
          <t>New in 2.0</t>
        </is>
      </c>
      <c r="I484" s="11" t="inlineStr">
        <is>
          <t>Dane</t>
        </is>
      </c>
      <c r="J484" s="15" t="n"/>
      <c r="K484" s="15" t="n"/>
      <c r="L484" s="15" t="n"/>
      <c r="M484" s="16" t="n"/>
      <c r="N484" s="17" t="n"/>
      <c r="O484" s="17" t="n"/>
      <c r="P484" s="15" t="n"/>
    </row>
    <row r="485">
      <c r="A485" s="11" t="n">
        <v>22</v>
      </c>
      <c r="B485" s="11" t="inlineStr">
        <is>
          <t>22.02</t>
        </is>
      </c>
      <c r="C485" s="12" t="inlineStr">
        <is>
          <t>A meeting that moves its lead</t>
        </is>
      </c>
      <c r="D485" s="12" t="inlineStr">
        <is>
          <t>Meetings</t>
        </is>
      </c>
      <c r="E485" s="13" t="inlineStr">
        <is>
          <t>Move Kelvin to Contacted, with his meeting as the first contact</t>
        </is>
      </c>
      <c r="F485" s="14" t="inlineStr">
        <is>
          <t>1. Press "Move to Contacted" and read Log 1
2. Beside "Attach photos from the visit" press "Attach", drop uat-files/kitchen-moodboard.jpg in, press "Attach 1 File"
3. Press "Save", then "Move without tasks" in "Suggested tasks"</t>
        </is>
      </c>
      <c r="G485" s="14" t="inlineStr">
        <is>
          <t>Kelvin’s page opens with the Move stage window at Contacted; Log 1 is already filled from the meeting (In person, its day and time) — nothing to retype but the photo. The photo shows under the Attach row. Then "Moved to Contacted", and the header’s filled button reads "Move to Met".</t>
        </is>
      </c>
      <c r="H485" s="12" t="inlineStr">
        <is>
          <t>New in 2.0</t>
        </is>
      </c>
      <c r="I485" s="11" t="inlineStr">
        <is>
          <t>Dane</t>
        </is>
      </c>
      <c r="J485" s="15" t="n"/>
      <c r="K485" s="15" t="n"/>
      <c r="L485" s="15" t="n"/>
      <c r="M485" s="16" t="n"/>
      <c r="N485" s="17" t="n"/>
      <c r="O485" s="17" t="n"/>
      <c r="P485" s="15" t="n"/>
    </row>
    <row r="486">
      <c r="A486" s="11" t="n">
        <v>22</v>
      </c>
      <c r="B486" s="11" t="inlineStr">
        <is>
          <t>22.03</t>
        </is>
      </c>
      <c r="C486" s="12" t="inlineStr">
        <is>
          <t>A meeting that moves its lead</t>
        </is>
      </c>
      <c r="D486" s="12" t="inlineStr">
        <is>
          <t>Meetings</t>
        </is>
      </c>
      <c r="E486" s="13" t="inlineStr">
        <is>
          <t>Move Kelvin to Met — the meeting becomes the Met log</t>
        </is>
      </c>
      <c r="F486" s="14" t="inlineStr">
        <is>
          <t>1. Press "Move to Met" in the header
2. Read Log 1 in the window, then press "Save"
3. Open "Meetings" › the consultation again</t>
        </is>
      </c>
      <c r="G486" s="14" t="inlineStr">
        <is>
          <t>The Met step opens with Log 1 already holding the meeting — where, when and its summary; you type nothing twice. "Moved to Met". The meeting’s page no longer shows a banner: it is Kelvin’s Met log now, not a second record.</t>
        </is>
      </c>
      <c r="H486" s="12" t="inlineStr">
        <is>
          <t>Different from 1.0: a held meeting is the Met log</t>
        </is>
      </c>
      <c r="I486" s="11" t="inlineStr">
        <is>
          <t>Dane</t>
        </is>
      </c>
      <c r="J486" s="15" t="n"/>
      <c r="K486" s="15" t="n"/>
      <c r="L486" s="15" t="n"/>
      <c r="M486" s="16" t="n"/>
      <c r="N486" s="17" t="n"/>
      <c r="O486" s="17" t="n"/>
      <c r="P486" s="15" t="n"/>
    </row>
    <row r="487">
      <c r="A487" s="11" t="n">
        <v>22</v>
      </c>
      <c r="B487" s="11" t="inlineStr">
        <is>
          <t>22.04</t>
        </is>
      </c>
      <c r="C487" s="12" t="inlineStr">
        <is>
          <t>A meeting with the co-pilot</t>
        </is>
      </c>
      <c r="D487" s="12" t="inlineStr">
        <is>
          <t>Meetings</t>
        </is>
      </c>
      <c r="E487" s="13" t="inlineStr">
        <is>
          <t>Start a meeting with Gavin See — but tell him first</t>
        </is>
      </c>
      <c r="F487" s="14" t="inlineStr">
        <is>
          <t>1. Open Gavin See › "Meetings", press "Start a meeting now"
2. Read "Before the meeting" and "Get ready"
3. Press "Start the meeting" without ticking anything
4. Tick "I’ve told Gavin about the co-pilot", press "Start the meeting"</t>
        </is>
      </c>
      <c r="G487" s="14" t="inlineStr">
        <is>
          <t>Empty first: "Meet with the co-pilot beside you". Then "First consultation with Gavin", chip "Now"; Get ready shows the words to read to Gavin and "The co-pilot uses 25 AI credits for each 10 minutes, and asks before each next 10." Without the tick: "Tell Gavin about the co-pilot first — tick it in Get ready" and the red line "Tick it once Gavin knows — the co-pilot starts after." Then "The co-pilot is on · 25 AI credits for the first 10 minutes", chip "Live · 0 min".</t>
        </is>
      </c>
      <c r="H487" s="12" t="inlineStr">
        <is>
          <t>Different from 1.0: no Start until the client is told</t>
        </is>
      </c>
      <c r="I487" s="11" t="inlineStr">
        <is>
          <t>Dane</t>
        </is>
      </c>
      <c r="J487" s="15" t="n"/>
      <c r="K487" s="15" t="n"/>
      <c r="L487" s="15" t="n"/>
      <c r="M487" s="16" t="n"/>
      <c r="N487" s="17" t="n"/>
      <c r="O487" s="17" t="n"/>
      <c r="P487" s="15" t="n"/>
    </row>
    <row r="488">
      <c r="A488" s="11" t="n">
        <v>22</v>
      </c>
      <c r="B488" s="11" t="inlineStr">
        <is>
          <t>22.05</t>
        </is>
      </c>
      <c r="C488" s="12" t="inlineStr">
        <is>
          <t>A meeting with the co-pilot</t>
        </is>
      </c>
      <c r="D488" s="12" t="inlineStr">
        <is>
          <t>Meetings</t>
        </is>
      </c>
      <c r="E488" s="13" t="inlineStr">
        <is>
          <t>Type what Gavin says and watch the tips arrive</t>
        </is>
      </c>
      <c r="F488" s="14" t="inlineStr">
        <is>
          <t>1. In "What’s being said" press "Client:" and type: Our budget is around 150k for new kitchen cabinets and two bathrooms.
2. Press "Client:" again and type: That is more than we expected, we are getting other quotes too.
3. Read the cards on the right
4. If "10 minutes in — keep the co-pilot on?" shows, press "Wrap up"</t>
        </is>
      </c>
      <c r="G488" s="14" t="inlineStr">
        <is>
          <t>A grey line says listening isn’t connected in this prototype — you type or paste what’s said. "Tips as you talk" shows "Price pushback — pivot now" and "Another studio is in play", each quoting "They said: …" (and your studio’s answer where it has one). "Meeting checklist" ticks itself; "Deal score" and "Rough estimate" (a S$ range, never a quote) appear.</t>
        </is>
      </c>
      <c r="H488" s="12" t="inlineStr">
        <is>
          <t>Different from 1.0: you type or paste; tips come by rule</t>
        </is>
      </c>
      <c r="I488" s="11" t="inlineStr">
        <is>
          <t>Dane</t>
        </is>
      </c>
      <c r="J488" s="15" t="n"/>
      <c r="K488" s="15" t="n"/>
      <c r="L488" s="15" t="n"/>
      <c r="M488" s="16" t="n"/>
      <c r="N488" s="17" t="n"/>
      <c r="O488" s="17" t="n"/>
      <c r="P488" s="15" t="n"/>
    </row>
    <row r="489">
      <c r="A489" s="11" t="n">
        <v>22</v>
      </c>
      <c r="B489" s="11" t="inlineStr">
        <is>
          <t>22.06</t>
        </is>
      </c>
      <c r="C489" s="12" t="inlineStr">
        <is>
          <t>A meeting with the co-pilot</t>
        </is>
      </c>
      <c r="D489" s="12" t="inlineStr">
        <is>
          <t>Meetings</t>
        </is>
      </c>
      <c r="E489" s="13" t="inlineStr">
        <is>
          <t>End the meeting and read the brief</t>
        </is>
      </c>
      <c r="F489" s="14" t="inlineStr">
        <is>
          <t>1. Press "End the meeting", then "End the meeting" in the question
2. Read the brief, both columns, top to bottom
3. Do not press "Move to Met" yet</t>
        </is>
      </c>
      <c r="G489" s="14" t="inlineStr">
        <is>
          <t>"End the meeting?" says the brief is made from what was said. Then "Meeting held — the brief is ready · Co-pilot … min · 25 AI credits" with "Move to Met". The brief: Summary, Next steps, "Message to send" ("Send on WhatsApp" · "Copy"), What we heard, "Concerns they raised · 2", The notes; on the right "On the lead" ("Not saved to the lead yet"), Deal score, Rough estimate ("Make a draft quote"), The meeting ("With the co-pilot · … min"). A banner: "This meeting isn’t in Gavin’s Met step yet".</t>
        </is>
      </c>
      <c r="H489" s="12" t="inlineStr">
        <is>
          <t>Different from 1.0: no outcome to pick when it ends</t>
        </is>
      </c>
      <c r="I489" s="11" t="inlineStr">
        <is>
          <t>Dane</t>
        </is>
      </c>
      <c r="J489" s="15" t="n"/>
      <c r="K489" s="15" t="n"/>
      <c r="L489" s="15" t="n"/>
      <c r="M489" s="16" t="n"/>
      <c r="N489" s="17" t="n"/>
      <c r="O489" s="17" t="n"/>
      <c r="P489" s="15" t="n"/>
    </row>
    <row r="490">
      <c r="A490" s="11" t="n">
        <v>22</v>
      </c>
      <c r="B490" s="11" t="inlineStr">
        <is>
          <t>22.07</t>
        </is>
      </c>
      <c r="C490" s="12" t="inlineStr">
        <is>
          <t>A meeting with the co-pilot</t>
        </is>
      </c>
      <c r="D490" s="12" t="inlineStr">
        <is>
          <t>Meetings</t>
        </is>
      </c>
      <c r="E490" s="13" t="inlineStr">
        <is>
          <t>Save what Gavin said to his lead, then undo it</t>
        </is>
      </c>
      <c r="F490" s="14" t="inlineStr">
        <is>
          <t>1. Press "Save to the lead" in the header
2. Read the ticks, then press "Save to the lead"
3. Press "Undo" in the message</t>
        </is>
      </c>
      <c r="G490" s="14" t="inlineStr">
        <is>
          <t>"Save to the lead" — "What the meeting heard, onto Gavin’s lead — nothing is written until you save": "Budget: S$ 84,000 → S$ 150,000" and "Add a follow-up task — …" are ticked. Then "Saved to Gavin’s lead — 1 detail and 1 task" with Undo; Undo answers "The lead is back as it was".</t>
        </is>
      </c>
      <c r="H490" s="12" t="inlineStr">
        <is>
          <t>Different from 1.0: each change is shown first, with Undo</t>
        </is>
      </c>
      <c r="I490" s="11" t="inlineStr">
        <is>
          <t>Dane</t>
        </is>
      </c>
      <c r="J490" s="15" t="n"/>
      <c r="K490" s="15" t="n"/>
      <c r="L490" s="15" t="n"/>
      <c r="M490" s="16" t="n"/>
      <c r="N490" s="17" t="n"/>
      <c r="O490" s="17" t="n"/>
      <c r="P490" s="15" t="n"/>
    </row>
    <row r="491">
      <c r="A491" s="11" t="n">
        <v>22</v>
      </c>
      <c r="B491" s="11" t="inlineStr">
        <is>
          <t>22.08</t>
        </is>
      </c>
      <c r="C491" s="12" t="inlineStr">
        <is>
          <t>Share the notes</t>
        </is>
      </c>
      <c r="D491" s="12" t="inlineStr">
        <is>
          <t>Meetings</t>
        </is>
      </c>
      <c r="E491" s="13" t="inlineStr">
        <is>
          <t>Share the notes with Gavin, then stop sharing</t>
        </is>
      </c>
      <c r="F491" s="14" t="inlineStr">
        <is>
          <t>1. Press "Share the notes", then "Copy link" (not WhatsApp)
2. Paste the link into a private window and read the page
3. Back in the studio, on "On the lead" press "Stop"
4. Reload the private window</t>
        </is>
      </c>
      <c r="G491" s="14" t="inlineStr">
        <is>
          <t>"Share the notes" says Gavin reads the summary and what you’ll do next — "never the score, the concerns or your notes". "Notes link copied — they’re shared". The client page: "Notes from our meeting · …" with "What’s next" — no score, no concerns. "On the lead" reads "Shared with Gavin …". Stop answers "The notes are no longer shared — Gavin’s link shows the meeting only" with Undo; the private window now reads "Thank you for meeting us on …".</t>
        </is>
      </c>
      <c r="H491" s="12" t="inlineStr">
        <is>
          <t>Different from 1.0: one link you can stop; 1.0’s lasted 24 hours</t>
        </is>
      </c>
      <c r="I491" s="11" t="inlineStr">
        <is>
          <t>Dane</t>
        </is>
      </c>
      <c r="J491" s="15" t="n"/>
      <c r="K491" s="15" t="n"/>
      <c r="L491" s="15" t="n"/>
      <c r="M491" s="16" t="n"/>
      <c r="N491" s="17" t="n"/>
      <c r="O491" s="17" t="n"/>
      <c r="P491" s="15" t="n"/>
    </row>
    <row r="492">
      <c r="A492" s="11" t="n">
        <v>22</v>
      </c>
      <c r="B492" s="11" t="inlineStr">
        <is>
          <t>22.09</t>
        </is>
      </c>
      <c r="C492" s="12" t="inlineStr">
        <is>
          <t>Invite the client</t>
        </is>
      </c>
      <c r="D492" s="12" t="inlineStr">
        <is>
          <t>Meetings</t>
        </is>
      </c>
      <c r="E492" s="13" t="inlineStr">
        <is>
          <t>Send Jonathan Teo his invitation, and answer it as him</t>
        </is>
      </c>
      <c r="F492" s="14" t="inlineStr">
        <is>
          <t>1. Open Jonathan Teo › "Meetings"; on "First consultation" open ⋮ ("More actions for …") › "Send the invitation"
2. Read the window, press "Copy link" (not "Send on WhatsApp")
3. Paste it into a private window, then press "I’ll be there"</t>
        </is>
      </c>
      <c r="G492" s="14" t="inlineStr">
        <is>
          <t>The row reads Upcoming. "Send the invitation": "Jonathan gets the day and the place, a calendar invite, and a way to say if the time doesn’t suit." — then "Invitation link copied". The client page: "Meeting invitation", "Your first consultation with Demo Studio", the day, "Add to calendar", "Can you make it?" with "I’ll be there" · "The time doesn’t suit". After the press: "You told Demo Studio you’ll be there · Change".</t>
        </is>
      </c>
      <c r="H492" s="12" t="inlineStr">
        <is>
          <t>New in 2.0</t>
        </is>
      </c>
      <c r="I492" s="11" t="inlineStr">
        <is>
          <t>Dane</t>
        </is>
      </c>
      <c r="J492" s="15" t="n"/>
      <c r="K492" s="15" t="n"/>
      <c r="L492" s="15" t="n"/>
      <c r="M492" s="16" t="n"/>
      <c r="N492" s="17" t="n"/>
      <c r="O492" s="17" t="n"/>
      <c r="P492" s="15" t="n"/>
    </row>
    <row r="493">
      <c r="A493" s="11" t="n">
        <v>22</v>
      </c>
      <c r="B493" s="11" t="inlineStr">
        <is>
          <t>22.10</t>
        </is>
      </c>
      <c r="C493" s="12" t="inlineStr">
        <is>
          <t>Invite the client</t>
        </is>
      </c>
      <c r="D493" s="12" t="inlineStr">
        <is>
          <t>Meetings</t>
        </is>
      </c>
      <c r="E493" s="13" t="inlineStr">
        <is>
          <t>See Jonathan’s answer as Alex, his designer</t>
        </is>
      </c>
      <c r="F493" s="14" t="inlineStr">
        <is>
          <t>1. "Demo Studio" block › "View as" › "Alex"
2. Open the bell ("Notifications") in the side navigation
3. Open Jonathan Teo › "Meetings" and read the row
4. "Demo Studio" block › "View as" › "Dane"</t>
        </is>
      </c>
      <c r="G493" s="14" t="inlineStr">
        <is>
          <t>Alex’s bell holds "Jonathan Teo is coming to the first consultation" with the day; the row’s status line reads "Client is coming". The block reads Dane again.</t>
        </is>
      </c>
      <c r="H493" s="12" t="inlineStr">
        <is>
          <t>New in 2.0</t>
        </is>
      </c>
      <c r="I493" s="18" t="inlineStr">
        <is>
          <t>Alex</t>
        </is>
      </c>
      <c r="J493" s="15" t="n"/>
      <c r="K493" s="15" t="n"/>
      <c r="L493" s="15" t="n"/>
      <c r="M493" s="16" t="n"/>
      <c r="N493" s="17" t="n"/>
      <c r="O493" s="17" t="n"/>
      <c r="P493" s="15" t="n"/>
    </row>
    <row r="494" ht="22" customHeight="1">
      <c r="A494" s="9" t="inlineStr">
        <is>
          <t>Chapter 23 · Messages — The team’s own conversations beside the clients’: the studio’s room, two people, a named group and its people, a lead’s Team conversation, and a designer’s view.</t>
        </is>
      </c>
      <c r="M494" s="10" t="n"/>
    </row>
    <row r="495">
      <c r="A495" s="11" t="n">
        <v>23</v>
      </c>
      <c r="B495" s="11" t="inlineStr">
        <is>
          <t>23.01</t>
        </is>
      </c>
      <c r="C495" s="12" t="inlineStr">
        <is>
          <t>The studio talks to itself</t>
        </is>
      </c>
      <c r="D495" s="12" t="inlineStr">
        <is>
          <t>Messages</t>
        </is>
      </c>
      <c r="E495" s="13" t="inlineStr">
        <is>
          <t>Find the team’s own conversations in Messages</t>
        </is>
      </c>
      <c r="F495" s="14" t="inlineStr">
        <is>
          <t>1. Click "Messages" in the side navigation
2. Read the list and the chip on each row
3. Press the chip "Team" under the search, then "All"</t>
        </is>
      </c>
      <c r="G495" s="14" t="inlineStr">
        <is>
          <t>One list for clients and the team. Beside the client conversations sit "Everyone at Demo Studio" (chip Studio — Hui Min’s timesheet reminder last), "Site team" (Group), "Germaine" (Direct) and "Serena Koh" (Team). The chips read All · Unread · Clients · Team; Team keeps only the studio’s own conversations.</t>
        </is>
      </c>
      <c r="H495" s="12" t="inlineStr">
        <is>
          <t>Different from 1.0: one Messages list for clients and the team</t>
        </is>
      </c>
      <c r="I495" s="11" t="inlineStr">
        <is>
          <t>Dane</t>
        </is>
      </c>
      <c r="J495" s="15" t="n"/>
      <c r="K495" s="15" t="n"/>
      <c r="L495" s="15" t="n"/>
      <c r="M495" s="16" t="n"/>
      <c r="N495" s="17" t="n"/>
      <c r="O495" s="17" t="n"/>
      <c r="P495" s="15" t="n"/>
    </row>
    <row r="496">
      <c r="A496" s="11" t="n">
        <v>23</v>
      </c>
      <c r="B496" s="11" t="inlineStr">
        <is>
          <t>23.02</t>
        </is>
      </c>
      <c r="C496" s="12" t="inlineStr">
        <is>
          <t>The studio talks to itself</t>
        </is>
      </c>
      <c r="D496" s="12" t="inlineStr">
        <is>
          <t>Messages</t>
        </is>
      </c>
      <c r="E496" s="13" t="inlineStr">
        <is>
          <t>Write to Hui Min — just the two of you</t>
        </is>
      </c>
      <c r="F496" s="14" t="inlineStr">
        <is>
          <t>1. Press "New message" › "A member" › "Hui Min"
2. Type Can you check the Tampines site photos? and press "Send"
3. Press "New message" › "A member" › "Hui Min" again</t>
        </is>
      </c>
      <c r="G496" s="14" t="inlineStr">
        <is>
          <t>An empty conversation first: "No messages yet" — "Write to Hui Min — only the two of you read it. Photos, files and voice notes go too." Your line lands; the list gains "Hui Min" with the chip Direct. The second press opens the same conversation, never a new one.</t>
        </is>
      </c>
      <c r="H496" s="12" t="inlineStr">
        <is>
          <t>Same as 1.0</t>
        </is>
      </c>
      <c r="I496" s="11" t="inlineStr">
        <is>
          <t>Dane</t>
        </is>
      </c>
      <c r="J496" s="15" t="n"/>
      <c r="K496" s="15" t="n"/>
      <c r="L496" s="15" t="n"/>
      <c r="M496" s="16" t="n"/>
      <c r="N496" s="17" t="n"/>
      <c r="O496" s="17" t="n"/>
      <c r="P496" s="15" t="n"/>
    </row>
    <row r="497">
      <c r="A497" s="11" t="n">
        <v>23</v>
      </c>
      <c r="B497" s="11" t="inlineStr">
        <is>
          <t>23.03</t>
        </is>
      </c>
      <c r="C497" s="12" t="inlineStr">
        <is>
          <t>A group for a job</t>
        </is>
      </c>
      <c r="D497" s="12" t="inlineStr">
        <is>
          <t>Messages</t>
        </is>
      </c>
      <c r="E497" s="13" t="inlineStr">
        <is>
          <t>Start a group for the kitchen crew</t>
        </is>
      </c>
      <c r="F497" s="14" t="inlineStr">
        <is>
          <t>1. Press "New message" › "A new group"
2. Press "Create group" with nothing filled in
3. "Group name" Kitchen crew · "People" Germaine and Sarah
4. Press "Create group"</t>
        </is>
      </c>
      <c r="G497" s="14" t="inlineStr">
        <is>
          <t>"New group" says "You’re in it. Only its people read it — never a client." Empty, it answers "Name the group" and "Pick at least one person". Then "“Kitchen crew” made — everyone in it hears about it"; the group opens with its first line "You started the group with Germaine and Sarah" and wears the chip Group.</t>
        </is>
      </c>
      <c r="H497" s="12" t="inlineStr">
        <is>
          <t>Same as 1.0</t>
        </is>
      </c>
      <c r="I497" s="11" t="inlineStr">
        <is>
          <t>Dane</t>
        </is>
      </c>
      <c r="J497" s="15" t="n"/>
      <c r="K497" s="15" t="n"/>
      <c r="L497" s="15" t="n"/>
      <c r="M497" s="16" t="n"/>
      <c r="N497" s="17" t="n"/>
      <c r="O497" s="17" t="n"/>
      <c r="P497" s="15" t="n"/>
    </row>
    <row r="498">
      <c r="A498" s="11" t="n">
        <v>23</v>
      </c>
      <c r="B498" s="11" t="inlineStr">
        <is>
          <t>23.04</t>
        </is>
      </c>
      <c r="C498" s="12" t="inlineStr">
        <is>
          <t>A group for a job</t>
        </is>
      </c>
      <c r="D498" s="12" t="inlineStr">
        <is>
          <t>Messages</t>
        </is>
      </c>
      <c r="E498" s="13" t="inlineStr">
        <is>
          <t>Rename the group, add Alex, take Sarah out — with Undo</t>
        </is>
      </c>
      <c r="F498" s="14" t="inlineStr">
        <is>
          <t>1. Press the (i) glyph ("People and files") at the top of the conversation
2. Press "Rename", type Kitchen team, press "Save", then "Undo"
3. Press "Add people", pick Alex, press "Add"
4. On Sarah’s row press "Take out", then "Undo"</t>
        </is>
      </c>
      <c r="G498" s="14" t="inlineStr">
        <is>
          <t>A "Details" panel lists the people and "Shared in this conversation" (Media · Docs · Links). "Renamed “Kitchen team”" with Undo puts "Kitchen crew" back. "Alex added to the group"; "Sarah taken out of the group" with Undo brings her back. Each change is a line in the group.</t>
        </is>
      </c>
      <c r="H498" s="12" t="inlineStr">
        <is>
          <t>Different from 1.0: renames and take-outs have Undo</t>
        </is>
      </c>
      <c r="I498" s="11" t="inlineStr">
        <is>
          <t>Dane</t>
        </is>
      </c>
      <c r="J498" s="15" t="n"/>
      <c r="K498" s="15" t="n"/>
      <c r="L498" s="15" t="n"/>
      <c r="M498" s="16" t="n"/>
      <c r="N498" s="17" t="n"/>
      <c r="O498" s="17" t="n"/>
      <c r="P498" s="15" t="n"/>
    </row>
    <row r="499">
      <c r="A499" s="11" t="n">
        <v>23</v>
      </c>
      <c r="B499" s="11" t="inlineStr">
        <is>
          <t>23.05</t>
        </is>
      </c>
      <c r="C499" s="12" t="inlineStr">
        <is>
          <t>Talking about a lead before it is won</t>
        </is>
      </c>
      <c r="D499" s="12" t="inlineStr">
        <is>
          <t>Messages</t>
        </is>
      </c>
      <c r="E499" s="13" t="inlineStr">
        <is>
          <t>Read the team’s own talk about Serena Koh’s lead</t>
        </is>
      </c>
      <c r="F499" s="14" t="inlineStr">
        <is>
          <t>1. Open Serena Koh (a lead) and find "Team chat" under "Collaborators"
2. Press "Messages" on that row
3. Press the (i) glyph ("People and files") and read the panel</t>
        </is>
      </c>
      <c r="G499" s="14" t="inlineStr">
        <is>
          <t>The row reads "Only the team reads it · Messages". Messages opens on Serena Koh’s Team conversation — Germaine suggests laminate for the wardrobes, Dane says "Fine by me. Keep the kitchen as quoted." The panel says "The team’s own — Serena never sees it…" and offers "Change who is on the lead" in place of adding people.</t>
        </is>
      </c>
      <c r="H499" s="12" t="inlineStr">
        <is>
          <t>New in 2.0</t>
        </is>
      </c>
      <c r="I499" s="11" t="inlineStr">
        <is>
          <t>Dane</t>
        </is>
      </c>
      <c r="J499" s="15" t="n"/>
      <c r="K499" s="15" t="n"/>
      <c r="L499" s="15" t="n"/>
      <c r="M499" s="16" t="n"/>
      <c r="N499" s="17" t="n"/>
      <c r="O499" s="17" t="n"/>
      <c r="P499" s="15" t="n"/>
    </row>
    <row r="500">
      <c r="A500" s="11" t="n">
        <v>23</v>
      </c>
      <c r="B500" s="11" t="inlineStr">
        <is>
          <t>23.06</t>
        </is>
      </c>
      <c r="C500" s="12" t="inlineStr">
        <is>
          <t>Talking about a lead before it is won</t>
        </is>
      </c>
      <c r="D500" s="12" t="inlineStr">
        <is>
          <t>Messages</t>
        </is>
      </c>
      <c r="E500" s="13" t="inlineStr">
        <is>
          <t>See a group as Germaine, a designer</t>
        </is>
      </c>
      <c r="F500" s="14" t="inlineStr">
        <is>
          <t>1. "Demo Studio" block › "View as" › "Germaine"; open "Messages" › "Site team"
2. Press the (i) glyph and read Dane’s row and "Media"
3. Press "Leave the group", then "Undo" in the message
4. "Demo Studio" block › "View as" › "Dane"</t>
        </is>
      </c>
      <c r="G500" s="14" t="inlineStr">
        <is>
          <t>Dane’s row has no "Take out"; it reads "Owner · only an Owner or an Admin takes them out". Media holds the board Michelle shared ("Here’s the board the client signed off…"). "You left “Site team”" with Undo; Undo puts Germaine back in it. The block reads Dane again.</t>
        </is>
      </c>
      <c r="H500" s="12" t="inlineStr">
        <is>
          <t>Same as 1.0</t>
        </is>
      </c>
      <c r="I500" s="18" t="inlineStr">
        <is>
          <t>Germaine</t>
        </is>
      </c>
      <c r="J500" s="15" t="n"/>
      <c r="K500" s="15" t="n"/>
      <c r="L500" s="15" t="n"/>
      <c r="M500" s="16" t="n"/>
      <c r="N500" s="17" t="n"/>
      <c r="O500" s="17" t="n"/>
      <c r="P500" s="15" t="n"/>
    </row>
    <row r="501" ht="22" customHeight="1">
      <c r="A501" s="9" t="inlineStr">
        <is>
          <t>Chapter 24 · Plan it in 3D — Wall elevations with the usual heights for the carpenter, a layout’s 3D picture and its turning clip, and a client’s floor-plan photo made into a 3D picture.</t>
        </is>
      </c>
      <c r="M501" s="10" t="n"/>
    </row>
    <row r="502">
      <c r="A502" s="11" t="n">
        <v>24</v>
      </c>
      <c r="B502" s="11" t="inlineStr">
        <is>
          <t>24.01</t>
        </is>
      </c>
      <c r="C502" s="12" t="inlineStr">
        <is>
          <t>Brief the carpenter</t>
        </is>
      </c>
      <c r="D502" s="12" t="inlineStr">
        <is>
          <t>3D Space Planner</t>
        </is>
      </c>
      <c r="E502" s="13" t="inlineStr">
        <is>
          <t>Draw the kitchen’s walls with the usual heights on them</t>
        </is>
      </c>
      <c r="F502" s="14" t="inlineStr">
        <is>
          <t>1. "Tools" in the side navigation › "3D Space Planner"; open "Showroom — HDB 4-Room"
2. Open "Rooms", click "Kitchen"
3. In its panel open ⋮ ("More for this room") › "Wall elevations…"
4. Read the drawing, the line under it and the list</t>
        </is>
      </c>
      <c r="G502" s="14" t="inlineStr">
        <is>
          <t>"Kitchen · wall elevations" opens on the counter’s wall (chips Top · Right · Bottom · Left). Dashed lines cross the wall with short words beside them: "Sockets 30", "Counter 85", "Switches 120" and the cabinets’ band "Cabinets 145–225". Under it: "Dashed: the usual heights to work to — … Check them on site." The list names the pieces along the wall, left to right; "Download PNG" sits at the foot.</t>
        </is>
      </c>
      <c r="H502" s="12" t="inlineStr">
        <is>
          <t>Same as 1.0</t>
        </is>
      </c>
      <c r="I502" s="11" t="inlineStr">
        <is>
          <t>Dane</t>
        </is>
      </c>
      <c r="J502" s="15" t="n"/>
      <c r="K502" s="15" t="n"/>
      <c r="L502" s="15" t="n"/>
      <c r="M502" s="16" t="n"/>
      <c r="N502" s="17" t="n"/>
      <c r="O502" s="17" t="n"/>
      <c r="P502" s="15" t="n"/>
    </row>
    <row r="503">
      <c r="A503" s="11" t="n">
        <v>24</v>
      </c>
      <c r="B503" s="11" t="inlineStr">
        <is>
          <t>24.02</t>
        </is>
      </c>
      <c r="C503" s="12" t="inlineStr">
        <is>
          <t>Brief the carpenter</t>
        </is>
      </c>
      <c r="D503" s="12" t="inlineStr">
        <is>
          <t>3D Space Planner</t>
        </is>
      </c>
      <c r="E503" s="13" t="inlineStr">
        <is>
          <t>Hide the heights, then check a bathroom and an open side</t>
        </is>
      </c>
      <c r="F503" s="14" t="inlineStr">
        <is>
          <t>1. Switch "Show the usual heights" off, then on
2. Close the panel; do the same for "Bathroom" (⋮ › "Wall elevations…")
3. Close it; for "Living / Dining" pick the wall "Bottom (open)"</t>
        </is>
      </c>
      <c r="G503" s="14" t="inlineStr">
        <is>
          <t>Off, the drawing stands alone and gets wider; on, the lines come back. The bathroom’s wall shows "Mirror 150" alone — no sockets or switches. Living / Dining’s open side reads "Facing the open bottom side from inside the room · …" — no lines and no switch.</t>
        </is>
      </c>
      <c r="H503" s="12" t="inlineStr">
        <is>
          <t>Different from 1.0: switches and sockets drawn on every standing wall</t>
        </is>
      </c>
      <c r="I503" s="11" t="inlineStr">
        <is>
          <t>Dane</t>
        </is>
      </c>
      <c r="J503" s="15" t="n"/>
      <c r="K503" s="15" t="n"/>
      <c r="L503" s="15" t="n"/>
      <c r="M503" s="16" t="n"/>
      <c r="N503" s="17" t="n"/>
      <c r="O503" s="17" t="n"/>
      <c r="P503" s="15" t="n"/>
    </row>
    <row r="504">
      <c r="A504" s="11" t="n">
        <v>24</v>
      </c>
      <c r="B504" s="11" t="inlineStr">
        <is>
          <t>24.03</t>
        </is>
      </c>
      <c r="C504" s="12" t="inlineStr">
        <is>
          <t>Brief the carpenter</t>
        </is>
      </c>
      <c r="D504" s="12" t="inlineStr">
        <is>
          <t>3D Space Planner</t>
        </is>
      </c>
      <c r="E504" s="13" t="inlineStr">
        <is>
          <t>See the showroom flat in 3D and keep a turning clip</t>
        </is>
      </c>
      <c r="F504" s="14" t="inlineStr">
        <is>
          <t>1. Close the panel; open ⋮ at the top ("Layout options") › "3D picture…"
2. Drag the picture to turn it; pick "Top-down", then "Dollhouse"
3. Press "Download a turning clip" and wait</t>
        </is>
      </c>
      <c r="G504" s="14" t="inlineStr">
        <is>
          <t>"3D picture" opens with "Look" Dollhouse · Top-down and a line for each ("An angled cutaway — …", "Straight down from above — …"). Under the Dollhouse: "One whole turn in 12 seconds, as a video to send on WhatsApp." The press counts down "Recording… n s" while the flat turns once, then "Turning clip downloaded" — a video lands in Downloads. The foot offers "Render in AI Visualizer" and "Download" (no "Save to Files": this layout belongs to no client).</t>
        </is>
      </c>
      <c r="H504" s="12" t="inlineStr">
        <is>
          <t>New in 2.0</t>
        </is>
      </c>
      <c r="I504" s="11" t="inlineStr">
        <is>
          <t>Dane</t>
        </is>
      </c>
      <c r="J504" s="15" t="n"/>
      <c r="K504" s="15" t="n"/>
      <c r="L504" s="15" t="n"/>
      <c r="M504" s="16" t="n"/>
      <c r="N504" s="17" t="n"/>
      <c r="O504" s="17" t="n"/>
      <c r="P504" s="15" t="n"/>
    </row>
    <row r="505">
      <c r="A505" s="11" t="n">
        <v>24</v>
      </c>
      <c r="B505" s="11" t="inlineStr">
        <is>
          <t>24.04</t>
        </is>
      </c>
      <c r="C505" s="12" t="inlineStr">
        <is>
          <t>From Farah’s floor-plan photo</t>
        </is>
      </c>
      <c r="D505" s="12" t="inlineStr">
        <is>
          <t>3D Space Planner</t>
        </is>
      </c>
      <c r="E505" s="13" t="inlineStr">
        <is>
          <t>Make a 3D picture from Farah Ahmad’s floor-plan photo</t>
        </is>
      </c>
      <c r="F505" s="14" t="inlineStr">
        <is>
          <t>1. Close it. Open Farah Ahmad › "Files" › the "Floor plans" folder
2. On "Floor plan — Waterway Sunrise.jpg" open ⋮ ("File actions") › "Make a 3D picture"
3. Read the window; press "Turn a quarter" four times
4. Switch "Straighten and clean it" off, then on</t>
        </is>
      </c>
      <c r="G505" s="14" t="inlineStr">
        <is>
          <t>"Make a 3D picture", "Step 1 of 2": "For Farah Ahmad — the photo is kept in their Files › Floor plans." After "Reading the plan…" and "Straightening the plan…" the plan sits square, with "Straightened by 7.0° and cleaned" under it. Each quarter turn redraws it; off reads "As it was taken", on puts it back.</t>
        </is>
      </c>
      <c r="H505" s="12" t="inlineStr">
        <is>
          <t>Different from 1.0: drawn from rooms you place, no credits</t>
        </is>
      </c>
      <c r="I505" s="11" t="inlineStr">
        <is>
          <t>Dane</t>
        </is>
      </c>
      <c r="J505" s="15" t="n"/>
      <c r="K505" s="15" t="n"/>
      <c r="L505" s="15" t="n"/>
      <c r="M505" s="16" t="n"/>
      <c r="N505" s="17" t="n"/>
      <c r="O505" s="17" t="n"/>
      <c r="P505" s="15" t="n"/>
    </row>
    <row r="506">
      <c r="A506" s="11" t="n">
        <v>24</v>
      </c>
      <c r="B506" s="11" t="inlineStr">
        <is>
          <t>24.05</t>
        </is>
      </c>
      <c r="C506" s="12" t="inlineStr">
        <is>
          <t>From Farah’s floor-plan photo</t>
        </is>
      </c>
      <c r="D506" s="12" t="inlineStr">
        <is>
          <t>3D Space Planner</t>
        </is>
      </c>
      <c r="E506" s="13" t="inlineStr">
        <is>
          <t>Square the plan by its four corners, then undo it</t>
        </is>
      </c>
      <c r="F506" s="14" t="inlineStr">
        <is>
          <t>1. Press "Square it by its corners" and read the line under the photo
2. Drag one corner a little, then press "Start the corners again"
3. Press "Square it"
4. Press "Undo" in the message</t>
        </is>
      </c>
      <c r="G506" s="14" t="inlineStr">
        <is>
          <t>The photo shows as taken with four round handles on the paper’s corners: "The corners start on the sheet it found. Put each on a corner of the paper: drag it, or Tab to it and use the arrow keys." "Next" waits while the corners are out. "Square it" reads "Squared by its corners and cleaned" with the message "Squared by its four corners"; Undo returns "Straightened by 7.0° and cleaned".</t>
        </is>
      </c>
      <c r="H506" s="12" t="inlineStr">
        <is>
          <t>New in 2.0</t>
        </is>
      </c>
      <c r="I506" s="11" t="inlineStr">
        <is>
          <t>Dane</t>
        </is>
      </c>
      <c r="J506" s="15" t="n"/>
      <c r="K506" s="15" t="n"/>
      <c r="L506" s="15" t="n"/>
      <c r="M506" s="16" t="n"/>
      <c r="N506" s="17" t="n"/>
      <c r="O506" s="17" t="n"/>
      <c r="P506" s="15" t="n"/>
    </row>
    <row r="507">
      <c r="A507" s="11" t="n">
        <v>24</v>
      </c>
      <c r="B507" s="11" t="inlineStr">
        <is>
          <t>24.06</t>
        </is>
      </c>
      <c r="C507" s="12" t="inlineStr">
        <is>
          <t>From Farah’s floor-plan photo</t>
        </is>
      </c>
      <c r="D507" s="12" t="inlineStr">
        <is>
          <t>3D Space Planner</t>
        </is>
      </c>
      <c r="E507" s="13" t="inlineStr">
        <is>
          <t>Check the rooms and the size, then start placing</t>
        </is>
      </c>
      <c r="F507" s="14" t="inlineStr">
        <is>
          <t>1. Press "Next"; read "The rooms" and "How big it is"
2. Press "Change the rooms"; take "Store" off the list (✕), press "Done"
3. Press "Place the rooms"</t>
        </is>
      </c>
      <c r="G507" s="14" t="inlineStr">
        <is>
          <t>"Step 2 of 2": chips such as "3 bedrooms" … "11 rooms in all", and "Started from HDB 4-Room — the flat type on record…". Store leaves the list (10 rooms in all). "How big it is" offers "Its floor area" · "A length on the plan", filled from the planner’s HDB 4-Room. "Place the rooms" opens the planner on the photo ("Traced — Waterway Sunrise"); a guide reads "Drag over the Living / Dining on the plan" and "0 placed · 10 to go · Esc stops".</t>
        </is>
      </c>
      <c r="H507" s="12" t="inlineStr">
        <is>
          <t>Different from 1.0: the room list comes from the flat type</t>
        </is>
      </c>
      <c r="I507" s="11" t="inlineStr">
        <is>
          <t>Dane</t>
        </is>
      </c>
      <c r="J507" s="15" t="n"/>
      <c r="K507" s="15" t="n"/>
      <c r="L507" s="15" t="n"/>
      <c r="M507" s="16" t="n"/>
      <c r="N507" s="17" t="n"/>
      <c r="O507" s="17" t="n"/>
      <c r="P507" s="15" t="n"/>
    </row>
    <row r="508">
      <c r="A508" s="11" t="n">
        <v>24</v>
      </c>
      <c r="B508" s="11" t="inlineStr">
        <is>
          <t>24.07</t>
        </is>
      </c>
      <c r="C508" s="12" t="inlineStr">
        <is>
          <t>From Farah’s floor-plan photo</t>
        </is>
      </c>
      <c r="D508" s="12" t="inlineStr">
        <is>
          <t>3D Space Planner</t>
        </is>
      </c>
      <c r="E508" s="13" t="inlineStr">
        <is>
          <t>Place two rooms, skip one, and keep the picture in Farah’s Files</t>
        </is>
      </c>
      <c r="F508" s="14" t="inlineStr">
        <is>
          <t>1. Drag a box over the living / dining area on the photo, then over the kitchen
2. Press "Not on this plan" for the next room
3. Press "Make the 3D picture"
4. Press "Save to Files", then "Open" in the message</t>
        </is>
      </c>
      <c r="G508" s="14" t="inlineStr">
        <is>
          <t>Each box becomes the room the guide named and the count moves on ("2 placed · …"); the skipped room leaves the list. "3D picture": "Traced — Waterway Sunrise — drawn from the layout…", with "… furnished by the planner’s rule for the picture …" and its Undo. "Saved to Farah Ahmad’s Files › Renders as “…”" — Open shows it in her Files.</t>
        </is>
      </c>
      <c r="H508" s="12" t="inlineStr">
        <is>
          <t>Different from 1.0: also kept in the client’s Files</t>
        </is>
      </c>
      <c r="I508" s="11" t="inlineStr">
        <is>
          <t>Dane</t>
        </is>
      </c>
      <c r="J508" s="15" t="n"/>
      <c r="K508" s="15" t="n"/>
      <c r="L508" s="15" t="n"/>
      <c r="M508" s="16" t="n"/>
      <c r="N508" s="17" t="n"/>
      <c r="O508" s="17" t="n"/>
      <c r="P508" s="15" t="n"/>
    </row>
    <row r="509">
      <c r="A509" s="11" t="n">
        <v>24</v>
      </c>
      <c r="B509" s="11" t="inlineStr">
        <is>
          <t>24.08</t>
        </is>
      </c>
      <c r="C509" s="12" t="inlineStr">
        <is>
          <t>From a project’s floor plan</t>
        </is>
      </c>
      <c r="D509" s="12" t="inlineStr">
        <is>
          <t>3D Space Planner</t>
        </is>
      </c>
      <c r="E509" s="13" t="inlineStr">
        <is>
          <t>Start a 3D picture from Benjamin’s floor plan</t>
        </is>
      </c>
      <c r="F509" s="14" t="inlineStr">
        <is>
          <t>1. Open Benjamin Han’s project › "Design" (it opens on "Choices"), then the chip "Floor plan"
2. Open ⋮ ("More options") › "Make a 3D picture"
3. Read step 1, press "Next", read "How big it is"
4. Press "Cancel"</t>
        </is>
      </c>
      <c r="G509" s="14" t="inlineStr">
        <is>
          <t>"Make a 3D picture" names the plan "…, from …’s Floor plan tab." and reads "As it is on the Floor plan tab" — no straightening, nothing to turn. Step 2 asks no size: "Its size is set on the Floor plan tab — about …". Cancel leaves the project as it was.</t>
        </is>
      </c>
      <c r="H509" s="12" t="inlineStr">
        <is>
          <t>New in 2.0</t>
        </is>
      </c>
      <c r="I509" s="11" t="inlineStr">
        <is>
          <t>Dane</t>
        </is>
      </c>
      <c r="J509" s="15" t="n"/>
      <c r="K509" s="15" t="n"/>
      <c r="L509" s="15" t="n"/>
      <c r="M509" s="16" t="n"/>
      <c r="N509" s="17" t="n"/>
      <c r="O509" s="17" t="n"/>
      <c r="P509" s="15" t="n"/>
    </row>
    <row r="510">
      <c r="A510" s="11" t="n">
        <v>24</v>
      </c>
      <c r="B510" s="11" t="inlineStr">
        <is>
          <t>24.09</t>
        </is>
      </c>
      <c r="C510" s="12" t="inlineStr">
        <is>
          <t>Floorplan to 3D Isometric</t>
        </is>
      </c>
      <c r="D510" s="12" t="inlineStr">
        <is>
          <t>Floorplan to 3D Isometric</t>
        </is>
      </c>
      <c r="E510" s="13" t="inlineStr">
        <is>
          <t>Open Floorplan to 3D Isometric from Tools</t>
        </is>
      </c>
      <c r="F510" s="14" t="inlineStr">
        <is>
          <t>1. "Tools" in the side navigation — find "Floorplan to 3D Isometric" (it wears "Beta")
2. Press it and read the page</t>
        </is>
      </c>
      <c r="G510" s="14" t="inlineStr">
        <is>
          <t>Its own page, "Floorplan to 3D Isometric" with BETA beside the title: "Turn any floor plan photo into a marketing-ready 3D view", the three steps, the box "Drop the floor plan here or browse", "What you’ll get" (Dollhouse · Top-down) and "Or try a sample plan" with the HDB 4-Room. Tools is lit in the side navigation.</t>
        </is>
      </c>
      <c r="H510" s="12" t="inlineStr">
        <is>
          <t>Same as 1.0: its own page in Tools, marked Beta</t>
        </is>
      </c>
      <c r="I510" s="11" t="inlineStr">
        <is>
          <t>Dane</t>
        </is>
      </c>
      <c r="J510" s="15" t="n"/>
      <c r="K510" s="15" t="n"/>
      <c r="L510" s="15" t="n"/>
      <c r="M510" s="16" t="n"/>
      <c r="N510" s="17" t="n"/>
      <c r="O510" s="17" t="n"/>
      <c r="P510" s="15" t="n"/>
    </row>
    <row r="511">
      <c r="A511" s="11" t="n">
        <v>24</v>
      </c>
      <c r="B511" s="11" t="inlineStr">
        <is>
          <t>24.10</t>
        </is>
      </c>
      <c r="C511" s="12" t="inlineStr">
        <is>
          <t>Floorplan to 3D Isometric</t>
        </is>
      </c>
      <c r="D511" s="12" t="inlineStr">
        <is>
          <t>Floorplan to 3D Isometric</t>
        </is>
      </c>
      <c r="E511" s="13" t="inlineStr">
        <is>
          <t>Take the HDB 4-Room sample to a dollhouse view</t>
        </is>
      </c>
      <c r="F511" s="14" t="inlineStr">
        <is>
          <t>1. Press "HDB 4-Room" under "Or try a sample plan"
2. Read "Your plan, straightened" and "We found"
3. Press "Generate dollhouse view"</t>
        </is>
      </c>
      <c r="G511" s="14" t="inlineStr">
        <is>
          <t>"Reading your floor plan…" with the steps Read the plan · Confirm the rooms · 3D render. The photo of the printed plan sits square: "Straightened by 7.0° and cleaned", with "Turn a quarter" and "Square it by its corners". "We found": 3 bedrooms … 11 rooms in all, "The sample’s own rooms, as its plan has them." "Opening the HDB 4-Room’s dollhouse view…" then the view — the flat's rooms where the plan has them — with "Sample · HDB 4-Room — its views were made ahead with the image model the live app uses."</t>
        </is>
      </c>
      <c r="H511" s="12" t="inlineStr">
        <is>
          <t>Same as 1.0, with a sample plan: the prototype has no image model</t>
        </is>
      </c>
      <c r="I511" s="11" t="inlineStr">
        <is>
          <t>Dane</t>
        </is>
      </c>
      <c r="J511" s="15" t="n"/>
      <c r="K511" s="15" t="n"/>
      <c r="L511" s="15" t="n"/>
      <c r="M511" s="16" t="n"/>
      <c r="N511" s="17" t="n"/>
      <c r="O511" s="17" t="n"/>
      <c r="P511" s="15" t="n"/>
    </row>
    <row r="512">
      <c r="A512" s="11" t="n">
        <v>24</v>
      </c>
      <c r="B512" s="11" t="inlineStr">
        <is>
          <t>24.11</t>
        </is>
      </c>
      <c r="C512" s="12" t="inlineStr">
        <is>
          <t>Floorplan to 3D Isometric</t>
        </is>
      </c>
      <c r="D512" s="12" t="inlineStr">
        <is>
          <t>Floorplan to 3D Isometric</t>
        </is>
      </c>
      <c r="E512" s="13" t="inlineStr">
        <is>
          <t>Regenerate and download</t>
        </is>
      </c>
      <c r="F512" s="14" t="inlineStr">
        <is>
          <t>1. Press "Regenerate", then again
2. Press "Download"
3. Press "Start a new plan"</t>
        </is>
      </c>
      <c r="G512" s="14" t="inlineStr">
        <is>
          <t>Regenerate shows the sample’s other take, then the first again. The file saves as "HDB 4-Room — Dollhouse.jpg" with the message "Dollhouse view downloaded". "Start a new plan" returns to the first page.</t>
        </is>
      </c>
      <c r="H512" s="12" t="inlineStr">
        <is>
          <t>Same as 1.0 (1.0 saved every view as 3d-floor-plan.png; its Switch style waits here for the sample’s top-down views)</t>
        </is>
      </c>
      <c r="I512" s="11" t="inlineStr">
        <is>
          <t>Dane</t>
        </is>
      </c>
      <c r="J512" s="15" t="n"/>
      <c r="K512" s="15" t="n"/>
      <c r="L512" s="15" t="n"/>
      <c r="M512" s="16" t="n"/>
      <c r="N512" s="17" t="n"/>
      <c r="O512" s="17" t="n"/>
      <c r="P512" s="15" t="n"/>
    </row>
    <row r="513">
      <c r="A513" s="11" t="n">
        <v>24</v>
      </c>
      <c r="B513" s="11" t="inlineStr">
        <is>
          <t>24.12</t>
        </is>
      </c>
      <c r="C513" s="12" t="inlineStr">
        <is>
          <t>Floorplan to 3D Isometric</t>
        </is>
      </c>
      <c r="D513" s="12" t="inlineStr">
        <is>
          <t>Floorplan to 3D Isometric</t>
        </is>
      </c>
      <c r="E513" s="13" t="inlineStr">
        <is>
          <t>Upload a floor plan of your own</t>
        </is>
      </c>
      <c r="F513" s="14" t="inlineStr">
        <is>
          <t>1. Press "Drop the floor plan here or browse" and pick sophia-floor-plan.pdf
2. Read "We found"
3. Press "HDB 4-Room" in its list</t>
        </is>
      </c>
      <c r="G513" s="14" t="inlineStr">
        <is>
          <t>The plan is read and straightened as with the sample, then: "This is the prototype, so your own plan isn’t read or drawn in 3D — in the live app, the image model lists its rooms and draws it in about half a minute. Try a sample plan to see the whole way through." No Generate button; the HDB 4-Room is listed instead and opens with its own rooms.</t>
        </is>
      </c>
      <c r="H513" s="12" t="inlineStr">
        <is>
          <t>Different from 1.0: on the prototype your own plan stops after it is straightened</t>
        </is>
      </c>
      <c r="I513" s="11" t="inlineStr">
        <is>
          <t>Dane</t>
        </is>
      </c>
      <c r="J513" s="15" t="n"/>
      <c r="K513" s="15" t="n"/>
      <c r="L513" s="15" t="n"/>
      <c r="M513" s="16" t="n"/>
      <c r="N513" s="17" t="n"/>
      <c r="O513" s="17" t="n"/>
      <c r="P513" s="15" t="n"/>
    </row>
    <row r="514" ht="22" customHeight="1">
      <c r="A514" s="9" t="inlineStr">
        <is>
          <t>Chapter 25 · Outside the studio — Market Insights, the studio’s Qanvast lead credits and reviews, and the privacy link at the foot of the client portal.</t>
        </is>
      </c>
      <c r="M514" s="10" t="n"/>
    </row>
    <row r="515">
      <c r="A515" s="11" t="n">
        <v>25</v>
      </c>
      <c r="B515" s="11" t="inlineStr">
        <is>
          <t>25.01</t>
        </is>
      </c>
      <c r="C515" s="12" t="inlineStr">
        <is>
          <t>What the industry is reading</t>
        </is>
      </c>
      <c r="D515" s="12" t="inlineStr">
        <is>
          <t>Market Insights</t>
        </is>
      </c>
      <c r="E515" s="13" t="inlineStr">
        <is>
          <t>Open Market Insights and find the reports</t>
        </is>
      </c>
      <c r="F515" s="14" t="inlineStr">
        <is>
          <t>1. "Tools" in the side navigation › "Market Insights"
2. Read the chips, the line above the list and the wide card
3. Press "Reports · 2", then "All · 6"
4. Type resale in "Search articles"</t>
        </is>
      </c>
      <c r="G515" s="14" t="inlineStr">
        <is>
          <t>Chips All · 6, Trends · 2, Reports · 2, Case Studies · 1, Industry News · 1. The line says "Sample articles written for the demo — their figures are illustrative, not market data." The wide card is "Resale flats are reshaping the renovation brief", flagged Featured; the rest follow newest first. Reports keeps two articles; the search keeps the ones that mention resale.</t>
        </is>
      </c>
      <c r="H515" s="12" t="inlineStr">
        <is>
          <t>Same as 1.0</t>
        </is>
      </c>
      <c r="I515" s="11" t="inlineStr">
        <is>
          <t>Dane</t>
        </is>
      </c>
      <c r="J515" s="15" t="n"/>
      <c r="K515" s="15" t="n"/>
      <c r="L515" s="15" t="n"/>
      <c r="M515" s="16" t="n"/>
      <c r="N515" s="17" t="n"/>
      <c r="O515" s="17" t="n"/>
      <c r="P515" s="15" t="n"/>
    </row>
    <row r="516">
      <c r="A516" s="11" t="n">
        <v>25</v>
      </c>
      <c r="B516" s="11" t="inlineStr">
        <is>
          <t>25.02</t>
        </is>
      </c>
      <c r="C516" s="12" t="inlineStr">
        <is>
          <t>What the industry is reading</t>
        </is>
      </c>
      <c r="D516" s="12" t="inlineStr">
        <is>
          <t>Market Insights</t>
        </is>
      </c>
      <c r="E516" s="13" t="inlineStr">
        <is>
          <t>Read the featured article and see the numbers behind its chart</t>
        </is>
      </c>
      <c r="F516" s="14" t="inlineStr">
        <is>
          <t>1. Clear the search and open "Resale flats are reshaping the renovation brief"
2. Point at the chart’s line
3. Press "Show the numbers", then "Hide the numbers"
4. Press Back (top left)</t>
        </is>
      </c>
      <c r="G516" s="14" t="inlineStr">
        <is>
          <t>The article wears the chip Featured and the note "A sample article written for the demo. Its figures are illustrative — not market data." Pointing at the chart reads out each point; its source says the figures are illustrative. "Show the numbers" puts a table of the chart’s figures under it. "More from Market Insights" ends the page. Back returns to the list as you left it.</t>
        </is>
      </c>
      <c r="H516" s="12" t="inlineStr">
        <is>
          <t>Different from 1.0: every chart can show its numbers</t>
        </is>
      </c>
      <c r="I516" s="11" t="inlineStr">
        <is>
          <t>Dane</t>
        </is>
      </c>
      <c r="J516" s="15" t="n"/>
      <c r="K516" s="15" t="n"/>
      <c r="L516" s="15" t="n"/>
      <c r="M516" s="16" t="n"/>
      <c r="N516" s="17" t="n"/>
      <c r="O516" s="17" t="n"/>
      <c r="P516" s="15" t="n"/>
    </row>
    <row r="517">
      <c r="A517" s="11" t="n">
        <v>25</v>
      </c>
      <c r="B517" s="11" t="inlineStr">
        <is>
          <t>25.03</t>
        </is>
      </c>
      <c r="C517" s="12" t="inlineStr">
        <is>
          <t>Your account with Qanvast</t>
        </is>
      </c>
      <c r="D517" s="12" t="inlineStr">
        <is>
          <t>Qanvast Ops</t>
        </is>
      </c>
      <c r="E517" s="13" t="inlineStr">
        <is>
          <t>Check the studio’s Qanvast lead credits</t>
        </is>
      </c>
      <c r="F517" s="14" t="inlineStr">
        <is>
          <t>1. Click "Qanvast Ops" in the side navigation, then the tab "Lead credits"
2. Read the tiles and the charts
3. Press "Transactions", then "Contracts"</t>
        </is>
      </c>
      <c r="G517" s="14" t="inlineStr">
        <is>
          <t>Tabs Leads · Studios · Lead credits · Reviews · Hangouts. Overview: "Credits left" ("Need more? Ask your Qanvast account manager to top up."), "Used in …" this month and — while a returned lead’s credits are coming back — "On the way back"; "Leads received and credits used", "Month by month" and "Closures in the last six months". Transactions is "Statement for …" (Date · Description · Taken · Added · Balance — or a line offering an earlier month); Contracts is "Your contracts with Qanvast" with contract #20714 and what it includes.</t>
        </is>
      </c>
      <c r="H517" s="12" t="inlineStr">
        <is>
          <t>Different from 1.0: named Lead credits, apart from AI credits</t>
        </is>
      </c>
      <c r="I517" s="11" t="inlineStr">
        <is>
          <t>Dane</t>
        </is>
      </c>
      <c r="J517" s="15" t="n"/>
      <c r="K517" s="15" t="n"/>
      <c r="L517" s="15" t="n"/>
      <c r="M517" s="16" t="n"/>
      <c r="N517" s="17" t="n"/>
      <c r="O517" s="17" t="n"/>
      <c r="P517" s="15" t="n"/>
    </row>
    <row r="518">
      <c r="A518" s="11" t="n">
        <v>25</v>
      </c>
      <c r="B518" s="11" t="inlineStr">
        <is>
          <t>25.04</t>
        </is>
      </c>
      <c r="C518" s="12" t="inlineStr">
        <is>
          <t>Your account with Qanvast</t>
        </is>
      </c>
      <c r="D518" s="12" t="inlineStr">
        <is>
          <t>Qanvast Ops</t>
        </is>
      </c>
      <c r="E518" s="13" t="inlineStr">
        <is>
          <t>Reply to a homeowner’s review</t>
        </is>
      </c>
      <c r="F518" s="14" t="inlineStr">
        <is>
          <t>1. Click the tab "Reviews"; read the overview on the left
2. Press "Waiting for a reply · 2"
3. On the first review press "Reply", type Thank you — it was a joy to work on your home., press "Post reply"</t>
        </is>
      </c>
      <c r="G518" s="14" t="inlineStr">
        <is>
          <t>The overview shows how many reviews, the average with its star and the spread by stars; "Request reviews" sits in the header. Waiting for a reply keeps the two reviews with no answer. Your reply box says everyone who reads the review on Qanvast sees it. Then "Reply kept here — on this prototype it isn’t posted to Qanvast"; the card shows "Your reply · …" with "Edit".</t>
        </is>
      </c>
      <c r="H518" s="12" t="inlineStr">
        <is>
          <t>Same as 1.0</t>
        </is>
      </c>
      <c r="I518" s="11" t="inlineStr">
        <is>
          <t>Dane</t>
        </is>
      </c>
      <c r="J518" s="15" t="n"/>
      <c r="K518" s="15" t="n"/>
      <c r="L518" s="15" t="n"/>
      <c r="M518" s="16" t="n"/>
      <c r="N518" s="17" t="n"/>
      <c r="O518" s="17" t="n"/>
      <c r="P518" s="15" t="n"/>
    </row>
    <row r="519">
      <c r="A519" s="11" t="n">
        <v>25</v>
      </c>
      <c r="B519" s="11" t="inlineStr">
        <is>
          <t>25.05</t>
        </is>
      </c>
      <c r="C519" s="12" t="inlineStr">
        <is>
          <t>Your account with Qanvast</t>
        </is>
      </c>
      <c r="D519" s="12" t="inlineStr">
        <is>
          <t>Qanvast Ops</t>
        </is>
      </c>
      <c r="E519" s="13" t="inlineStr">
        <is>
          <t>See what Hui Min, the Admin, may open in Qanvast Ops</t>
        </is>
      </c>
      <c r="F519" s="14" t="inlineStr">
        <is>
          <t>1. "Demo Studio" block › "View as" › "Hui Min"
2. "Qanvast Ops" › "Reviews", then "Lead credits"
3. "Demo Studio" block › "View as" › "Dane"</t>
        </is>
      </c>
      <c r="G519" s="14" t="inlineStr">
        <is>
          <t>Hui Min reads Reviews and can Reply. Lead credits shows a lock: "Lead credits are for the studio’s Owner" — "What Qanvast charges for each lead, the studio’s contracts with Qanvast and its statement are the Owner’s to see." The block reads Dane again.</t>
        </is>
      </c>
      <c r="H519" s="12" t="inlineStr">
        <is>
          <t>Different from 1.0: Admins read and answer reviews too</t>
        </is>
      </c>
      <c r="I519" s="18" t="inlineStr">
        <is>
          <t>Hui Min</t>
        </is>
      </c>
      <c r="J519" s="15" t="n"/>
      <c r="K519" s="15" t="n"/>
      <c r="L519" s="15" t="n"/>
      <c r="M519" s="16" t="n"/>
      <c r="N519" s="17" t="n"/>
      <c r="O519" s="17" t="n"/>
      <c r="P519" s="15" t="n"/>
    </row>
    <row r="520">
      <c r="A520" s="11" t="n">
        <v>25</v>
      </c>
      <c r="B520" s="11" t="inlineStr">
        <is>
          <t>25.06</t>
        </is>
      </c>
      <c r="C520" s="12" t="inlineStr">
        <is>
          <t>The fine print on the portal</t>
        </is>
      </c>
      <c r="D520" s="12" t="inlineStr">
        <is>
          <t>Client portal</t>
        </is>
      </c>
      <c r="E520" s="13" t="inlineStr">
        <is>
          <t>Link your privacy notice at the foot of the client portal</t>
        </is>
      </c>
      <c r="F520" s="14" t="inlineStr">
        <is>
          <t>1. "Company" › "Client portal"; in "Getting it live" read "Privacy notice", press "Add the link"
2. In "Privacy notice link" type not a link, press "Save"
3. Replace it with demostudio.sg/privacy, press "Save"
4. Read the "Privacy notice" row again</t>
        </is>
      </c>
      <c r="G520" s="14" t="inlineStr">
        <is>
          <t>The row says clients sign in with their mobile number, so Singapore’s PDPA asks you to say how you use it. "Add the link" lands on the card "Privacy and terms" ("0 of 3 linked") with the first box ready. "not a link" is refused: "Enter a web address, e.g. yourstudio.sg/privacy". Then "Links saved — clients see them at the foot of every page" with Undo; the row reads "Linked at the foot of every page — demostudio.sg/privacy."</t>
        </is>
      </c>
      <c r="H520" s="12" t="inlineStr">
        <is>
          <t>Different from 1.0: set on Company › Client portal</t>
        </is>
      </c>
      <c r="I520" s="11" t="inlineStr">
        <is>
          <t>Dane</t>
        </is>
      </c>
      <c r="J520" s="15" t="n"/>
      <c r="K520" s="15" t="n"/>
      <c r="L520" s="15" t="n"/>
      <c r="M520" s="16" t="n"/>
      <c r="N520" s="17" t="n"/>
      <c r="O520" s="17" t="n"/>
      <c r="P520" s="15" t="n"/>
    </row>
    <row r="521">
      <c r="A521" s="11" t="n">
        <v>25</v>
      </c>
      <c r="B521" s="11" t="inlineStr">
        <is>
          <t>25.07</t>
        </is>
      </c>
      <c r="C521" s="12" t="inlineStr">
        <is>
          <t>The fine print on the portal</t>
        </is>
      </c>
      <c r="D521" s="12" t="inlineStr">
        <is>
          <t>Client portal</t>
        </is>
      </c>
      <c r="E521" s="13" t="inlineStr">
        <is>
          <t>See the privacy link as Benjamin, on his portal</t>
        </is>
      </c>
      <c r="F521" s="14" t="inlineStr">
        <is>
          <t>1. In a private window open localhost:3000/my/demo-studio and look at the foot of the sign-in page
2. Sign in with 9773 1968 and any six digits ("Send me a code", then "Open my project") — skip if already signed in as Benjamin
3. Scroll to the foot of his home page and press "Privacy"</t>
        </is>
      </c>
      <c r="G521" s="14" t="inlineStr">
        <is>
          <t>"Privacy" sits at the foot of the sign-in page and of every portal page — never Terms or Contact, which are not linked. It opens demostudio.sg/privacy in a new tab (not a real page in the demo — close it).</t>
        </is>
      </c>
      <c r="H521" s="12" t="inlineStr">
        <is>
          <t>Same as 1.0</t>
        </is>
      </c>
      <c r="I521" s="18" t="inlineStr">
        <is>
          <t>Benjamin Han (client)</t>
        </is>
      </c>
      <c r="J521" s="15" t="n"/>
      <c r="K521" s="15" t="n"/>
      <c r="L521" s="15" t="n"/>
      <c r="M521" s="16" t="n"/>
      <c r="N521" s="17" t="n"/>
      <c r="O521" s="17" t="n"/>
      <c r="P521" s="15" t="n"/>
    </row>
    <row r="522" ht="22" customHeight="1">
      <c r="A522" s="9" t="inlineStr">
        <is>
          <t>Chapter 26 · Quotes on the move — A quote on a phone and a tablet: it opens as the document, Edit is one section at a time, Items and payments are cards, the paper is a viewer, the lists and Create Quote as cards and rows, the client’s page with Confirm in reach.</t>
        </is>
      </c>
      <c r="M522" s="10" t="n"/>
    </row>
    <row r="523">
      <c r="A523" s="11" t="n">
        <v>26</v>
      </c>
      <c r="B523" s="11" t="inlineStr">
        <is>
          <t>26.01</t>
        </is>
      </c>
      <c r="C523" s="12" t="inlineStr">
        <is>
          <t>A quote on your phone</t>
        </is>
      </c>
      <c r="D523" s="12" t="inlineStr">
        <is>
          <t>Phone</t>
        </is>
      </c>
      <c r="E523" s="13" t="inlineStr">
        <is>
          <t>Open a quote on your phone: it opens as the document, not the editor</t>
        </is>
      </c>
      <c r="F523" s="14" t="inlineStr">
        <is>
          <t>1. On your phone (the Network address from chapter 12), tap "Tools" in the bottom bar › "Quotes"
2. Tap the card "Olivia Martinez" (OM-10001, Draft)
3. Read the top of the screen, then scroll to the end</t>
        </is>
      </c>
      <c r="G523" s="14" t="inlineStr">
        <is>
          <t>The quote opens as a screen, not the editor: a back arrow, "Olivia Martinez" with "OM-10001 · Whole-home renovation" under it, ⋮ at the right. Under that a hero: the Draft chip, the amount large, the number of lines, "Valid until …", the GST line, and Olivia with Call and WhatsApp buttons. One "Next" line says what this quote needs. Then the quote's sections as cards (each folds on a tap), then rows for Payment schedule, Files, Terms and conditions and Signature, each with a one-line summary. A foot stays at the bottom with "Edit" and "Send ▾". Nothing scrolls sideways.</t>
        </is>
      </c>
      <c r="H523" s="12" t="inlineStr">
        <is>
          <t>Different from 1.0: a quote on a phone opens as the document; the editor comes on Edit</t>
        </is>
      </c>
      <c r="I523" s="11" t="inlineStr">
        <is>
          <t>Dane</t>
        </is>
      </c>
      <c r="J523" s="15" t="n"/>
      <c r="K523" s="15" t="n"/>
      <c r="L523" s="15" t="n"/>
      <c r="M523" s="16" t="n"/>
      <c r="N523" s="17" t="n"/>
      <c r="O523" s="17" t="n"/>
      <c r="P523" s="15" t="n"/>
    </row>
    <row r="524">
      <c r="A524" s="11" t="n">
        <v>26</v>
      </c>
      <c r="B524" s="11" t="inlineStr">
        <is>
          <t>26.02</t>
        </is>
      </c>
      <c r="C524" s="12" t="inlineStr">
        <is>
          <t>A quote on your phone</t>
        </is>
      </c>
      <c r="D524" s="12" t="inlineStr">
        <is>
          <t>Phone</t>
        </is>
      </c>
      <c r="E524" s="13" t="inlineStr">
        <is>
          <t>Edit is a list of sections, one at a time</t>
        </is>
      </c>
      <c r="F524" s="14" t="inlineStr">
        <is>
          <t>1. Tap "Edit" in the foot
2. Read the list
3. Tap "Items"
4. Tap the back arrow at the top left
5. Tap "Done"
6. Tap "Edit" again, then press your phone's own Back</t>
        </is>
      </c>
      <c r="G524" s="14" t="inlineStr">
        <is>
          <t>Edit opens a list: General info, Items (with the count), Payment schedule, Files (with the count), Terms and conditions, Additional notes, Signature — each with a one-line summary of what it holds. Items opens as its own screen with a bar at the top (← · "Items" · "16 lines · S$…"). The arrow returns to the list; Done returns to the quote screen. The phone's Back goes back one step, never out of the quote (the address carries the step).</t>
        </is>
      </c>
      <c r="H524" s="12" t="inlineStr">
        <is>
          <t>Different from 1.0: one section at a time on a phone</t>
        </is>
      </c>
      <c r="I524" s="11" t="inlineStr">
        <is>
          <t>Dane</t>
        </is>
      </c>
      <c r="J524" s="15" t="n"/>
      <c r="K524" s="15" t="n"/>
      <c r="L524" s="15" t="n"/>
      <c r="M524" s="16" t="n"/>
      <c r="N524" s="17" t="n"/>
      <c r="O524" s="17" t="n"/>
      <c r="P524" s="15" t="n"/>
    </row>
    <row r="525">
      <c r="A525" s="11" t="n">
        <v>26</v>
      </c>
      <c r="B525" s="11" t="inlineStr">
        <is>
          <t>26.03</t>
        </is>
      </c>
      <c r="C525" s="12" t="inlineStr">
        <is>
          <t>A quote on your phone</t>
        </is>
      </c>
      <c r="D525" s="12" t="inlineStr">
        <is>
          <t>Phone</t>
        </is>
      </c>
      <c r="E525" s="13" t="inlineStr">
        <is>
          <t>Items are cards; a line opens as a sheet</t>
        </is>
      </c>
      <c r="F525" s="14" t="inlineStr">
        <is>
          <t>1. Edit › Items
2. Tap the "Bathrooms" section card, then tap it again
3. Scroll: the open section's card holds at the top
4. Tap a line
5. Change the quantity and watch the Total; tap "More"
6. Tap "Done"</t>
        </is>
      </c>
      <c r="G525" s="14" t="inlineStr">
        <is>
          <t>A section card folds and unfolds its lines. Each line is a card: the name, "44 sqft × S$102 · Purchase" and its total. A line opens as a sheet with Quantity, Unit, Unit price, a live Total, Kind and Description; the Total changes as you type; More shows cost, markup, discount, GST, room, category, section label, vendor, link and image. Done closes it and the card reads the new figures. A strip stays pinned at the bottom: Subtotal · GST · Total with "Adjust" (entity, discounts, GST, rounding) and "Breakdown" (by category). No Column settings, Row density or Expand on the phone.</t>
        </is>
      </c>
      <c r="H525" s="12" t="inlineStr">
        <is>
          <t>Different from 1.0: cards and a two-layer sheet instead of a twelve-column grid</t>
        </is>
      </c>
      <c r="I525" s="11" t="inlineStr">
        <is>
          <t>Dane</t>
        </is>
      </c>
      <c r="J525" s="15" t="n"/>
      <c r="K525" s="15" t="n"/>
      <c r="L525" s="15" t="n"/>
      <c r="M525" s="16" t="n"/>
      <c r="N525" s="17" t="n"/>
      <c r="O525" s="17" t="n"/>
      <c r="P525" s="15" t="n"/>
    </row>
    <row r="526">
      <c r="A526" s="11" t="n">
        <v>26</v>
      </c>
      <c r="B526" s="11" t="inlineStr">
        <is>
          <t>26.04</t>
        </is>
      </c>
      <c r="C526" s="12" t="inlineStr">
        <is>
          <t>A quote on your phone</t>
        </is>
      </c>
      <c r="D526" s="12" t="inlineStr">
        <is>
          <t>Phone</t>
        </is>
      </c>
      <c r="E526" s="13" t="inlineStr">
        <is>
          <t>A line's ⋮, Remove with Undo, two lines at once, and adding</t>
        </is>
      </c>
      <c r="F526" s="14" t="inlineStr">
        <is>
          <t>1. On a line card, tap ⋮
2. Tap "Remove", then "Undo" in the snackbar
3. Hold a card until it ticks, then tap a second card
4. Read the bar, then tap "Clear"
5. Tap "+ Add to Bathrooms" at the end of that section
6. Tap "Add item" at the top</t>
        </is>
      </c>
      <c r="G526" s="14" t="inlineStr">
        <is>
          <t>The ⋮ has five rows: Duplicate, Mark as optional, Move to section ›, Remove, More…. Remove takes the card away with a snackbar and Undo brings it back. Holding selects: the bar shows the count with Clear, then Move to section, Delete and ⋯; the pinned total lifts above the bar. "+ Add to Bathrooms" adds a line inside that section and opens its sheet; "Add item" adds one at the end and opens its sheet. Both appear in place when Done is tapped.</t>
        </is>
      </c>
      <c r="H526" s="12" t="inlineStr">
        <is>
          <t>Different from 1.0: every remove has Undo; a long press selects</t>
        </is>
      </c>
      <c r="I526" s="11" t="inlineStr">
        <is>
          <t>Dane</t>
        </is>
      </c>
      <c r="J526" s="15" t="n"/>
      <c r="K526" s="15" t="n"/>
      <c r="L526" s="15" t="n"/>
      <c r="M526" s="16" t="n"/>
      <c r="N526" s="17" t="n"/>
      <c r="O526" s="17" t="n"/>
      <c r="P526" s="15" t="n"/>
    </row>
    <row r="527">
      <c r="A527" s="11" t="n">
        <v>26</v>
      </c>
      <c r="B527" s="11" t="inlineStr">
        <is>
          <t>26.05</t>
        </is>
      </c>
      <c r="C527" s="12" t="inlineStr">
        <is>
          <t>A quote on your phone</t>
        </is>
      </c>
      <c r="D527" s="12" t="inlineStr">
        <is>
          <t>Phone</t>
        </is>
      </c>
      <c r="E527" s="13" t="inlineStr">
        <is>
          <t>The payment schedule as cards</t>
        </is>
      </c>
      <c r="F527" s="14" t="inlineStr">
        <is>
          <t>1. Back to the list (← then the list) › "Payment schedule"
2. Tap the first payment
3. Type 15 in the share box and watch the amount
4. Tap "Done"
5. Tap the payment again › "Remove", then "Undo"</t>
        </is>
      </c>
      <c r="G527" s="14" t="inlineStr">
        <is>
          <t>Each payment is a card: its name over the description, the amount over "10% · On Approval". The card opens a sheet: name, description, share and amount side by side (typing 15% fills the amount of 15% of the quote's total), the due as "On approval · On a date", Remove at the foot's start and Done. Done writes the change and the card reads "15% · On Approval". Remove takes the card away with Undo; Undo brings it back.</t>
        </is>
      </c>
      <c r="H527" s="12" t="inlineStr">
        <is>
          <t>Different from 1.0: the schedule's row was a six-column grid that cut its words on a phone</t>
        </is>
      </c>
      <c r="I527" s="11" t="inlineStr">
        <is>
          <t>Dane</t>
        </is>
      </c>
      <c r="J527" s="15" t="n"/>
      <c r="K527" s="15" t="n"/>
      <c r="L527" s="15" t="n"/>
      <c r="M527" s="16" t="n"/>
      <c r="N527" s="17" t="n"/>
      <c r="O527" s="17" t="n"/>
      <c r="P527" s="15" t="n"/>
    </row>
    <row r="528">
      <c r="A528" s="11" t="n">
        <v>26</v>
      </c>
      <c r="B528" s="11" t="inlineStr">
        <is>
          <t>26.06</t>
        </is>
      </c>
      <c r="C528" s="12" t="inlineStr">
        <is>
          <t>A quote on your phone</t>
        </is>
      </c>
      <c r="D528" s="12" t="inlineStr">
        <is>
          <t>Phone</t>
        </is>
      </c>
      <c r="E528" s="13" t="inlineStr">
        <is>
          <t>Terms and conditions open full screen</t>
        </is>
      </c>
      <c r="F528" s="14" t="inlineStr">
        <is>
          <t>1. The list › "Terms and conditions"
2. Read the row, then tap it
3. Tap into the text, type a word, tap "B" (Bold)
4. Tap "Done"</t>
        </is>
      </c>
      <c r="G528" s="14" t="inlineStr">
        <is>
          <t>The section is one row: "n clauses · shown to the client" over the first lines of the text. Tapping it opens a full-screen editor with the tools as big buttons in two rows (each easy to hit, no scrolling toolbar), Write with AI at the foot's start and Done. What you type saves by itself. Done returns to the row, which now shows your word.</t>
        </is>
      </c>
      <c r="H528" s="12" t="inlineStr">
        <is>
          <t>Different from 1.0: the text is not an open editor in the middle of a long page</t>
        </is>
      </c>
      <c r="I528" s="11" t="inlineStr">
        <is>
          <t>Dane</t>
        </is>
      </c>
      <c r="J528" s="15" t="n"/>
      <c r="K528" s="15" t="n"/>
      <c r="L528" s="15" t="n"/>
      <c r="M528" s="16" t="n"/>
      <c r="N528" s="17" t="n"/>
      <c r="O528" s="17" t="n"/>
      <c r="P528" s="15" t="n"/>
    </row>
    <row r="529">
      <c r="A529" s="11" t="n">
        <v>26</v>
      </c>
      <c r="B529" s="11" t="inlineStr">
        <is>
          <t>26.07</t>
        </is>
      </c>
      <c r="C529" s="12" t="inlineStr">
        <is>
          <t>A quote on your phone</t>
        </is>
      </c>
      <c r="D529" s="12" t="inlineStr">
        <is>
          <t>Phone</t>
        </is>
      </c>
      <c r="E529" s="13" t="inlineStr">
        <is>
          <t>The quote's ⋮, Version History as a sheet, and the snackbar over it</t>
        </is>
      </c>
      <c r="F529" s="14" t="inlineStr">
        <is>
          <t>1. Done, back on the quote screen tap ⋮ at the top right
2. Read the groups, then tap "Version History"
3. Tap "Revise — start version 2"
4. Tap "Close"</t>
        </is>
      </c>
      <c r="G529" s="14" t="inlineStr">
        <is>
          <t>The ⋮ is a sheet with its rows grouped under Look, Change, Share and Export — everything the desktop has, and no key hints. Version History opens as a bottom sheet with Close in its foot. On a never-sent Draft, Revise answers with a snackbar explaining that a draft is edited, not revised — and the snackbar sits above the sheet's foot, never over its Close. Close returns to the quote.</t>
        </is>
      </c>
      <c r="H529" s="12" t="inlineStr">
        <is>
          <t>Different from 1.0: menus are bottom sheets on a phone</t>
        </is>
      </c>
      <c r="I529" s="11" t="inlineStr">
        <is>
          <t>Dane</t>
        </is>
      </c>
      <c r="J529" s="15" t="n"/>
      <c r="K529" s="15" t="n"/>
      <c r="L529" s="15" t="n"/>
      <c r="M529" s="16" t="n"/>
      <c r="N529" s="17" t="n"/>
      <c r="O529" s="17" t="n"/>
      <c r="P529" s="15" t="n"/>
    </row>
    <row r="530">
      <c r="A530" s="11" t="n">
        <v>26</v>
      </c>
      <c r="B530" s="11" t="inlineStr">
        <is>
          <t>26.08</t>
        </is>
      </c>
      <c r="C530" s="12" t="inlineStr">
        <is>
          <t>A quote on your phone</t>
        </is>
      </c>
      <c r="D530" s="12" t="inlineStr">
        <is>
          <t>Phone</t>
        </is>
      </c>
      <c r="E530" s="13" t="inlineStr">
        <is>
          <t>Send for confirmation from your phone</t>
        </is>
      </c>
      <c r="F530" s="14" t="inlineStr">
        <is>
          <t>1. On the quote screen tap "Send ▾" › "Send for confirmation"
2. Read the sheet without scrolling
3. Tap "Copy link"
4. Tap "Send via WhatsApp"</t>
        </is>
      </c>
      <c r="G530" s="14" t="inlineStr">
        <is>
          <t>The sheet is built to fit the screen: "+65" and the number on one line, the message box tall enough for its whole message, no link row (on an iPhone the body may scroll a little, but the foot with its two buttons stays in reach). Copy link (in the foot) copies the confirmation link with a snackbar; Send via WhatsApp opens WhatsApp with the message and the link ready to send. Back in OpenMaison the quote reads Sent to Client and the foot's primary becomes "Remind".</t>
        </is>
      </c>
      <c r="H530" s="12" t="inlineStr">
        <is>
          <t>Same as 1.0: WhatsApp carries the link; the sheet now fits a phone</t>
        </is>
      </c>
      <c r="I530" s="11" t="inlineStr">
        <is>
          <t>Dane</t>
        </is>
      </c>
      <c r="J530" s="15" t="n"/>
      <c r="K530" s="15" t="n"/>
      <c r="L530" s="15" t="n"/>
      <c r="M530" s="16" t="n"/>
      <c r="N530" s="17" t="n"/>
      <c r="O530" s="17" t="n"/>
      <c r="P530" s="15" t="n"/>
    </row>
    <row r="531">
      <c r="A531" s="11" t="n">
        <v>26</v>
      </c>
      <c r="B531" s="11" t="inlineStr">
        <is>
          <t>26.09</t>
        </is>
      </c>
      <c r="C531" s="12" t="inlineStr">
        <is>
          <t>A quote on your phone</t>
        </is>
      </c>
      <c r="D531" s="12" t="inlineStr">
        <is>
          <t>Phone</t>
        </is>
      </c>
      <c r="E531" s="13" t="inlineStr">
        <is>
          <t>As printed is a viewer; the Preview is the client's reflowed quote</t>
        </is>
      </c>
      <c r="F531" s="14" t="inlineStr">
        <is>
          <t>1. On the quote screen scroll to the document and tap "As printed"
2. Swipe left for page 2; double-tap a page; pinch
3. Tap "Fit to width", then the back arrow
4. Open "/quotes/&lt;this quote&gt;/preview" (⋮ › Preview)
5. Tap "Paper" (the "n lines · As printed" row), then ⋮ in the bar</t>
        </is>
      </c>
      <c r="G531" s="14" t="inlineStr">
        <is>
          <t>As printed opens a viewer: the head "As printed · OM-10001 · n pages" with Download, the page fitted to the width, a dot per page that follows your swipe, double-tap zooms and "Fit to width" brings it back. The arrow returns to the quote. The Preview page shows the client's quote as cards under one bar (← · Preview · Send ▾); the paper row opens the same viewer. The bar's ⋮ holds Copy preview link, Share PDF, Internal copy, What your client sees and Change template.</t>
        </is>
      </c>
      <c r="H531" s="12" t="inlineStr">
        <is>
          <t>Different from 1.0: no A4 shrunk to a phone's width</t>
        </is>
      </c>
      <c r="I531" s="11" t="inlineStr">
        <is>
          <t>Dane</t>
        </is>
      </c>
      <c r="J531" s="15" t="n"/>
      <c r="K531" s="15" t="n"/>
      <c r="L531" s="15" t="n"/>
      <c r="M531" s="16" t="n"/>
      <c r="N531" s="17" t="n"/>
      <c r="O531" s="17" t="n"/>
      <c r="P531" s="15" t="n"/>
    </row>
    <row r="532">
      <c r="A532" s="11" t="n">
        <v>26</v>
      </c>
      <c r="B532" s="11" t="inlineStr">
        <is>
          <t>26.10</t>
        </is>
      </c>
      <c r="C532" s="12" t="inlineStr">
        <is>
          <t>A quote on your phone</t>
        </is>
      </c>
      <c r="D532" s="12" t="inlineStr">
        <is>
          <t>Phone</t>
        </is>
      </c>
      <c r="E532" s="13" t="inlineStr">
        <is>
          <t>One primary button per state</t>
        </is>
      </c>
      <c r="F532" s="14" t="inlineStr">
        <is>
          <t>1. As Germaine (View as), open OM-10001 on the phone: read the foot
2. Tap the primary, confirm, read the foot again
3. As Dane, open the same quote: tap "Approve", then read the foot
4. Open OM-10007 (Serena Koh, Sent to Client): read the foot; set a future "Valid until" in General info and read it again
5. Open OM-10004 (Ryan D’Souza, Signed): read the foot</t>
        </is>
      </c>
      <c r="G532" s="14" t="inlineStr">
        <is>
          <t>Germaine's Draft offers "Send" (for approval); once sent, only Edit stays. Dane sees "Approve", then "Send ▾". Serena's quote, past its validity, offers "Revise"; with a future date it offers "Remind", which opens the reminder sheet (a WhatsApp nudge with the confirmation link). Ryan's signed quote offers "Open contract". Every other action is under ⋮.</t>
        </is>
      </c>
      <c r="H532" s="12" t="inlineStr">
        <is>
          <t>New in 2.0: the state decides the one filled button</t>
        </is>
      </c>
      <c r="I532" s="11" t="inlineStr">
        <is>
          <t>Dane</t>
        </is>
      </c>
      <c r="J532" s="15" t="n"/>
      <c r="K532" s="15" t="n"/>
      <c r="L532" s="15" t="n"/>
      <c r="M532" s="16" t="n"/>
      <c r="N532" s="17" t="n"/>
      <c r="O532" s="17" t="n"/>
      <c r="P532" s="15" t="n"/>
    </row>
    <row r="533">
      <c r="A533" s="11" t="n">
        <v>26</v>
      </c>
      <c r="B533" s="11" t="inlineStr">
        <is>
          <t>26.11</t>
        </is>
      </c>
      <c r="C533" s="12" t="inlineStr">
        <is>
          <t>The lists on your phone</t>
        </is>
      </c>
      <c r="D533" s="12" t="inlineStr">
        <is>
          <t>Phone</t>
        </is>
      </c>
      <c r="E533" s="13" t="inlineStr">
        <is>
          <t>The Quotes list as cards</t>
        </is>
      </c>
      <c r="F533" s="14" t="inlineStr">
        <is>
          <t>1. Tools › Quotes on the phone
2. Read a card; tap its ⋮
3. Hold a card until it ticks
4. Tap "Filters"
5. Open Olivia's lead › "Quotes" tab</t>
        </is>
      </c>
      <c r="G533" s="14" t="inlineStr">
        <is>
          <t>Each card leads with the client's name (bold) and the amount at the right; under them the number and title; then a status chip with its "since" (sent · viewed · due · valid until) and a chevron. The ⋮ offers Open, Copy link, Remind (only while the client holds it), Preview, Change status ›, Archive and Delete. Holding a card selects it and shows the bar. Filters is one sheet of chips. The lead's Quotes tab shows the same cards with the title first.</t>
        </is>
      </c>
      <c r="H533" s="12" t="inlineStr">
        <is>
          <t>Different from 1.0: the client leads the card; no checkbox</t>
        </is>
      </c>
      <c r="I533" s="11" t="inlineStr">
        <is>
          <t>Dane</t>
        </is>
      </c>
      <c r="J533" s="15" t="n"/>
      <c r="K533" s="15" t="n"/>
      <c r="L533" s="15" t="n"/>
      <c r="M533" s="16" t="n"/>
      <c r="N533" s="17" t="n"/>
      <c r="O533" s="17" t="n"/>
      <c r="P533" s="15" t="n"/>
    </row>
    <row r="534">
      <c r="A534" s="11" t="n">
        <v>26</v>
      </c>
      <c r="B534" s="11" t="inlineStr">
        <is>
          <t>26.12</t>
        </is>
      </c>
      <c r="C534" s="12" t="inlineStr">
        <is>
          <t>The lists on your phone</t>
        </is>
      </c>
      <c r="D534" s="12" t="inlineStr">
        <is>
          <t>Phone</t>
        </is>
      </c>
      <c r="E534" s="13" t="inlineStr">
        <is>
          <t>Create a quote on your phone</t>
        </is>
      </c>
      <c r="F534" s="14" t="inlineStr">
        <is>
          <t>1. Tools › Quotes › "+"
2. Pick a lead under "Who is this quote for?"
3. Read the four rows; tap "Change" beside the default template, then Back
4. Tap "Blank quote"</t>
        </is>
      </c>
      <c r="G534" s="14" t="inlineStr">
        <is>
          <t>The first step asks "Who is this quote for?" with the recent leads first. Then four tall rows: the default template by name ("Starts with …" and Change), Blank quote, Upload a quote, Draft with Maison AI. Change opens the templates as a list (name over its details). Blank quote makes the quote and opens it as the quote screen. From a lead's Quotes tab the rows show at once (the lead is known).</t>
        </is>
      </c>
      <c r="H534" s="12" t="inlineStr">
        <is>
          <t>Different from 1.0: the lead first, then four rows</t>
        </is>
      </c>
      <c r="I534" s="11" t="inlineStr">
        <is>
          <t>Dane</t>
        </is>
      </c>
      <c r="J534" s="15" t="n"/>
      <c r="K534" s="15" t="n"/>
      <c r="L534" s="15" t="n"/>
      <c r="M534" s="16" t="n"/>
      <c r="N534" s="17" t="n"/>
      <c r="O534" s="17" t="n"/>
      <c r="P534" s="15" t="n"/>
    </row>
    <row r="535">
      <c r="A535" s="11" t="n">
        <v>26</v>
      </c>
      <c r="B535" s="11" t="inlineStr">
        <is>
          <t>26.13</t>
        </is>
      </c>
      <c r="C535" s="12" t="inlineStr">
        <is>
          <t>On a tablet</t>
        </is>
      </c>
      <c r="D535" s="12" t="inlineStr">
        <is>
          <t>Phone</t>
        </is>
      </c>
      <c r="E535" s="13" t="inlineStr">
        <is>
          <t>A tablet held upright reads like the phone, with more room</t>
        </is>
      </c>
      <c r="F535" s="14" t="inlineStr">
        <is>
          <t>1. On a tablet (or the laptop's browser made 768 wide with touch on), open Tools › Quotes
2. Read the table and its right edge
3. Open OM-10001; tap Edit › Items; tap a line
4. Open Olivia's lead › Quotes</t>
        </is>
      </c>
      <c r="G535" s="14" t="inlineStr">
        <is>
          <t>The list is a table with Title, Client, Status, Total and Due, the ⋮ frozen at the right (no View button: the title opens), Create Quote as a "+". The quote opens as the quote screen in a wide column; Items are cards and a tapped line opens in a panel at the right (Quantity and Unit price first), the list still scrolling beside it. The lead's Quotes tab hides the quick-links strip to keep the table's room.</t>
        </is>
      </c>
      <c r="H535" s="12" t="inlineStr">
        <is>
          <t>Different from 1.0: a default set of columns on a tablet</t>
        </is>
      </c>
      <c r="I535" s="11" t="inlineStr">
        <is>
          <t>Dane</t>
        </is>
      </c>
      <c r="J535" s="15" t="n"/>
      <c r="K535" s="15" t="n"/>
      <c r="L535" s="15" t="n"/>
      <c r="M535" s="16" t="n"/>
      <c r="N535" s="17" t="n"/>
      <c r="O535" s="17" t="n"/>
      <c r="P535" s="15" t="n"/>
    </row>
    <row r="536">
      <c r="A536" s="11" t="n">
        <v>26</v>
      </c>
      <c r="B536" s="11" t="inlineStr">
        <is>
          <t>26.14</t>
        </is>
      </c>
      <c r="C536" s="12" t="inlineStr">
        <is>
          <t>On a tablet</t>
        </is>
      </c>
      <c r="D536" s="12" t="inlineStr">
        <is>
          <t>Phone</t>
        </is>
      </c>
      <c r="E536" s="13" t="inlineStr">
        <is>
          <t>A tablet held sideways: the list beside the section, a working grid</t>
        </is>
      </c>
      <c r="F536" s="14" t="inlineStr">
        <is>
          <t>1. Turn the tablet sideways (1024 wide, touch)
2. Open OM-10001 › Edit
3. Tap "Items"; read the grid; tap a Total
4. Tap ⋮ › Column settings › turn "Cost" on; reload
5. Open ⋮ › Preview</t>
        </is>
      </c>
      <c r="G536" s="14" t="inlineStr">
        <is>
          <t>Edit keeps the section list as a pane at the left and the open section at the right; a row swaps the section. Items is a grid of Item, Qty, Unit, Unit price and Total that fits without panning; a tap on a Total opens the rest in the panel; Column settings adds Cost with an "internal" caption and remembers it for the tablet only. The Preview's A4 fits the width under one bar.</t>
        </is>
      </c>
      <c r="H536" s="12" t="inlineStr">
        <is>
          <t>Different from 1.0: five columns a finger can edit, the rest one tap away</t>
        </is>
      </c>
      <c r="I536" s="11" t="inlineStr">
        <is>
          <t>Dane</t>
        </is>
      </c>
      <c r="J536" s="15" t="n"/>
      <c r="K536" s="15" t="n"/>
      <c r="L536" s="15" t="n"/>
      <c r="M536" s="16" t="n"/>
      <c r="N536" s="17" t="n"/>
      <c r="O536" s="17" t="n"/>
      <c r="P536" s="15" t="n"/>
    </row>
    <row r="537">
      <c r="A537" s="11" t="n">
        <v>26</v>
      </c>
      <c r="B537" s="11" t="inlineStr">
        <is>
          <t>26.15</t>
        </is>
      </c>
      <c r="C537" s="12" t="inlineStr">
        <is>
          <t>The client's phone</t>
        </is>
      </c>
      <c r="D537" s="12" t="inlineStr">
        <is>
          <t>Phone</t>
        </is>
      </c>
      <c r="E537" s="13" t="inlineStr">
        <is>
          <t>The confirmation link on the client's phone</t>
        </is>
      </c>
      <c r="F537" s="14" t="inlineStr">
        <is>
          <t>1. Send Serena's quote for confirmation (26.08) and open the copied link on the phone
2. Scroll to the end
3. Tap "View as printed", pinch, then back
4. Tap "Confirm quote"
5. On a tablet held sideways, open the same link</t>
        </is>
      </c>
      <c r="G537" s="14" t="inlineStr">
        <is>
          <t>The page starts with a total card (the amount, the lines, valid until, View as printed), then the quote as cards, with a bar that stays at the bottom: "Confirm quote" (tall) and "Ask". View as printed opens the paper in a viewer with pinch. Confirm opens a short sheet: the name, the fine print, Confirm. Sideways on a tablet the card sits above the paper and Confirm keeps its size.</t>
        </is>
      </c>
      <c r="H537" s="12" t="inlineStr">
        <is>
          <t>Different from 1.0: Confirm is always within reach</t>
        </is>
      </c>
      <c r="I537" s="11" t="inlineStr">
        <is>
          <t>Dane</t>
        </is>
      </c>
      <c r="J537" s="15" t="n"/>
      <c r="K537" s="15" t="n"/>
      <c r="L537" s="15" t="n"/>
      <c r="M537" s="16" t="n"/>
      <c r="N537" s="17" t="n"/>
      <c r="O537" s="17" t="n"/>
      <c r="P537" s="15" t="n"/>
    </row>
    <row r="538">
      <c r="A538" s="11" t="n">
        <v>26</v>
      </c>
      <c r="B538" s="11" t="inlineStr">
        <is>
          <t>26.16</t>
        </is>
      </c>
      <c r="C538" s="12" t="inlineStr">
        <is>
          <t>The desktop</t>
        </is>
      </c>
      <c r="D538" s="12" t="inlineStr">
        <is>
          <t>Quotes</t>
        </is>
      </c>
      <c r="E538" s="13" t="inlineStr">
        <is>
          <t>Nothing changed on the desktop</t>
        </is>
      </c>
      <c r="F538" s="14" t="inlineStr">
        <is>
          <t>1. On the laptop at full width, open Tools › Quotes, a quote, its Preview and Serena's confirmation link</t>
        </is>
      </c>
      <c r="G538" s="14" t="inlineStr">
        <is>
          <t>The list, the editor (General Info, the Items grid, the Payment Schedule table, Files, Terms, Signature, Activity), the Preview with its bar and panel, and the client's page are exactly as they were in chapters 6 and 8.</t>
        </is>
      </c>
      <c r="H538" s="12" t="inlineStr">
        <is>
          <t>Same as 1.0</t>
        </is>
      </c>
      <c r="I538" s="11" t="inlineStr">
        <is>
          <t>Dane</t>
        </is>
      </c>
      <c r="J538" s="15" t="n"/>
      <c r="K538" s="15" t="n"/>
      <c r="L538" s="15" t="n"/>
      <c r="M538" s="16" t="n"/>
      <c r="N538" s="17" t="n"/>
      <c r="O538" s="17" t="n"/>
      <c r="P538" s="15" t="n"/>
    </row>
    <row r="539" ht="22" customHeight="1">
      <c r="A539" s="9" t="inlineStr">
        <is>
          <t>Chapter 27 · Contracts on the move — A contract on a phone and a tablet: it opens as the document, Edit is a short list with Details as one form, the paper full screen with one row of tools, a signature field placed by clause, the client reads first and signs in one hand, the lists and templates as cards and rows, a photo of the signed paper on the Won step.</t>
        </is>
      </c>
      <c r="M539" s="10" t="n"/>
    </row>
    <row r="540">
      <c r="A540" s="11" t="n">
        <v>27</v>
      </c>
      <c r="B540" s="11" t="inlineStr">
        <is>
          <t>27.01</t>
        </is>
      </c>
      <c r="C540" s="12" t="inlineStr">
        <is>
          <t>A contract on your phone</t>
        </is>
      </c>
      <c r="D540" s="12" t="inlineStr">
        <is>
          <t>Phone</t>
        </is>
      </c>
      <c r="E540" s="13" t="inlineStr">
        <is>
          <t>Open a contract on your phone: it opens as the document, not the editor</t>
        </is>
      </c>
      <c r="F540" s="14" t="inlineStr">
        <is>
          <t>1. On your phone (the Network address from chapter 12), tap "Tools" › "Contracts"
2. Tap the card "Olivia Martinez" (Interior Design Service Agreement, Draft)
3. Read the top of the screen, then scroll to the end</t>
        </is>
      </c>
      <c r="G540" s="14" t="inlineStr">
        <is>
          <t>The contract opens as a screen: a back arrow, "Olivia Martinez" with "Interior Design Service Agreement · from OM-10001" under it, ⋮ at the right. A card holds the Draft chip, From template, the contract date as a row, the quote row (OM-10001 · its amount · its status) and Olivia with Call, WhatsApp and a pencil. One "Next" line says what the contract needs. The clauses are cards split at the headings (the first open, the rest folded), the signature boxes a last card. Rows for Signature fields, Before the client signs, Automation, Files and Activity follow. A foot stays at the bottom with "Edit" and "Send". Nothing scrolls sideways.</t>
        </is>
      </c>
      <c r="H540" s="12" t="inlineStr">
        <is>
          <t>Different from 1.0: a contract on a phone opens as the document; the editor comes on Edit</t>
        </is>
      </c>
      <c r="I540" s="11" t="inlineStr">
        <is>
          <t>Dane</t>
        </is>
      </c>
      <c r="J540" s="15" t="n"/>
      <c r="K540" s="15" t="n"/>
      <c r="L540" s="15" t="n"/>
      <c r="M540" s="16" t="n"/>
      <c r="N540" s="17" t="n"/>
      <c r="O540" s="17" t="n"/>
      <c r="P540" s="15" t="n"/>
    </row>
    <row r="541">
      <c r="A541" s="11" t="n">
        <v>27</v>
      </c>
      <c r="B541" s="11" t="inlineStr">
        <is>
          <t>27.02</t>
        </is>
      </c>
      <c r="C541" s="12" t="inlineStr">
        <is>
          <t>A contract on your phone</t>
        </is>
      </c>
      <c r="D541" s="12" t="inlineStr">
        <is>
          <t>Phone</t>
        </is>
      </c>
      <c r="E541" s="13" t="inlineStr">
        <is>
          <t>Edit is a short list; Details is one form</t>
        </is>
      </c>
      <c r="F541" s="14" t="inlineStr">
        <is>
          <t>1. Tap "Edit"
2. Read the list
3. Tap "Details"; change the contract date (the calendar) and the recipient's number; tap the back arrow
4. Tap "Done"</t>
        </is>
      </c>
      <c r="G541" s="14" t="inlineStr">
        <is>
          <t>Edit opens a short list: Details, Document, Signature fields, Before the client signs, Automation, Files — each with a one-line summary. Details is one form (title, recipient and number, contract date, the quote, issued by) that types at 16 and saves by itself; the calendar's days are big enough for a finger. The arrow returns to the list; Done returns to the contract, whose card now reads the new date and number.</t>
        </is>
      </c>
      <c r="H541" s="12" t="inlineStr">
        <is>
          <t>Different from 1.0: the four things that change on site in one form</t>
        </is>
      </c>
      <c r="I541" s="11" t="inlineStr">
        <is>
          <t>Dane</t>
        </is>
      </c>
      <c r="J541" s="15" t="n"/>
      <c r="K541" s="15" t="n"/>
      <c r="L541" s="15" t="n"/>
      <c r="M541" s="16" t="n"/>
      <c r="N541" s="17" t="n"/>
      <c r="O541" s="17" t="n"/>
      <c r="P541" s="15" t="n"/>
    </row>
    <row r="542">
      <c r="A542" s="11" t="n">
        <v>27</v>
      </c>
      <c r="B542" s="11" t="inlineStr">
        <is>
          <t>27.03</t>
        </is>
      </c>
      <c r="C542" s="12" t="inlineStr">
        <is>
          <t>A contract on your phone</t>
        </is>
      </c>
      <c r="D542" s="12" t="inlineStr">
        <is>
          <t>Phone</t>
        </is>
      </c>
      <c r="E542" s="13" t="inlineStr">
        <is>
          <t>The Document screen: the paper full screen with one row of tools</t>
        </is>
      </c>
      <c r="F542" s="14" t="inlineStr">
        <is>
          <t>1. Edit › "Document"
2. Read the bar and the row of tools
3. Tap into clause 2, type a word, tap "B"
4. Tap "+" in the tool row › "Insert a field" › "Client phone"
5. Tap a lilac field chip in the text
6. Tap the outline (≡) and pick a clause; tap "Done"</t>
        </is>
      </c>
      <c r="G542" s="14" t="inlineStr">
        <is>
          <t>The paper fills the screen under a bar (← · Document · the clause · ≡ · Done) with one row of seven big tools: Undo, Text, B, I, U, List, +. Nothing scrolls sideways and nothing covers the text (no Maison AI button here). "+" opens a sheet: Add a signature field, Link, Image, Highlight, Numbered list, the alignments, then Insert a field with what each prints as; the chip lands where the caret was with "Client phone inserted · Undo". A tap on a chip says what it prints as, with Remove. The outline jumps to the clause; Done returns to the list.</t>
        </is>
      </c>
      <c r="H542" s="12" t="inlineStr">
        <is>
          <t>Different from 1.0: seven tools at a finger's size, the rest one tap further</t>
        </is>
      </c>
      <c r="I542" s="11" t="inlineStr">
        <is>
          <t>Dane</t>
        </is>
      </c>
      <c r="J542" s="15" t="n"/>
      <c r="K542" s="15" t="n"/>
      <c r="L542" s="15" t="n"/>
      <c r="M542" s="16" t="n"/>
      <c r="N542" s="17" t="n"/>
      <c r="O542" s="17" t="n"/>
      <c r="P542" s="15" t="n"/>
    </row>
    <row r="543">
      <c r="A543" s="11" t="n">
        <v>27</v>
      </c>
      <c r="B543" s="11" t="inlineStr">
        <is>
          <t>27.04</t>
        </is>
      </c>
      <c r="C543" s="12" t="inlineStr">
        <is>
          <t>A contract on your phone</t>
        </is>
      </c>
      <c r="D543" s="12" t="inlineStr">
        <is>
          <t>Phone</t>
        </is>
      </c>
      <c r="E543" s="13" t="inlineStr">
        <is>
          <t>A signature field is placed by choosing where, never by a thumb</t>
        </is>
      </c>
      <c r="F543" s="14" t="inlineStr">
        <is>
          <t>1. Edit › "Signature fields"
2. On "Client initial" tap "Add"
3. Pick "Under Signatures" (already picked) and tap "Add under Signatures"
4. Tap "Undo" in the snackbar
5. Edit › "Before the client signs": tap the words of "Read to the end"</t>
        </is>
      </c>
      <c r="G543" s="14" t="inlineStr">
        <is>
          <t>Signature fields lists Studio signature, Client signature, Studio initial, Client initial as placed / not placed. Add asks where: the clauses from the outline, "Under Signatures" picked for you, "At the end". The field lands as its own block under Signatures, the screen scrolls to it with a pulse and the snackbar says "Client initial added under Signatures · Undo"; Undo takes it away. Before the client signs: the whole row toggles the switch, not only its track; the help reads at 14.</t>
        </is>
      </c>
      <c r="H543" s="12" t="inlineStr">
        <is>
          <t>Different from 1.0: no caret needed; a field goes after a clause you choose</t>
        </is>
      </c>
      <c r="I543" s="11" t="inlineStr">
        <is>
          <t>Dane</t>
        </is>
      </c>
      <c r="J543" s="15" t="n"/>
      <c r="K543" s="15" t="n"/>
      <c r="L543" s="15" t="n"/>
      <c r="M543" s="16" t="n"/>
      <c r="N543" s="17" t="n"/>
      <c r="O543" s="17" t="n"/>
      <c r="P543" s="15" t="n"/>
    </row>
    <row r="544">
      <c r="A544" s="11" t="n">
        <v>27</v>
      </c>
      <c r="B544" s="11" t="inlineStr">
        <is>
          <t>27.05</t>
        </is>
      </c>
      <c r="C544" s="12" t="inlineStr">
        <is>
          <t>A contract on your phone</t>
        </is>
      </c>
      <c r="D544" s="12" t="inlineStr">
        <is>
          <t>Phone</t>
        </is>
      </c>
      <c r="E544" s="13" t="inlineStr">
        <is>
          <t>Send from the phone; the state's one button after</t>
        </is>
      </c>
      <c r="F544" s="14" t="inlineStr">
        <is>
          <t>1. Back on the contract tap "Send"
2. Read the sheet without scrolling; tap "How signing works"
3. Tap "Send via WhatsApp" (WhatsApp opens with the message; come back)
4. Read the Next line and the foot; tap "Remind"
5. Tap ⋮ at the top right</t>
        </is>
      </c>
      <c r="G544" s="14" t="inlineStr">
        <is>
          <t>The sheet fits the phone: a one-line head, the recipient and number, the message, Copy link and Send via WhatsApp in the foot; "How signing works" unfolds the explanation; no "Mark as signed" line here (it is in ⋮). After sending, the Next line reads "With Olivia for signature · sent just now · not opened yet · link open until …" and the foot's button is "Remind", which opens the reminder sheet. The ⋮ is grouped (Look · Change · Share · Export) with no key hints; a snackbar never covers its rows.</t>
        </is>
      </c>
      <c r="H544" s="12" t="inlineStr">
        <is>
          <t>Same as 1.0: WhatsApp carries the link; the state decides the one button</t>
        </is>
      </c>
      <c r="I544" s="11" t="inlineStr">
        <is>
          <t>Dane</t>
        </is>
      </c>
      <c r="J544" s="15" t="n"/>
      <c r="K544" s="15" t="n"/>
      <c r="L544" s="15" t="n"/>
      <c r="M544" s="16" t="n"/>
      <c r="N544" s="17" t="n"/>
      <c r="O544" s="17" t="n"/>
      <c r="P544" s="15" t="n"/>
    </row>
    <row r="545">
      <c r="A545" s="11" t="n">
        <v>27</v>
      </c>
      <c r="B545" s="11" t="inlineStr">
        <is>
          <t>27.06</t>
        </is>
      </c>
      <c r="C545" s="12" t="inlineStr">
        <is>
          <t>A contract on your phone</t>
        </is>
      </c>
      <c r="D545" s="12" t="inlineStr">
        <is>
          <t>Phone</t>
        </is>
      </c>
      <c r="E545" s="13" t="inlineStr">
        <is>
          <t>A signed contract reads only; the paper as a viewer</t>
        </is>
      </c>
      <c r="F545" s="14" t="inlineStr">
        <is>
          <t>1. Tools › Contracts › "Ryan D’Souza" (Signed)
2. Read the card and the foot; open the "Signed copy" row and ⋮ › "Signing record"
3. Tap "As printed" on the document; swipe, pinch, then back
4. ⋮ › "Preview": tap "Paper"</t>
        </is>
      </c>
      <c r="G545" s="14" t="inlineStr">
        <is>
          <t>A signed contract has no Edit: the card says "Signed 31 Jul ’26 · marked by the studio", the foot offers "Download signed copy" (and Move to Won while the lead is not Won). No toolbar, no greyed tools. As printed opens the viewer (fit to width, swipe, pinch, Download); the Preview page is the reflowed paper under one bar with Paper as a toggle to the same viewer.</t>
        </is>
      </c>
      <c r="H545" s="12" t="inlineStr">
        <is>
          <t>Different from 1.0: no dead toolbar over a frozen copy</t>
        </is>
      </c>
      <c r="I545" s="11" t="inlineStr">
        <is>
          <t>Dane</t>
        </is>
      </c>
      <c r="J545" s="15" t="n"/>
      <c r="K545" s="15" t="n"/>
      <c r="L545" s="15" t="n"/>
      <c r="M545" s="16" t="n"/>
      <c r="N545" s="17" t="n"/>
      <c r="O545" s="17" t="n"/>
      <c r="P545" s="15" t="n"/>
    </row>
    <row r="546">
      <c r="A546" s="11" t="n">
        <v>27</v>
      </c>
      <c r="B546" s="11" t="inlineStr">
        <is>
          <t>27.07</t>
        </is>
      </c>
      <c r="C546" s="12" t="inlineStr">
        <is>
          <t>The client signs on their phone</t>
        </is>
      </c>
      <c r="D546" s="12" t="inlineStr">
        <is>
          <t>Phone</t>
        </is>
      </c>
      <c r="E546" s="13" t="inlineStr">
        <is>
          <t>Read first, then one bar that walks to the signature</t>
        </is>
      </c>
      <c r="F546" s="14" t="inlineStr">
        <is>
          <t>1. Open the link you sent in 27.05 on the phone (or a phone-sized window)
2. Read the top; scroll and watch the bar
3. Tap "As cards" in the hero, then "View as printed", then Back
4. Scroll to the end</t>
        </is>
      </c>
      <c r="G546" s="14" t="inlineStr">
        <is>
          <t>A head with the studio's name, then a card: the agreement, "Signs quotation OM-10001 · S$… → As cards", "Hi Olivia, read it, then sign with a one-time code." The paper comes first, at a readable size. A bar stays at the bottom: "Read to the end to sign · 1 of 13 sections", counting as you scroll. As cards shows the quote as reading cards in place (View as printed opens the paper viewer); the phone's Back closes it without reloading. At the end the bar becomes one filled button: "Accept and sign".</t>
        </is>
      </c>
      <c r="H546" s="12" t="inlineStr">
        <is>
          <t>Different from 1.0: the paper first; the form was above it</t>
        </is>
      </c>
      <c r="I546" s="18" t="inlineStr">
        <is>
          <t>Sophia Wong (client)</t>
        </is>
      </c>
      <c r="J546" s="15" t="n"/>
      <c r="K546" s="15" t="n"/>
      <c r="L546" s="15" t="n"/>
      <c r="M546" s="16" t="n"/>
      <c r="N546" s="17" t="n"/>
      <c r="O546" s="17" t="n"/>
      <c r="P546" s="15" t="n"/>
    </row>
    <row r="547">
      <c r="A547" s="11" t="n">
        <v>27</v>
      </c>
      <c r="B547" s="11" t="inlineStr">
        <is>
          <t>27.08</t>
        </is>
      </c>
      <c r="C547" s="12" t="inlineStr">
        <is>
          <t>The client signs on their phone</t>
        </is>
      </c>
      <c r="D547" s="12" t="inlineStr">
        <is>
          <t>Phone</t>
        </is>
      </c>
      <c r="E547" s="13" t="inlineStr">
        <is>
          <t>Tick, code, sign — in one hand</t>
        </is>
      </c>
      <c r="F547" s="14" t="inlineStr">
        <is>
          <t>1. Tap "Accept and sign"
2. Tick the words (and the CaseTrust box), tap Continue
3. Type any six digits (the demo sends no text)
4. Read the Type screen; tap "Draw" and draw a square; tap "Clear"; go back to Type
5. Tap "Sign agreement"</t>
        </is>
      </c>
      <c r="G547" s="14" t="inlineStr">
        <is>
          <t>A sheet in three screens, one filled button each: the words to tick at a readable size; six code boxes (a real phone offers the SMS code); then your name typed in the signature face, with Draw one tap away — a square drawn stays a square, Clear sits under the pad, NRIC is folded. The consent sentence reads at 16. Sign closes the sheet and the page lands on the signature box.</t>
        </is>
      </c>
      <c r="H547" s="12" t="inlineStr">
        <is>
          <t>Different from 1.0: the code autofills; the drawn signature keeps its shape</t>
        </is>
      </c>
      <c r="I547" s="18" t="inlineStr">
        <is>
          <t>Sophia Wong (client)</t>
        </is>
      </c>
      <c r="J547" s="15" t="n"/>
      <c r="K547" s="15" t="n"/>
      <c r="L547" s="15" t="n"/>
      <c r="M547" s="16" t="n"/>
      <c r="N547" s="17" t="n"/>
      <c r="O547" s="17" t="n"/>
      <c r="P547" s="15" t="n"/>
    </row>
    <row r="548">
      <c r="A548" s="11" t="n">
        <v>27</v>
      </c>
      <c r="B548" s="11" t="inlineStr">
        <is>
          <t>27.09</t>
        </is>
      </c>
      <c r="C548" s="12" t="inlineStr">
        <is>
          <t>The client signs on their phone</t>
        </is>
      </c>
      <c r="D548" s="12" t="inlineStr">
        <is>
          <t>Phone</t>
        </is>
      </c>
      <c r="E548" s="13" t="inlineStr">
        <is>
          <t>Signed: keep a copy, see the record</t>
        </is>
      </c>
      <c r="F548" s="14" t="inlineStr">
        <is>
          <t>1. Read the Signed card and the bar
2. Tap "Save a copy"
3. Tap "Signing record"
4. Open a dead link: /sign/none</t>
        </is>
      </c>
      <c r="G548" s="14" t="inlineStr">
        <is>
          <t>The card reads Signed with the date; its rows are Save a copy, Pay the deposit and Signing record; the bar reads "Signed by Olivia · 22 Oct ’26". Save a copy opens the phone's share sheet with this page's address (where there is none, the link is copied and a snackbar says the page stays at it with the record and its fingerprint) — nothing prints. Signing record opens as a sheet, one tap away. A dead link's notice offers "Message Demo Studio Pte Ltd".</t>
        </is>
      </c>
      <c r="H548" s="12" t="inlineStr">
        <is>
          <t>Different from 1.0: a copy you can keep from a phone; the record one tap away</t>
        </is>
      </c>
      <c r="I548" s="18" t="inlineStr">
        <is>
          <t>Sophia Wong (client)</t>
        </is>
      </c>
      <c r="J548" s="15" t="n"/>
      <c r="K548" s="15" t="n"/>
      <c r="L548" s="15" t="n"/>
      <c r="M548" s="16" t="n"/>
      <c r="N548" s="17" t="n"/>
      <c r="O548" s="17" t="n"/>
      <c r="P548" s="15" t="n"/>
    </row>
    <row r="549">
      <c r="A549" s="11" t="n">
        <v>27</v>
      </c>
      <c r="B549" s="11" t="inlineStr">
        <is>
          <t>27.10</t>
        </is>
      </c>
      <c r="C549" s="12" t="inlineStr">
        <is>
          <t>The lists on your phone</t>
        </is>
      </c>
      <c r="D549" s="12" t="inlineStr">
        <is>
          <t>Phone</t>
        </is>
      </c>
      <c r="E549" s="13" t="inlineStr">
        <is>
          <t>The Contracts list as cards</t>
        </is>
      </c>
      <c r="F549" s="14" t="inlineStr">
        <is>
          <t>1. Tools › Contracts on the phone
2. Read a card; tap its ⋮
3. Hold a card until it ticks
4. Open Olivia's lead › "Contracts" tab</t>
        </is>
      </c>
      <c r="G549" s="14" t="inlineStr">
        <is>
          <t>Each card leads with the client's name and the amount of the quote it signs; under them "Signs OM-… · Interior Design Service Agreement"; then a status chip you cannot tap (the status changes on the contract) with its since (sent · not opened · link expired · signed) and a chevron. The whole card opens the contract; holding selects. The ⋮ offers Open, Send a reminder (or Send the link again), Copy link, Mark as signed…, Stop the signing link, Change status ›, Share PDF, Archive, Delete. The to-do chips keep their words. The lead's tab shows the same cards with the title first.</t>
        </is>
      </c>
      <c r="H549" s="12" t="inlineStr">
        <is>
          <t>Different from 1.0: the client leads the card; the status is read-only</t>
        </is>
      </c>
      <c r="I549" s="11" t="inlineStr">
        <is>
          <t>Dane</t>
        </is>
      </c>
      <c r="J549" s="15" t="n"/>
      <c r="K549" s="15" t="n"/>
      <c r="L549" s="15" t="n"/>
      <c r="M549" s="16" t="n"/>
      <c r="N549" s="17" t="n"/>
      <c r="O549" s="17" t="n"/>
      <c r="P549" s="15" t="n"/>
    </row>
    <row r="550">
      <c r="A550" s="11" t="n">
        <v>27</v>
      </c>
      <c r="B550" s="11" t="inlineStr">
        <is>
          <t>27.11</t>
        </is>
      </c>
      <c r="C550" s="12" t="inlineStr">
        <is>
          <t>The lists on your phone</t>
        </is>
      </c>
      <c r="D550" s="12" t="inlineStr">
        <is>
          <t>Phone</t>
        </is>
      </c>
      <c r="E550" s="13" t="inlineStr">
        <is>
          <t>A new contract on your phone: who first</t>
        </is>
      </c>
      <c r="F550" s="14" t="inlineStr">
        <is>
          <t>1. Tools › Contracts › "+"
2. Pick a lead under "Who is it for?"
3. Read the rows; tap "From a template"
4. Pick the agreement and tap "Use template"</t>
        </is>
      </c>
      <c r="G550" s="14" t="inlineStr">
        <is>
          <t>The first step asks who the contract is for, recent leads first with a search. Then rows: From the studio agreement, From a template, Import from file. From a template opens the templates as a list (the suggested one picked, one button named after the pick); the contract opens as the contract screen for that lead.</t>
        </is>
      </c>
      <c r="H550" s="12" t="inlineStr">
        <is>
          <t>Different from 1.0: the lead first, then the kind</t>
        </is>
      </c>
      <c r="I550" s="11" t="inlineStr">
        <is>
          <t>Dane</t>
        </is>
      </c>
      <c r="J550" s="15" t="n"/>
      <c r="K550" s="15" t="n"/>
      <c r="L550" s="15" t="n"/>
      <c r="M550" s="16" t="n"/>
      <c r="N550" s="17" t="n"/>
      <c r="O550" s="17" t="n"/>
      <c r="P550" s="15" t="n"/>
    </row>
    <row r="551">
      <c r="A551" s="11" t="n">
        <v>27</v>
      </c>
      <c r="B551" s="11" t="inlineStr">
        <is>
          <t>27.12</t>
        </is>
      </c>
      <c r="C551" s="12" t="inlineStr">
        <is>
          <t>Templates on your phone</t>
        </is>
      </c>
      <c r="D551" s="12" t="inlineStr">
        <is>
          <t>Phone</t>
        </is>
      </c>
      <c r="E551" s="13" t="inlineStr">
        <is>
          <t>A template is an outline you open one clause at a time</t>
        </is>
      </c>
      <c r="F551" s="14" t="inlineStr">
        <is>
          <t>1. More › Company › Templates › Contracts on the phone
2. Read the list; tap "Interior Design Service Agreement"
3. Tap clause 4 (Defects period), fix a word, tap Done
4. Open "Before the client signs"; tap a row's ⋮ back in the list</t>
        </is>
      </c>
      <c r="G551" s="14" t="inlineStr">
        <is>
          <t>The gallery is a list with Default and At handover on top: each row the name, "13 headings · used by 5 · edited 14 Aug" and a chevron. A template opens as a reading screen: a status row ("Default · used by 5 · fills 10 fields · client signs ✓") and the clauses as rows; a clause opens full screen to edit with the same one row of tools as a contract; the signing rules are switches in their own row. The row's ⋮ offers New contract from this template, Set as default, Use at handover, Rename, Move to folder, Duplicate, Delete.</t>
        </is>
      </c>
      <c r="H551" s="12" t="inlineStr">
        <is>
          <t>Different from 1.0: never a shrunk A4, never a 3,800px text box</t>
        </is>
      </c>
      <c r="I551" s="11" t="inlineStr">
        <is>
          <t>Dane</t>
        </is>
      </c>
      <c r="J551" s="15" t="n"/>
      <c r="K551" s="15" t="n"/>
      <c r="L551" s="15" t="n"/>
      <c r="M551" s="16" t="n"/>
      <c r="N551" s="17" t="n"/>
      <c r="O551" s="17" t="n"/>
      <c r="P551" s="15" t="n"/>
    </row>
    <row r="552">
      <c r="A552" s="11" t="n">
        <v>27</v>
      </c>
      <c r="B552" s="11" t="inlineStr">
        <is>
          <t>27.13</t>
        </is>
      </c>
      <c r="C552" s="12" t="inlineStr">
        <is>
          <t>The contract elsewhere</t>
        </is>
      </c>
      <c r="D552" s="12" t="inlineStr">
        <is>
          <t>Phone</t>
        </is>
      </c>
      <c r="E552" s="13" t="inlineStr">
        <is>
          <t>The contract inside the quote, the project and the Won step</t>
        </is>
      </c>
      <c r="F552" s="14" t="inlineStr">
        <is>
          <t>1. Tools › Quotes › Olivia's quote on the phone: read the hero
2. Projects › Ryan D’Souza's project › Overview: find "Documents"; open Money
3. Leads › a lead in Quote Sent › the stage pill › Won › "Attach client signed contract"</t>
        </is>
      </c>
      <c r="G552" s="14" t="inlineStr">
        <is>
          <t>The quote's hero has a row "Contract · Sent to Client ›" that opens the contract, and the Next line reads the contract's state. The project Overview has a Documents fold (the signed quote, the contract, each with its date and ↗); the To collect tile shows the contract total at a readable size. The Won step offers "Take a photo" (the camera) and "Choose a file": a photo of the signed paper is kept as the signed copy and the lead moves to Won.</t>
        </is>
      </c>
      <c r="H552" s="12" t="inlineStr">
        <is>
          <t>Different from 1.0: a phone's camera signs the lead off on site</t>
        </is>
      </c>
      <c r="I552" s="11" t="inlineStr">
        <is>
          <t>Dane</t>
        </is>
      </c>
      <c r="J552" s="15" t="n"/>
      <c r="K552" s="15" t="n"/>
      <c r="L552" s="15" t="n"/>
      <c r="M552" s="16" t="n"/>
      <c r="N552" s="17" t="n"/>
      <c r="O552" s="17" t="n"/>
      <c r="P552" s="15" t="n"/>
    </row>
    <row r="553">
      <c r="A553" s="11" t="n">
        <v>27</v>
      </c>
      <c r="B553" s="11" t="inlineStr">
        <is>
          <t>27.14</t>
        </is>
      </c>
      <c r="C553" s="12" t="inlineStr">
        <is>
          <t>On a tablet</t>
        </is>
      </c>
      <c r="D553" s="12" t="inlineStr">
        <is>
          <t>Phone</t>
        </is>
      </c>
      <c r="E553" s="13" t="inlineStr">
        <is>
          <t>A tablet held upright follows the phone; held sideways it holds the list beside the section</t>
        </is>
      </c>
      <c r="F553" s="14" t="inlineStr">
        <is>
          <t>1. On a tablet upright (768), open a contract and Edit
2. Turn it sideways (1024): Edit › Details; then Document; tap ≡
3. Tools › Contracts sideways: read the table's columns</t>
        </is>
      </c>
      <c r="G553" s="14" t="inlineStr">
        <is>
          <t>Upright: the contract screen in a wide column, the list and the Document screen full width, the + ▾ and Text ▾ as sheets. Sideways: the section list is a 300 pane beside the open section; Document is full width with the Outline as a pane (never a drawer over the paper); Add a signature field is a centred dialog. The list is a table with Title, Lead, Status and Sent, Title and ⋮ frozen, the title opening the contract; Column settings adds the rest, remembered for the tablet.</t>
        </is>
      </c>
      <c r="H553" s="12" t="inlineStr">
        <is>
          <t>Different from 1.0: a default set of columns on a tablet</t>
        </is>
      </c>
      <c r="I553" s="11" t="inlineStr">
        <is>
          <t>Dane</t>
        </is>
      </c>
      <c r="J553" s="15" t="n"/>
      <c r="K553" s="15" t="n"/>
      <c r="L553" s="15" t="n"/>
      <c r="M553" s="16" t="n"/>
      <c r="N553" s="17" t="n"/>
      <c r="O553" s="17" t="n"/>
      <c r="P553" s="15" t="n"/>
    </row>
    <row r="554">
      <c r="A554" s="11" t="n">
        <v>27</v>
      </c>
      <c r="B554" s="11" t="inlineStr">
        <is>
          <t>27.15</t>
        </is>
      </c>
      <c r="C554" s="12" t="inlineStr">
        <is>
          <t>The desktop</t>
        </is>
      </c>
      <c r="D554" s="12" t="inlineStr">
        <is>
          <t>Contracts</t>
        </is>
      </c>
      <c r="E554" s="13" t="inlineStr">
        <is>
          <t>Nothing changed on the desktop</t>
        </is>
      </c>
      <c r="F554" s="14" t="inlineStr">
        <is>
          <t>1. On the laptop at full width, open Tools › Contracts, a contract, its Preview, a template and a signing link</t>
        </is>
      </c>
      <c r="G554" s="14" t="inlineStr">
        <is>
          <t>The list, the editor (the meta row, the tool bar, the paper, eSignatures as a drawer, Insert at the caret), the Preview, the template editor and the client's signing page are as they were in chapter 8 — only the dead-link notices now offer "Message Demo Studio Pte Ltd", and the gate rows toggle on their words too.</t>
        </is>
      </c>
      <c r="H554" s="12" t="inlineStr">
        <is>
          <t>Same as 1.0</t>
        </is>
      </c>
      <c r="I554" s="11" t="inlineStr">
        <is>
          <t>Dane</t>
        </is>
      </c>
      <c r="J554" s="15" t="n"/>
      <c r="K554" s="15" t="n"/>
      <c r="L554" s="15" t="n"/>
      <c r="M554" s="16" t="n"/>
      <c r="N554" s="17" t="n"/>
      <c r="O554" s="17" t="n"/>
      <c r="P554" s="15" t="n"/>
    </row>
    <row r="555" ht="22" customHeight="1">
      <c r="A555" s="9" t="inlineStr">
        <is>
          <t>Chapter 28 · Leads on the move — A lead on a phone and a tablet: the listing says who to call now, a lead keeps its page and tab strip, a call is logged in the log sheet, the Move stage window one step at a time, Won as a checklist, On Hold and Lost as one sheet, the tabs’ contents as cards.</t>
        </is>
      </c>
      <c r="M555" s="10" t="n"/>
    </row>
    <row r="556">
      <c r="A556" s="11" t="n">
        <v>28</v>
      </c>
      <c r="B556" s="11" t="inlineStr">
        <is>
          <t>28.01</t>
        </is>
      </c>
      <c r="C556" s="12" t="inlineStr">
        <is>
          <t>The leads on your phone</t>
        </is>
      </c>
      <c r="D556" s="12" t="inlineStr">
        <is>
          <t>Phone</t>
        </is>
      </c>
      <c r="E556" s="13" t="inlineStr">
        <is>
          <t>The listing on a phone says who to call now</t>
        </is>
      </c>
      <c r="F556" s="14" t="inlineStr">
        <is>
          <t>1. On your phone (the Network address from chapter 12), tap "Leads"
2. Look at Chloe Tan's card, then Farah Ahmad's
3. Tap "n to call today" at the top</t>
        </is>
      </c>
      <c r="G556" s="14" t="inlineStr">
        <is>
          <t>Each card carries a "Last" line (how and when the client was last reached) and a "Next" line (the next follow-up). Chloe Tan, whom nobody has opened yet, has a coloured band and a "New" tag. Farah Ahmad's Next line is red and says how many days late. A WhatsApp button sits beside each number, and the stage pill is at the left of the card's foot, clear of the Maison AI button. "n to call today" narrows the list to leads with a follow-up due today or late, and the pill names it; going into a lead and back keeps it.</t>
        </is>
      </c>
      <c r="H556" s="12" t="inlineStr">
        <is>
          <t>Different from 1.0: the card says when you last spoke and what comes next</t>
        </is>
      </c>
      <c r="I556" s="11" t="inlineStr">
        <is>
          <t>Dane</t>
        </is>
      </c>
      <c r="J556" s="15" t="n"/>
      <c r="K556" s="15" t="n"/>
      <c r="L556" s="15" t="n"/>
      <c r="M556" s="16" t="n"/>
      <c r="N556" s="17" t="n"/>
      <c r="O556" s="17" t="n"/>
      <c r="P556" s="15" t="n"/>
    </row>
    <row r="557">
      <c r="A557" s="11" t="n">
        <v>28</v>
      </c>
      <c r="B557" s="11" t="inlineStr">
        <is>
          <t>28.02</t>
        </is>
      </c>
      <c r="C557" s="12" t="inlineStr">
        <is>
          <t>The leads on your phone</t>
        </is>
      </c>
      <c r="D557" s="12" t="inlineStr">
        <is>
          <t>Phone</t>
        </is>
      </c>
      <c r="E557" s="13" t="inlineStr">
        <is>
          <t>Move a lead nobody owns from its card</t>
        </is>
      </c>
      <c r="F557" s="14" t="inlineStr">
        <is>
          <t>1. On the listing, tap Olivia Martinez's stage pill
2. Read the first row, then tap "Assign"
3. Tick a member and tap "Assign"</t>
        </is>
      </c>
      <c r="G557" s="14" t="inlineStr">
        <is>
          <t>The sheet names Olivia. Its first row is the next move, "Move to Contacted", and it says a member must be assigned first, with "Assign" beside it. After you assign someone, the Move stage window opens at Contacted, so the move carries on where you were. Close it without saving.</t>
        </is>
      </c>
      <c r="H557" s="12" t="inlineStr"/>
      <c r="I557" s="11" t="inlineStr">
        <is>
          <t>Dane</t>
        </is>
      </c>
      <c r="J557" s="15" t="n"/>
      <c r="K557" s="15" t="n"/>
      <c r="L557" s="15" t="n"/>
      <c r="M557" s="16" t="n"/>
      <c r="N557" s="17" t="n"/>
      <c r="O557" s="17" t="n"/>
      <c r="P557" s="15" t="n"/>
    </row>
    <row r="558">
      <c r="A558" s="11" t="n">
        <v>28</v>
      </c>
      <c r="B558" s="11" t="inlineStr">
        <is>
          <t>28.03</t>
        </is>
      </c>
      <c r="C558" s="12" t="inlineStr">
        <is>
          <t>The leads on your phone</t>
        </is>
      </c>
      <c r="D558" s="12" t="inlineStr">
        <is>
          <t>Phone</t>
        </is>
      </c>
      <c r="E558" s="13" t="inlineStr">
        <is>
          <t>Add a lead by pasting the client's WhatsApp message</t>
        </is>
      </c>
      <c r="F558" s="14" t="inlineStr">
        <is>
          <t>1. On the listing, tap + › "Create New Lead"
2. Copy this text and tap "Paste the WhatsApp message": Hi, I'm Rachel Ong, we just got our keys at Blk 123 Bedok North Ave 1 #08-12, my number is 9334 1209
3. Tap ✕, then "Keep editing"; then tap "Add lead"</t>
        </is>
      </c>
      <c r="G558" s="14" t="inlineStr">
        <is>
          <t>The form starts with just Name and Mobile; everything else sits under "More details". Pasting fills the name, the mobile (shown as "9334 1209") and the address. ✕ asks before throwing away what you typed. "Add lead" opens Rachel's new lead.</t>
        </is>
      </c>
      <c r="H558" s="12" t="inlineStr">
        <is>
          <t>Different from 1.0: a new lead is a name and a mobile, and a pasted chat fills the rest</t>
        </is>
      </c>
      <c r="I558" s="11" t="inlineStr">
        <is>
          <t>Dane</t>
        </is>
      </c>
      <c r="J558" s="15" t="n"/>
      <c r="K558" s="15" t="n"/>
      <c r="L558" s="15" t="n"/>
      <c r="M558" s="16" t="n"/>
      <c r="N558" s="17" t="n"/>
      <c r="O558" s="17" t="n"/>
      <c r="P558" s="15" t="n"/>
    </row>
    <row r="559">
      <c r="A559" s="11" t="n">
        <v>28</v>
      </c>
      <c r="B559" s="11" t="inlineStr">
        <is>
          <t>28.04</t>
        </is>
      </c>
      <c r="C559" s="12" t="inlineStr">
        <is>
          <t>A lead on your phone</t>
        </is>
      </c>
      <c r="D559" s="12" t="inlineStr">
        <is>
          <t>Phone</t>
        </is>
      </c>
      <c r="E559" s="13" t="inlineStr">
        <is>
          <t>A lead on a phone is one page with its tabs</t>
        </is>
      </c>
      <c r="F559" s="14" t="inlineStr">
        <is>
          <t>1. On the listing, tap Farah Ahmad
2. Scroll the tab strip under the header and tap "Tasks", then "Overview"</t>
        </is>
      </c>
      <c r="G559" s="14" t="inlineStr">
        <is>
          <t>Farah opens on her page as before: the header with her name, "Stage: Contacted" and "Move to Met", the tab strip under it, then the Overview's cards. Tapping a tab changes the page below the strip in place; there is no extra screen to go back from. Nothing scrolls sideways.</t>
        </is>
      </c>
      <c r="H559" s="12" t="inlineStr"/>
      <c r="I559" s="11" t="inlineStr">
        <is>
          <t>Dane</t>
        </is>
      </c>
      <c r="J559" s="15" t="n"/>
      <c r="K559" s="15" t="n"/>
      <c r="L559" s="15" t="n"/>
      <c r="M559" s="16" t="n"/>
      <c r="N559" s="17" t="n"/>
      <c r="O559" s="17" t="n"/>
      <c r="P559" s="15" t="n"/>
    </row>
    <row r="560">
      <c r="A560" s="11" t="n">
        <v>28</v>
      </c>
      <c r="B560" s="11" t="inlineStr">
        <is>
          <t>28.05</t>
        </is>
      </c>
      <c r="C560" s="12" t="inlineStr">
        <is>
          <t>A call from your phone</t>
        </is>
      </c>
      <c r="D560" s="12" t="inlineStr">
        <is>
          <t>Phone</t>
        </is>
      </c>
      <c r="E560" s="13" t="inlineStr">
        <is>
          <t>Log a call in the log sheet</t>
        </is>
      </c>
      <c r="F560" s="14" t="inlineStr">
        <is>
          <t>1. Open Kelvin Goh (New) › "Notes &amp; Logs"
2. Tap "New" › "Contact Log"
3. Tap "Callback requested", tap "Tomorrow 10:00", tap "Save log"</t>
        </is>
      </c>
      <c r="G560" s="14" t="inlineStr">
        <is>
          <t>The log opens as a sheet with Call already chosen and the time set to now; the outcomes are chips and "Callback requested" shows the call-back presets. Saving logs the call and moves Kelvin to Contacted in the same step; the snackbar says so and names the call-back in Tasks. The header's button now reads "Move to Met".</t>
        </is>
      </c>
      <c r="H560" s="12" t="inlineStr">
        <is>
          <t>Different from 1.0: logging a call is one sheet, and on a new lead it also moves the lead to Contacted</t>
        </is>
      </c>
      <c r="I560" s="11" t="inlineStr">
        <is>
          <t>Dane</t>
        </is>
      </c>
      <c r="J560" s="15" t="n"/>
      <c r="K560" s="15" t="n"/>
      <c r="L560" s="15" t="n"/>
      <c r="M560" s="16" t="n"/>
      <c r="N560" s="17" t="n"/>
      <c r="O560" s="17" t="n"/>
      <c r="P560" s="15" t="n"/>
    </row>
    <row r="561">
      <c r="A561" s="11" t="n">
        <v>28</v>
      </c>
      <c r="B561" s="11" t="inlineStr">
        <is>
          <t>28.06</t>
        </is>
      </c>
      <c r="C561" s="12" t="inlineStr">
        <is>
          <t>A call from your phone</t>
        </is>
      </c>
      <c r="D561" s="12" t="inlineStr">
        <is>
          <t>Phone</t>
        </is>
      </c>
      <c r="E561" s="13" t="inlineStr">
        <is>
          <t>Log a call on a lead nobody owns</t>
        </is>
      </c>
      <c r="F561" s="14" t="inlineStr">
        <is>
          <t>1. Open Olivia Martinez › "Notes &amp; Logs"
2. Tap "New" › "Contact Log"
3. Pick the suggested member, choose "Connected" and save</t>
        </is>
      </c>
      <c r="G561" s="14" t="inlineStr">
        <is>
          <t>Before anything else the sheet asks "Who owns Olivia?" with a suggested member. Picking one assigns them and the call is logged and moves Olivia to Contacted. If you pick nobody, the call is logged and Olivia stays in New.</t>
        </is>
      </c>
      <c r="H561" s="12" t="inlineStr"/>
      <c r="I561" s="11" t="inlineStr">
        <is>
          <t>Dane</t>
        </is>
      </c>
      <c r="J561" s="15" t="n"/>
      <c r="K561" s="15" t="n"/>
      <c r="L561" s="15" t="n"/>
      <c r="M561" s="16" t="n"/>
      <c r="N561" s="17" t="n"/>
      <c r="O561" s="17" t="n"/>
      <c r="P561" s="15" t="n"/>
    </row>
    <row r="562">
      <c r="A562" s="11" t="n">
        <v>28</v>
      </c>
      <c r="B562" s="11" t="inlineStr">
        <is>
          <t>28.07</t>
        </is>
      </c>
      <c r="C562" s="12" t="inlineStr">
        <is>
          <t>A visit from your phone</t>
        </is>
      </c>
      <c r="D562" s="12" t="inlineStr">
        <is>
          <t>Phone</t>
        </is>
      </c>
      <c r="E562" s="13" t="inlineStr">
        <is>
          <t>Log a site visit with a photo and move to Met</t>
        </is>
      </c>
      <c r="F562" s="14" t="inlineStr">
        <is>
          <t>1. Open Farah Ahmad (Contacted) › "Notes &amp; Logs" › "New" › "Contact Log"
2. Tap the "Site visit" chip
3. Tap "Take a photo" (or "Choose a file"), then "Save &amp; move to Met"</t>
        </is>
      </c>
      <c r="G562" s="14" t="inlineStr">
        <is>
          <t>With Site visit chosen the button reads "Save &amp; move to Met"; a photo is optional. Saving logs the visit and moves Farah to Met.</t>
        </is>
      </c>
      <c r="H562" s="12" t="inlineStr"/>
      <c r="I562" s="11" t="inlineStr">
        <is>
          <t>Dane</t>
        </is>
      </c>
      <c r="J562" s="15" t="n"/>
      <c r="K562" s="15" t="n"/>
      <c r="L562" s="15" t="n"/>
      <c r="M562" s="16" t="n"/>
      <c r="N562" s="17" t="n"/>
      <c r="O562" s="17" t="n"/>
      <c r="P562" s="15" t="n"/>
    </row>
    <row r="563">
      <c r="A563" s="11" t="n">
        <v>28</v>
      </c>
      <c r="B563" s="11" t="inlineStr">
        <is>
          <t>28.08</t>
        </is>
      </c>
      <c r="C563" s="12" t="inlineStr">
        <is>
          <t>Moving a stage on your phone</t>
        </is>
      </c>
      <c r="D563" s="12" t="inlineStr">
        <is>
          <t>Phone</t>
        </is>
      </c>
      <c r="E563" s="13" t="inlineStr">
        <is>
          <t>The Move stage window is one step at a time</t>
        </is>
      </c>
      <c r="F563" s="14" t="inlineStr">
        <is>
          <t>1. Open Jasmine (Contacted) and tap "Move to Met" in the header
2. Tap "Save &amp; move" with nothing filled in
3. Fill the fields (pick Showroom) and tap "Save &amp; move"</t>
        </is>
      </c>
      <c r="G563" s="14" t="inlineStr">
        <is>
          <t>The window is one screen: a bar "Move to Met" over "Jasmine … · step 3 of 5", only this step's fields, and one "Save &amp; move" at the bottom. Saving with nothing filled keeps the window open and says what is missing at the foot; nothing typed is lost. Filled in, the lead moves to Met.</t>
        </is>
      </c>
      <c r="H563" s="12" t="inlineStr"/>
      <c r="I563" s="11" t="inlineStr">
        <is>
          <t>Dane</t>
        </is>
      </c>
      <c r="J563" s="15" t="n"/>
      <c r="K563" s="15" t="n"/>
      <c r="L563" s="15" t="n"/>
      <c r="M563" s="16" t="n"/>
      <c r="N563" s="17" t="n"/>
      <c r="O563" s="17" t="n"/>
      <c r="P563" s="15" t="n"/>
    </row>
    <row r="564">
      <c r="A564" s="11" t="n">
        <v>28</v>
      </c>
      <c r="B564" s="11" t="inlineStr">
        <is>
          <t>28.09</t>
        </is>
      </c>
      <c r="C564" s="12" t="inlineStr">
        <is>
          <t>Moving a stage on your phone</t>
        </is>
      </c>
      <c r="D564" s="12" t="inlineStr">
        <is>
          <t>Phone</t>
        </is>
      </c>
      <c r="E564" s="13" t="inlineStr">
        <is>
          <t>Win a lead with a photo of the signed quote</t>
        </is>
      </c>
      <c r="F564" s="14" t="inlineStr">
        <is>
          <t>1. Open Vivien and tap "Convert to Project" in the header
2. Under Signed quote open the "Upload" tab and tap "Take a photo", type the amount
3. Check the payment split, choose a project type and tap "Create project"</t>
        </is>
      </c>
      <c r="G564" s="14" t="inlineStr">
        <is>
          <t>Won is a checklist: Signed quote, Signed contract, Payments and Project type. The photo is kept as the signed quote. The payments show the studio's usual 10 · 30 · 30 · 30, not 0%. "Create project" makes the project and opens it.</t>
        </is>
      </c>
      <c r="H564" s="12" t="inlineStr">
        <is>
          <t>Different from 1.0: on a phone, Won is a short checklist and a photo of the paper counts as the signed quote</t>
        </is>
      </c>
      <c r="I564" s="11" t="inlineStr">
        <is>
          <t>Dane</t>
        </is>
      </c>
      <c r="J564" s="15" t="n"/>
      <c r="K564" s="15" t="n"/>
      <c r="L564" s="15" t="n"/>
      <c r="M564" s="16" t="n"/>
      <c r="N564" s="17" t="n"/>
      <c r="O564" s="17" t="n"/>
      <c r="P564" s="15" t="n"/>
    </row>
    <row r="565">
      <c r="A565" s="11" t="n">
        <v>28</v>
      </c>
      <c r="B565" s="11" t="inlineStr">
        <is>
          <t>28.10</t>
        </is>
      </c>
      <c r="C565" s="12" t="inlineStr">
        <is>
          <t>Moving a stage on your phone</t>
        </is>
      </c>
      <c r="D565" s="12" t="inlineStr">
        <is>
          <t>Phone</t>
        </is>
      </c>
      <c r="E565" s="13" t="inlineStr">
        <is>
          <t>Put a lead on hold and undo it</t>
        </is>
      </c>
      <c r="F565" s="14" t="inlineStr">
        <is>
          <t>1. Open Priya, tap "Stage: Contacted" › "On Hold"
2. Pick a reason and "3 months", tap "Save &amp; move"
3. Tap "Undo" in the snackbar</t>
        </is>
      </c>
      <c r="G565" s="14" t="inlineStr">
        <is>
          <t>On Hold is one sheet: the studio's reasons as chips, the duration chips, one button. After saving, the snackbar offers Undo, and Undo puts Priya back where she was. Only one snackbar shows at a time.</t>
        </is>
      </c>
      <c r="H565" s="12" t="inlineStr"/>
      <c r="I565" s="11" t="inlineStr">
        <is>
          <t>Dane</t>
        </is>
      </c>
      <c r="J565" s="15" t="n"/>
      <c r="K565" s="15" t="n"/>
      <c r="L565" s="15" t="n"/>
      <c r="M565" s="16" t="n"/>
      <c r="N565" s="17" t="n"/>
      <c r="O565" s="17" t="n"/>
      <c r="P565" s="15" t="n"/>
    </row>
    <row r="566">
      <c r="A566" s="11" t="n">
        <v>28</v>
      </c>
      <c r="B566" s="11" t="inlineStr">
        <is>
          <t>28.11</t>
        </is>
      </c>
      <c r="C566" s="12" t="inlineStr">
        <is>
          <t>The lead's tabs on your phone</t>
        </is>
      </c>
      <c r="D566" s="12" t="inlineStr">
        <is>
          <t>Phone</t>
        </is>
      </c>
      <c r="E566" s="13" t="inlineStr">
        <is>
          <t>Tasks as cards</t>
        </is>
      </c>
      <c r="F566" s="14" t="inlineStr">
        <is>
          <t>1. Open Olivia Martinez › the "Tasks" tab
2. Tick a task's ring, then tap "Undo"
3. Hold a task, then tap a second one
4. Type a new task in the bar at the bottom, tap "Tomorrow 10:00" and add it</t>
        </is>
      </c>
      <c r="G566" s="14" t="inlineStr">
        <is>
          <t>Each task is a card with a round tick, its whole name and a due chip (late ones in red). Holding a card selects it, with no checkboxes, and the bar offers "Mark done", "Assign" and "More…". The quick add at the bottom takes a title, a due preset and who it is for. The same cards are on Tasks in the rail and a project's Tasks.</t>
        </is>
      </c>
      <c r="H566" s="12" t="inlineStr"/>
      <c r="I566" s="11" t="inlineStr">
        <is>
          <t>Dane</t>
        </is>
      </c>
      <c r="J566" s="15" t="n"/>
      <c r="K566" s="15" t="n"/>
      <c r="L566" s="15" t="n"/>
      <c r="M566" s="16" t="n"/>
      <c r="N566" s="17" t="n"/>
      <c r="O566" s="17" t="n"/>
      <c r="P566" s="15" t="n"/>
    </row>
    <row r="567">
      <c r="A567" s="11" t="n">
        <v>28</v>
      </c>
      <c r="B567" s="11" t="inlineStr">
        <is>
          <t>28.12</t>
        </is>
      </c>
      <c r="C567" s="12" t="inlineStr">
        <is>
          <t>The lead's tabs on your phone</t>
        </is>
      </c>
      <c r="D567" s="12" t="inlineStr">
        <is>
          <t>Phone</t>
        </is>
      </c>
      <c r="E567" s="13" t="inlineStr">
        <is>
          <t>Files: take a photo straight into a folder</t>
        </is>
      </c>
      <c r="F567" s="14" t="inlineStr">
        <is>
          <t>1. Open Olivia Martinez › the "Files" tab, open the Kitchen folder
2. Tap "Take a photo", take one
3. Open a picture, pinch to zoom, double-tap, swipe to the next</t>
        </is>
      </c>
      <c r="G567" s="14" t="inlineStr">
        <is>
          <t>The toolbar is one row: "Take a photo", search and ⋮. The camera opens at once; the photo lands in the open folder and the snackbar offers "Take another". The viewer pinches, pans, double-taps and swipes to the next file; Information opens as a short sheet.</t>
        </is>
      </c>
      <c r="H567" s="12" t="inlineStr"/>
      <c r="I567" s="11" t="inlineStr">
        <is>
          <t>Dane</t>
        </is>
      </c>
      <c r="J567" s="15" t="n"/>
      <c r="K567" s="15" t="n"/>
      <c r="L567" s="15" t="n"/>
      <c r="M567" s="16" t="n"/>
      <c r="N567" s="17" t="n"/>
      <c r="O567" s="17" t="n"/>
      <c r="P567" s="15" t="n"/>
    </row>
    <row r="568">
      <c r="A568" s="11" t="n">
        <v>28</v>
      </c>
      <c r="B568" s="11" t="inlineStr">
        <is>
          <t>28.13</t>
        </is>
      </c>
      <c r="C568" s="12" t="inlineStr">
        <is>
          <t>A lead on a tablet</t>
        </is>
      </c>
      <c r="D568" s="12" t="inlineStr">
        <is>
          <t>Tablet</t>
        </is>
      </c>
      <c r="E568" s="13" t="inlineStr">
        <is>
          <t>A lead on a tablet is the same page</t>
        </is>
      </c>
      <c r="F568" s="14" t="inlineStr">
        <is>
          <t>1. On a tablet, open Farah Ahmad, held upright and then sideways
2. Scroll to the end of the Overview</t>
        </is>
      </c>
      <c r="G568" s="14" t="inlineStr">
        <is>
          <t>The page is the lead's page with its header, tab strip and cards at both orientations; tabs change in place. On a touch tablet the Maison AI button stays out of the way while there is page below and shows at the end.</t>
        </is>
      </c>
      <c r="H568" s="12" t="inlineStr"/>
      <c r="I568" s="11" t="inlineStr">
        <is>
          <t>Dane</t>
        </is>
      </c>
      <c r="J568" s="15" t="n"/>
      <c r="K568" s="15" t="n"/>
      <c r="L568" s="15" t="n"/>
      <c r="M568" s="16" t="n"/>
      <c r="N568" s="17" t="n"/>
      <c r="O568" s="17" t="n"/>
      <c r="P568" s="15" t="n"/>
    </row>
    <row r="569">
      <c r="A569" s="11" t="n">
        <v>28</v>
      </c>
      <c r="B569" s="11" t="inlineStr">
        <is>
          <t>28.14</t>
        </is>
      </c>
      <c r="C569" s="12" t="inlineStr">
        <is>
          <t>The leads on a tablet</t>
        </is>
      </c>
      <c r="D569" s="12" t="inlineStr">
        <is>
          <t>Tablet</t>
        </is>
      </c>
      <c r="E569" s="13" t="inlineStr">
        <is>
          <t>The tablet's listing table</t>
        </is>
      </c>
      <c r="F569" s="14" t="inlineStr">
        <is>
          <t>1. On a tablet, open "Leads" in the table view
2. Open Column settings, hide a column and close it
3. Switch to the kanban and open a card's ⋮</t>
        </is>
      </c>
      <c r="G569" s="14" t="inlineStr">
        <is>
          <t>The table opens on Name · Stage · Last contact · Next follow-up · Members, with Edit and ⋮ held at the right edge. Column settings' handles are finger-sized, and what you change is kept for the tablet only. A kanban card carries its stage pill, and its ⋮ offers "Move to {next stage}" and "Move stage…".</t>
        </is>
      </c>
      <c r="H569" s="12" t="inlineStr"/>
      <c r="I569" s="11" t="inlineStr">
        <is>
          <t>Dane</t>
        </is>
      </c>
      <c r="J569" s="15" t="n"/>
      <c r="K569" s="15" t="n"/>
      <c r="L569" s="15" t="n"/>
      <c r="M569" s="16" t="n"/>
      <c r="N569" s="17" t="n"/>
      <c r="O569" s="17" t="n"/>
      <c r="P569" s="15" t="n"/>
    </row>
    <row r="570">
      <c r="A570" s="11" t="n">
        <v>28</v>
      </c>
      <c r="B570" s="11" t="inlineStr">
        <is>
          <t>28.15</t>
        </is>
      </c>
      <c r="C570" s="12" t="inlineStr">
        <is>
          <t>A call from your phone</t>
        </is>
      </c>
      <c r="D570" s="12" t="inlineStr">
        <is>
          <t>Phone</t>
        </is>
      </c>
      <c r="E570" s="13" t="inlineStr">
        <is>
          <t>A Designer logs a call on a lead nobody owns</t>
        </is>
      </c>
      <c r="F570" s="14" t="inlineStr">
        <is>
          <t>1. Switch to Germaine (Designer) with View as
2. Open a New lead nobody owns › "Notes &amp; Logs" › "New" › "Contact Log"</t>
        </is>
      </c>
      <c r="G570" s="14" t="inlineStr">
        <is>
          <t>Germaine sees the log sheet without the owner row; its line says the lead stays in New until someone owns it, and saving logs the call without moving the lead.</t>
        </is>
      </c>
      <c r="H570" s="12" t="inlineStr"/>
      <c r="I570" s="18" t="inlineStr">
        <is>
          <t>Germaine</t>
        </is>
      </c>
      <c r="J570" s="15" t="n"/>
      <c r="K570" s="15" t="n"/>
      <c r="L570" s="15" t="n"/>
      <c r="M570" s="16" t="n"/>
      <c r="N570" s="17" t="n"/>
      <c r="O570" s="17" t="n"/>
      <c r="P570" s="15" t="n"/>
    </row>
  </sheetData>
  <mergeCells count="29">
    <mergeCell ref="A331:P331"/>
    <mergeCell ref="A269:P269"/>
    <mergeCell ref="A234:P234"/>
    <mergeCell ref="A374:P374"/>
    <mergeCell ref="A483:P483"/>
    <mergeCell ref="A514:P514"/>
    <mergeCell ref="A4:P4"/>
    <mergeCell ref="A494:P494"/>
    <mergeCell ref="A392:P392"/>
    <mergeCell ref="A348:P348"/>
    <mergeCell ref="A412:P412"/>
    <mergeCell ref="A437:P437"/>
    <mergeCell ref="A142:P142"/>
    <mergeCell ref="A539:P539"/>
    <mergeCell ref="A555:P555"/>
    <mergeCell ref="A462:P462"/>
    <mergeCell ref="A207:P207"/>
    <mergeCell ref="A250:P250"/>
    <mergeCell ref="A94:P94"/>
    <mergeCell ref="A359:P359"/>
    <mergeCell ref="A16:P16"/>
    <mergeCell ref="A501:P501"/>
    <mergeCell ref="A283:P283"/>
    <mergeCell ref="A522:P522"/>
    <mergeCell ref="A118:P118"/>
    <mergeCell ref="A192:P192"/>
    <mergeCell ref="A55:P55"/>
    <mergeCell ref="A297:P297"/>
    <mergeCell ref="A2:P2"/>
  </mergeCells>
  <conditionalFormatting sqref="J4:J57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570">
    <cfRule type="expression" priority="6" dxfId="5">
      <formula>$O4="Fixed – please re-test"</formula>
    </cfRule>
  </conditionalFormatting>
  <dataValidations count="4">
    <dataValidation sqref="J4:J570" showDropDown="0" showInputMessage="0" showErrorMessage="1" allowBlank="1" errorTitle="Pick from the list" error="Pick one of the answers in the list." type="list">
      <formula1>='UAT · Lists'!$A$2:$A$6</formula1>
    </dataValidation>
    <dataValidation sqref="O4:O570" showDropDown="0" showInputMessage="0" showErrorMessage="1" allowBlank="1" errorTitle="Pick from the list" error="Pick one of the answers in the list." type="list">
      <formula1>='UAT · Lists'!$B$2:$B$6</formula1>
    </dataValidation>
    <dataValidation sqref="P4:P570" showDropDown="0" showInputMessage="0" showErrorMessage="1" allowBlank="1" errorTitle="Pick from the list" error="Pick one of the answers in the list." type="list">
      <formula1>='UAT · Lists'!$C$2:$C$3</formula1>
    </dataValidation>
    <dataValidation sqref="M4:M570" showDropDown="0" showInputMessage="0" showErrorMessage="0" allowBlank="1" type="date"/>
  </dataValidations>
  <pageMargins left="0.75" right="0.75" top="1" bottom="1" header="0.5" footer="0.5"/>
</worksheet>
</file>

<file path=xl/worksheets/sheet5.xml><?xml version="1.0" encoding="utf-8"?>
<worksheet xmlns="http://schemas.openxmlformats.org/spreadsheetml/2006/main">
  <sheetPr>
    <tabColor rgb="00E8A33D"/>
    <outlinePr summaryBelow="1" summaryRight="1"/>
    <pageSetUpPr/>
  </sheetPr>
  <dimension ref="A1:J200"/>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24" customWidth="1" min="5" max="5"/>
    <col width="50" customWidth="1" min="6" max="6"/>
    <col width="18" customWidth="1" min="7" max="7"/>
    <col width="34" customWidth="1" min="8" max="8"/>
    <col width="18" customWidth="1" min="9" max="9"/>
    <col width="15" customWidth="1" min="10" max="10"/>
  </cols>
  <sheetData>
    <row r="1">
      <c r="A1" s="6" t="inlineStr">
        <is>
          <t>Anything the story did not cover</t>
        </is>
      </c>
    </row>
    <row r="2" ht="30" customHeight="1">
      <c r="A2" s="2" t="inlineStr">
        <is>
          <t>Something you used in 1.0 and cannot find in 2.0, something confusing, a bug outside the steps, or an idea. One row each. White columns are yours; grey columns are Vicky’s and Dane’s.</t>
        </is>
      </c>
    </row>
    <row r="3" ht="30" customHeight="1">
      <c r="A3" s="8" t="inlineStr">
        <is>
          <t>Date</t>
        </is>
      </c>
      <c r="B3" s="8" t="inlineStr">
        <is>
          <t>Who</t>
        </is>
      </c>
      <c r="C3" s="8" t="inlineStr">
        <is>
          <t>Type</t>
        </is>
      </c>
      <c r="D3" s="8" t="inlineStr">
        <is>
          <t>Module</t>
        </is>
      </c>
      <c r="E3" s="8" t="inlineStr">
        <is>
          <t>Where (which screen)</t>
        </is>
      </c>
      <c r="F3" s="8" t="inlineStr">
        <is>
          <t>What happened / what you expected</t>
        </is>
      </c>
      <c r="G3" s="8" t="inlineStr">
        <is>
          <t>Screenshot link</t>
        </is>
      </c>
      <c r="H3" s="7" t="inlineStr">
        <is>
          <t>Our reply</t>
        </is>
      </c>
      <c r="I3" s="7" t="inlineStr">
        <is>
          <t>Status</t>
        </is>
      </c>
      <c r="J3" s="8" t="inlineStr">
        <is>
          <t>Re-tested</t>
        </is>
      </c>
    </row>
    <row r="4">
      <c r="A4" s="16" t="n"/>
      <c r="B4" s="15" t="n"/>
      <c r="C4" s="15" t="n"/>
      <c r="D4" s="15" t="n"/>
      <c r="E4" s="15" t="n"/>
      <c r="F4" s="15" t="n"/>
      <c r="G4" s="15" t="n"/>
      <c r="H4" s="17" t="n"/>
      <c r="I4" s="17" t="n"/>
      <c r="J4" s="15" t="n"/>
    </row>
    <row r="5">
      <c r="A5" s="16" t="n"/>
      <c r="B5" s="15" t="n"/>
      <c r="C5" s="15" t="n"/>
      <c r="D5" s="15" t="n"/>
      <c r="E5" s="15" t="n"/>
      <c r="F5" s="15" t="n"/>
      <c r="G5" s="15" t="n"/>
      <c r="H5" s="17" t="n"/>
      <c r="I5" s="17" t="n"/>
      <c r="J5" s="15" t="n"/>
    </row>
    <row r="6">
      <c r="A6" s="16" t="n"/>
      <c r="B6" s="15" t="n"/>
      <c r="C6" s="15" t="n"/>
      <c r="D6" s="15" t="n"/>
      <c r="E6" s="15" t="n"/>
      <c r="F6" s="15" t="n"/>
      <c r="G6" s="15" t="n"/>
      <c r="H6" s="17" t="n"/>
      <c r="I6" s="17" t="n"/>
      <c r="J6" s="15" t="n"/>
    </row>
    <row r="7">
      <c r="A7" s="16" t="n"/>
      <c r="B7" s="15" t="n"/>
      <c r="C7" s="15" t="n"/>
      <c r="D7" s="15" t="n"/>
      <c r="E7" s="15" t="n"/>
      <c r="F7" s="15" t="n"/>
      <c r="G7" s="15" t="n"/>
      <c r="H7" s="17" t="n"/>
      <c r="I7" s="17" t="n"/>
      <c r="J7" s="15" t="n"/>
    </row>
    <row r="8">
      <c r="A8" s="16" t="n"/>
      <c r="B8" s="15" t="n"/>
      <c r="C8" s="15" t="n"/>
      <c r="D8" s="15" t="n"/>
      <c r="E8" s="15" t="n"/>
      <c r="F8" s="15" t="n"/>
      <c r="G8" s="15" t="n"/>
      <c r="H8" s="17" t="n"/>
      <c r="I8" s="17" t="n"/>
      <c r="J8" s="15" t="n"/>
    </row>
    <row r="9">
      <c r="A9" s="16" t="n"/>
      <c r="B9" s="15" t="n"/>
      <c r="C9" s="15" t="n"/>
      <c r="D9" s="15" t="n"/>
      <c r="E9" s="15" t="n"/>
      <c r="F9" s="15" t="n"/>
      <c r="G9" s="15" t="n"/>
      <c r="H9" s="17" t="n"/>
      <c r="I9" s="17" t="n"/>
      <c r="J9" s="15" t="n"/>
    </row>
    <row r="10">
      <c r="A10" s="16" t="n"/>
      <c r="B10" s="15" t="n"/>
      <c r="C10" s="15" t="n"/>
      <c r="D10" s="15" t="n"/>
      <c r="E10" s="15" t="n"/>
      <c r="F10" s="15" t="n"/>
      <c r="G10" s="15" t="n"/>
      <c r="H10" s="17" t="n"/>
      <c r="I10" s="17" t="n"/>
      <c r="J10" s="15" t="n"/>
    </row>
    <row r="11">
      <c r="A11" s="16" t="n"/>
      <c r="B11" s="15" t="n"/>
      <c r="C11" s="15" t="n"/>
      <c r="D11" s="15" t="n"/>
      <c r="E11" s="15" t="n"/>
      <c r="F11" s="15" t="n"/>
      <c r="G11" s="15" t="n"/>
      <c r="H11" s="17" t="n"/>
      <c r="I11" s="17" t="n"/>
      <c r="J11" s="15" t="n"/>
    </row>
    <row r="12">
      <c r="A12" s="16" t="n"/>
      <c r="B12" s="15" t="n"/>
      <c r="C12" s="15" t="n"/>
      <c r="D12" s="15" t="n"/>
      <c r="E12" s="15" t="n"/>
      <c r="F12" s="15" t="n"/>
      <c r="G12" s="15" t="n"/>
      <c r="H12" s="17" t="n"/>
      <c r="I12" s="17" t="n"/>
      <c r="J12" s="15" t="n"/>
    </row>
    <row r="13">
      <c r="A13" s="16" t="n"/>
      <c r="B13" s="15" t="n"/>
      <c r="C13" s="15" t="n"/>
      <c r="D13" s="15" t="n"/>
      <c r="E13" s="15" t="n"/>
      <c r="F13" s="15" t="n"/>
      <c r="G13" s="15" t="n"/>
      <c r="H13" s="17" t="n"/>
      <c r="I13" s="17" t="n"/>
      <c r="J13" s="15" t="n"/>
    </row>
    <row r="14">
      <c r="A14" s="16" t="n"/>
      <c r="B14" s="15" t="n"/>
      <c r="C14" s="15" t="n"/>
      <c r="D14" s="15" t="n"/>
      <c r="E14" s="15" t="n"/>
      <c r="F14" s="15" t="n"/>
      <c r="G14" s="15" t="n"/>
      <c r="H14" s="17" t="n"/>
      <c r="I14" s="17" t="n"/>
      <c r="J14" s="15" t="n"/>
    </row>
    <row r="15">
      <c r="A15" s="16" t="n"/>
      <c r="B15" s="15" t="n"/>
      <c r="C15" s="15" t="n"/>
      <c r="D15" s="15" t="n"/>
      <c r="E15" s="15" t="n"/>
      <c r="F15" s="15" t="n"/>
      <c r="G15" s="15" t="n"/>
      <c r="H15" s="17" t="n"/>
      <c r="I15" s="17" t="n"/>
      <c r="J15" s="15" t="n"/>
    </row>
    <row r="16">
      <c r="A16" s="16" t="n"/>
      <c r="B16" s="15" t="n"/>
      <c r="C16" s="15" t="n"/>
      <c r="D16" s="15" t="n"/>
      <c r="E16" s="15" t="n"/>
      <c r="F16" s="15" t="n"/>
      <c r="G16" s="15" t="n"/>
      <c r="H16" s="17" t="n"/>
      <c r="I16" s="17" t="n"/>
      <c r="J16" s="15" t="n"/>
    </row>
    <row r="17">
      <c r="A17" s="16" t="n"/>
      <c r="B17" s="15" t="n"/>
      <c r="C17" s="15" t="n"/>
      <c r="D17" s="15" t="n"/>
      <c r="E17" s="15" t="n"/>
      <c r="F17" s="15" t="n"/>
      <c r="G17" s="15" t="n"/>
      <c r="H17" s="17" t="n"/>
      <c r="I17" s="17" t="n"/>
      <c r="J17" s="15" t="n"/>
    </row>
    <row r="18">
      <c r="A18" s="16" t="n"/>
      <c r="B18" s="15" t="n"/>
      <c r="C18" s="15" t="n"/>
      <c r="D18" s="15" t="n"/>
      <c r="E18" s="15" t="n"/>
      <c r="F18" s="15" t="n"/>
      <c r="G18" s="15" t="n"/>
      <c r="H18" s="17" t="n"/>
      <c r="I18" s="17" t="n"/>
      <c r="J18" s="15" t="n"/>
    </row>
    <row r="19">
      <c r="A19" s="16" t="n"/>
      <c r="B19" s="15" t="n"/>
      <c r="C19" s="15" t="n"/>
      <c r="D19" s="15" t="n"/>
      <c r="E19" s="15" t="n"/>
      <c r="F19" s="15" t="n"/>
      <c r="G19" s="15" t="n"/>
      <c r="H19" s="17" t="n"/>
      <c r="I19" s="17" t="n"/>
      <c r="J19" s="15" t="n"/>
    </row>
    <row r="20">
      <c r="A20" s="16" t="n"/>
      <c r="B20" s="15" t="n"/>
      <c r="C20" s="15" t="n"/>
      <c r="D20" s="15" t="n"/>
      <c r="E20" s="15" t="n"/>
      <c r="F20" s="15" t="n"/>
      <c r="G20" s="15" t="n"/>
      <c r="H20" s="17" t="n"/>
      <c r="I20" s="17" t="n"/>
      <c r="J20" s="15" t="n"/>
    </row>
    <row r="21">
      <c r="A21" s="16" t="n"/>
      <c r="B21" s="15" t="n"/>
      <c r="C21" s="15" t="n"/>
      <c r="D21" s="15" t="n"/>
      <c r="E21" s="15" t="n"/>
      <c r="F21" s="15" t="n"/>
      <c r="G21" s="15" t="n"/>
      <c r="H21" s="17" t="n"/>
      <c r="I21" s="17" t="n"/>
      <c r="J21" s="15" t="n"/>
    </row>
    <row r="22">
      <c r="A22" s="16" t="n"/>
      <c r="B22" s="15" t="n"/>
      <c r="C22" s="15" t="n"/>
      <c r="D22" s="15" t="n"/>
      <c r="E22" s="15" t="n"/>
      <c r="F22" s="15" t="n"/>
      <c r="G22" s="15" t="n"/>
      <c r="H22" s="17" t="n"/>
      <c r="I22" s="17" t="n"/>
      <c r="J22" s="15" t="n"/>
    </row>
    <row r="23">
      <c r="A23" s="16" t="n"/>
      <c r="B23" s="15" t="n"/>
      <c r="C23" s="15" t="n"/>
      <c r="D23" s="15" t="n"/>
      <c r="E23" s="15" t="n"/>
      <c r="F23" s="15" t="n"/>
      <c r="G23" s="15" t="n"/>
      <c r="H23" s="17" t="n"/>
      <c r="I23" s="17" t="n"/>
      <c r="J23" s="15" t="n"/>
    </row>
    <row r="24">
      <c r="A24" s="16" t="n"/>
      <c r="B24" s="15" t="n"/>
      <c r="C24" s="15" t="n"/>
      <c r="D24" s="15" t="n"/>
      <c r="E24" s="15" t="n"/>
      <c r="F24" s="15" t="n"/>
      <c r="G24" s="15" t="n"/>
      <c r="H24" s="17" t="n"/>
      <c r="I24" s="17" t="n"/>
      <c r="J24" s="15" t="n"/>
    </row>
    <row r="25">
      <c r="A25" s="16" t="n"/>
      <c r="B25" s="15" t="n"/>
      <c r="C25" s="15" t="n"/>
      <c r="D25" s="15" t="n"/>
      <c r="E25" s="15" t="n"/>
      <c r="F25" s="15" t="n"/>
      <c r="G25" s="15" t="n"/>
      <c r="H25" s="17" t="n"/>
      <c r="I25" s="17" t="n"/>
      <c r="J25" s="15" t="n"/>
    </row>
    <row r="26">
      <c r="A26" s="16" t="n"/>
      <c r="B26" s="15" t="n"/>
      <c r="C26" s="15" t="n"/>
      <c r="D26" s="15" t="n"/>
      <c r="E26" s="15" t="n"/>
      <c r="F26" s="15" t="n"/>
      <c r="G26" s="15" t="n"/>
      <c r="H26" s="17" t="n"/>
      <c r="I26" s="17" t="n"/>
      <c r="J26" s="15" t="n"/>
    </row>
    <row r="27">
      <c r="A27" s="16" t="n"/>
      <c r="B27" s="15" t="n"/>
      <c r="C27" s="15" t="n"/>
      <c r="D27" s="15" t="n"/>
      <c r="E27" s="15" t="n"/>
      <c r="F27" s="15" t="n"/>
      <c r="G27" s="15" t="n"/>
      <c r="H27" s="17" t="n"/>
      <c r="I27" s="17" t="n"/>
      <c r="J27" s="15" t="n"/>
    </row>
    <row r="28">
      <c r="A28" s="16" t="n"/>
      <c r="B28" s="15" t="n"/>
      <c r="C28" s="15" t="n"/>
      <c r="D28" s="15" t="n"/>
      <c r="E28" s="15" t="n"/>
      <c r="F28" s="15" t="n"/>
      <c r="G28" s="15" t="n"/>
      <c r="H28" s="17" t="n"/>
      <c r="I28" s="17" t="n"/>
      <c r="J28" s="15" t="n"/>
    </row>
    <row r="29">
      <c r="A29" s="16" t="n"/>
      <c r="B29" s="15" t="n"/>
      <c r="C29" s="15" t="n"/>
      <c r="D29" s="15" t="n"/>
      <c r="E29" s="15" t="n"/>
      <c r="F29" s="15" t="n"/>
      <c r="G29" s="15" t="n"/>
      <c r="H29" s="17" t="n"/>
      <c r="I29" s="17" t="n"/>
      <c r="J29" s="15" t="n"/>
    </row>
    <row r="30">
      <c r="A30" s="16" t="n"/>
      <c r="B30" s="15" t="n"/>
      <c r="C30" s="15" t="n"/>
      <c r="D30" s="15" t="n"/>
      <c r="E30" s="15" t="n"/>
      <c r="F30" s="15" t="n"/>
      <c r="G30" s="15" t="n"/>
      <c r="H30" s="17" t="n"/>
      <c r="I30" s="17" t="n"/>
      <c r="J30" s="15" t="n"/>
    </row>
    <row r="31">
      <c r="A31" s="16" t="n"/>
      <c r="B31" s="15" t="n"/>
      <c r="C31" s="15" t="n"/>
      <c r="D31" s="15" t="n"/>
      <c r="E31" s="15" t="n"/>
      <c r="F31" s="15" t="n"/>
      <c r="G31" s="15" t="n"/>
      <c r="H31" s="17" t="n"/>
      <c r="I31" s="17" t="n"/>
      <c r="J31" s="15" t="n"/>
    </row>
    <row r="32">
      <c r="A32" s="16" t="n"/>
      <c r="B32" s="15" t="n"/>
      <c r="C32" s="15" t="n"/>
      <c r="D32" s="15" t="n"/>
      <c r="E32" s="15" t="n"/>
      <c r="F32" s="15" t="n"/>
      <c r="G32" s="15" t="n"/>
      <c r="H32" s="17" t="n"/>
      <c r="I32" s="17" t="n"/>
      <c r="J32" s="15" t="n"/>
    </row>
    <row r="33">
      <c r="A33" s="16" t="n"/>
      <c r="B33" s="15" t="n"/>
      <c r="C33" s="15" t="n"/>
      <c r="D33" s="15" t="n"/>
      <c r="E33" s="15" t="n"/>
      <c r="F33" s="15" t="n"/>
      <c r="G33" s="15" t="n"/>
      <c r="H33" s="17" t="n"/>
      <c r="I33" s="17" t="n"/>
      <c r="J33" s="15" t="n"/>
    </row>
    <row r="34">
      <c r="A34" s="16" t="n"/>
      <c r="B34" s="15" t="n"/>
      <c r="C34" s="15" t="n"/>
      <c r="D34" s="15" t="n"/>
      <c r="E34" s="15" t="n"/>
      <c r="F34" s="15" t="n"/>
      <c r="G34" s="15" t="n"/>
      <c r="H34" s="17" t="n"/>
      <c r="I34" s="17" t="n"/>
      <c r="J34" s="15" t="n"/>
    </row>
    <row r="35">
      <c r="A35" s="16" t="n"/>
      <c r="B35" s="15" t="n"/>
      <c r="C35" s="15" t="n"/>
      <c r="D35" s="15" t="n"/>
      <c r="E35" s="15" t="n"/>
      <c r="F35" s="15" t="n"/>
      <c r="G35" s="15" t="n"/>
      <c r="H35" s="17" t="n"/>
      <c r="I35" s="17" t="n"/>
      <c r="J35" s="15" t="n"/>
    </row>
    <row r="36">
      <c r="A36" s="16" t="n"/>
      <c r="B36" s="15" t="n"/>
      <c r="C36" s="15" t="n"/>
      <c r="D36" s="15" t="n"/>
      <c r="E36" s="15" t="n"/>
      <c r="F36" s="15" t="n"/>
      <c r="G36" s="15" t="n"/>
      <c r="H36" s="17" t="n"/>
      <c r="I36" s="17" t="n"/>
      <c r="J36" s="15" t="n"/>
    </row>
    <row r="37">
      <c r="A37" s="16" t="n"/>
      <c r="B37" s="15" t="n"/>
      <c r="C37" s="15" t="n"/>
      <c r="D37" s="15" t="n"/>
      <c r="E37" s="15" t="n"/>
      <c r="F37" s="15" t="n"/>
      <c r="G37" s="15" t="n"/>
      <c r="H37" s="17" t="n"/>
      <c r="I37" s="17" t="n"/>
      <c r="J37" s="15" t="n"/>
    </row>
    <row r="38">
      <c r="A38" s="16" t="n"/>
      <c r="B38" s="15" t="n"/>
      <c r="C38" s="15" t="n"/>
      <c r="D38" s="15" t="n"/>
      <c r="E38" s="15" t="n"/>
      <c r="F38" s="15" t="n"/>
      <c r="G38" s="15" t="n"/>
      <c r="H38" s="17" t="n"/>
      <c r="I38" s="17" t="n"/>
      <c r="J38" s="15" t="n"/>
    </row>
    <row r="39">
      <c r="A39" s="16" t="n"/>
      <c r="B39" s="15" t="n"/>
      <c r="C39" s="15" t="n"/>
      <c r="D39" s="15" t="n"/>
      <c r="E39" s="15" t="n"/>
      <c r="F39" s="15" t="n"/>
      <c r="G39" s="15" t="n"/>
      <c r="H39" s="17" t="n"/>
      <c r="I39" s="17" t="n"/>
      <c r="J39" s="15" t="n"/>
    </row>
    <row r="40">
      <c r="A40" s="16" t="n"/>
      <c r="B40" s="15" t="n"/>
      <c r="C40" s="15" t="n"/>
      <c r="D40" s="15" t="n"/>
      <c r="E40" s="15" t="n"/>
      <c r="F40" s="15" t="n"/>
      <c r="G40" s="15" t="n"/>
      <c r="H40" s="17" t="n"/>
      <c r="I40" s="17" t="n"/>
      <c r="J40" s="15" t="n"/>
    </row>
    <row r="41">
      <c r="A41" s="16" t="n"/>
      <c r="B41" s="15" t="n"/>
      <c r="C41" s="15" t="n"/>
      <c r="D41" s="15" t="n"/>
      <c r="E41" s="15" t="n"/>
      <c r="F41" s="15" t="n"/>
      <c r="G41" s="15" t="n"/>
      <c r="H41" s="17" t="n"/>
      <c r="I41" s="17" t="n"/>
      <c r="J41" s="15" t="n"/>
    </row>
    <row r="42">
      <c r="A42" s="16" t="n"/>
      <c r="B42" s="15" t="n"/>
      <c r="C42" s="15" t="n"/>
      <c r="D42" s="15" t="n"/>
      <c r="E42" s="15" t="n"/>
      <c r="F42" s="15" t="n"/>
      <c r="G42" s="15" t="n"/>
      <c r="H42" s="17" t="n"/>
      <c r="I42" s="17" t="n"/>
      <c r="J42" s="15" t="n"/>
    </row>
    <row r="43">
      <c r="A43" s="16" t="n"/>
      <c r="B43" s="15" t="n"/>
      <c r="C43" s="15" t="n"/>
      <c r="D43" s="15" t="n"/>
      <c r="E43" s="15" t="n"/>
      <c r="F43" s="15" t="n"/>
      <c r="G43" s="15" t="n"/>
      <c r="H43" s="17" t="n"/>
      <c r="I43" s="17" t="n"/>
      <c r="J43" s="15" t="n"/>
    </row>
    <row r="44">
      <c r="A44" s="16" t="n"/>
      <c r="B44" s="15" t="n"/>
      <c r="C44" s="15" t="n"/>
      <c r="D44" s="15" t="n"/>
      <c r="E44" s="15" t="n"/>
      <c r="F44" s="15" t="n"/>
      <c r="G44" s="15" t="n"/>
      <c r="H44" s="17" t="n"/>
      <c r="I44" s="17" t="n"/>
      <c r="J44" s="15" t="n"/>
    </row>
    <row r="45">
      <c r="A45" s="16" t="n"/>
      <c r="B45" s="15" t="n"/>
      <c r="C45" s="15" t="n"/>
      <c r="D45" s="15" t="n"/>
      <c r="E45" s="15" t="n"/>
      <c r="F45" s="15" t="n"/>
      <c r="G45" s="15" t="n"/>
      <c r="H45" s="17" t="n"/>
      <c r="I45" s="17" t="n"/>
      <c r="J45" s="15" t="n"/>
    </row>
    <row r="46">
      <c r="A46" s="16" t="n"/>
      <c r="B46" s="15" t="n"/>
      <c r="C46" s="15" t="n"/>
      <c r="D46" s="15" t="n"/>
      <c r="E46" s="15" t="n"/>
      <c r="F46" s="15" t="n"/>
      <c r="G46" s="15" t="n"/>
      <c r="H46" s="17" t="n"/>
      <c r="I46" s="17" t="n"/>
      <c r="J46" s="15" t="n"/>
    </row>
    <row r="47">
      <c r="A47" s="16" t="n"/>
      <c r="B47" s="15" t="n"/>
      <c r="C47" s="15" t="n"/>
      <c r="D47" s="15" t="n"/>
      <c r="E47" s="15" t="n"/>
      <c r="F47" s="15" t="n"/>
      <c r="G47" s="15" t="n"/>
      <c r="H47" s="17" t="n"/>
      <c r="I47" s="17" t="n"/>
      <c r="J47" s="15" t="n"/>
    </row>
    <row r="48">
      <c r="A48" s="16" t="n"/>
      <c r="B48" s="15" t="n"/>
      <c r="C48" s="15" t="n"/>
      <c r="D48" s="15" t="n"/>
      <c r="E48" s="15" t="n"/>
      <c r="F48" s="15" t="n"/>
      <c r="G48" s="15" t="n"/>
      <c r="H48" s="17" t="n"/>
      <c r="I48" s="17" t="n"/>
      <c r="J48" s="15" t="n"/>
    </row>
    <row r="49">
      <c r="A49" s="16" t="n"/>
      <c r="B49" s="15" t="n"/>
      <c r="C49" s="15" t="n"/>
      <c r="D49" s="15" t="n"/>
      <c r="E49" s="15" t="n"/>
      <c r="F49" s="15" t="n"/>
      <c r="G49" s="15" t="n"/>
      <c r="H49" s="17" t="n"/>
      <c r="I49" s="17" t="n"/>
      <c r="J49" s="15" t="n"/>
    </row>
    <row r="50">
      <c r="A50" s="16" t="n"/>
      <c r="B50" s="15" t="n"/>
      <c r="C50" s="15" t="n"/>
      <c r="D50" s="15" t="n"/>
      <c r="E50" s="15" t="n"/>
      <c r="F50" s="15" t="n"/>
      <c r="G50" s="15" t="n"/>
      <c r="H50" s="17" t="n"/>
      <c r="I50" s="17" t="n"/>
      <c r="J50" s="15" t="n"/>
    </row>
    <row r="51">
      <c r="A51" s="16" t="n"/>
      <c r="B51" s="15" t="n"/>
      <c r="C51" s="15" t="n"/>
      <c r="D51" s="15" t="n"/>
      <c r="E51" s="15" t="n"/>
      <c r="F51" s="15" t="n"/>
      <c r="G51" s="15" t="n"/>
      <c r="H51" s="17" t="n"/>
      <c r="I51" s="17" t="n"/>
      <c r="J51" s="15" t="n"/>
    </row>
    <row r="52">
      <c r="A52" s="16" t="n"/>
      <c r="B52" s="15" t="n"/>
      <c r="C52" s="15" t="n"/>
      <c r="D52" s="15" t="n"/>
      <c r="E52" s="15" t="n"/>
      <c r="F52" s="15" t="n"/>
      <c r="G52" s="15" t="n"/>
      <c r="H52" s="17" t="n"/>
      <c r="I52" s="17" t="n"/>
      <c r="J52" s="15" t="n"/>
    </row>
    <row r="53">
      <c r="A53" s="16" t="n"/>
      <c r="B53" s="15" t="n"/>
      <c r="C53" s="15" t="n"/>
      <c r="D53" s="15" t="n"/>
      <c r="E53" s="15" t="n"/>
      <c r="F53" s="15" t="n"/>
      <c r="G53" s="15" t="n"/>
      <c r="H53" s="17" t="n"/>
      <c r="I53" s="17" t="n"/>
      <c r="J53" s="15" t="n"/>
    </row>
    <row r="54">
      <c r="A54" s="16" t="n"/>
      <c r="B54" s="15" t="n"/>
      <c r="C54" s="15" t="n"/>
      <c r="D54" s="15" t="n"/>
      <c r="E54" s="15" t="n"/>
      <c r="F54" s="15" t="n"/>
      <c r="G54" s="15" t="n"/>
      <c r="H54" s="17" t="n"/>
      <c r="I54" s="17" t="n"/>
      <c r="J54" s="15" t="n"/>
    </row>
    <row r="55">
      <c r="A55" s="16" t="n"/>
      <c r="B55" s="15" t="n"/>
      <c r="C55" s="15" t="n"/>
      <c r="D55" s="15" t="n"/>
      <c r="E55" s="15" t="n"/>
      <c r="F55" s="15" t="n"/>
      <c r="G55" s="15" t="n"/>
      <c r="H55" s="17" t="n"/>
      <c r="I55" s="17" t="n"/>
      <c r="J55" s="15" t="n"/>
    </row>
    <row r="56">
      <c r="A56" s="16" t="n"/>
      <c r="B56" s="15" t="n"/>
      <c r="C56" s="15" t="n"/>
      <c r="D56" s="15" t="n"/>
      <c r="E56" s="15" t="n"/>
      <c r="F56" s="15" t="n"/>
      <c r="G56" s="15" t="n"/>
      <c r="H56" s="17" t="n"/>
      <c r="I56" s="17" t="n"/>
      <c r="J56" s="15" t="n"/>
    </row>
    <row r="57">
      <c r="A57" s="16" t="n"/>
      <c r="B57" s="15" t="n"/>
      <c r="C57" s="15" t="n"/>
      <c r="D57" s="15" t="n"/>
      <c r="E57" s="15" t="n"/>
      <c r="F57" s="15" t="n"/>
      <c r="G57" s="15" t="n"/>
      <c r="H57" s="17" t="n"/>
      <c r="I57" s="17" t="n"/>
      <c r="J57" s="15" t="n"/>
    </row>
    <row r="58">
      <c r="A58" s="16" t="n"/>
      <c r="B58" s="15" t="n"/>
      <c r="C58" s="15" t="n"/>
      <c r="D58" s="15" t="n"/>
      <c r="E58" s="15" t="n"/>
      <c r="F58" s="15" t="n"/>
      <c r="G58" s="15" t="n"/>
      <c r="H58" s="17" t="n"/>
      <c r="I58" s="17" t="n"/>
      <c r="J58" s="15" t="n"/>
    </row>
    <row r="59">
      <c r="A59" s="16" t="n"/>
      <c r="B59" s="15" t="n"/>
      <c r="C59" s="15" t="n"/>
      <c r="D59" s="15" t="n"/>
      <c r="E59" s="15" t="n"/>
      <c r="F59" s="15" t="n"/>
      <c r="G59" s="15" t="n"/>
      <c r="H59" s="17" t="n"/>
      <c r="I59" s="17" t="n"/>
      <c r="J59" s="15" t="n"/>
    </row>
    <row r="60">
      <c r="A60" s="16" t="n"/>
      <c r="B60" s="15" t="n"/>
      <c r="C60" s="15" t="n"/>
      <c r="D60" s="15" t="n"/>
      <c r="E60" s="15" t="n"/>
      <c r="F60" s="15" t="n"/>
      <c r="G60" s="15" t="n"/>
      <c r="H60" s="17" t="n"/>
      <c r="I60" s="17" t="n"/>
      <c r="J60" s="15" t="n"/>
    </row>
    <row r="61">
      <c r="A61" s="16" t="n"/>
      <c r="B61" s="15" t="n"/>
      <c r="C61" s="15" t="n"/>
      <c r="D61" s="15" t="n"/>
      <c r="E61" s="15" t="n"/>
      <c r="F61" s="15" t="n"/>
      <c r="G61" s="15" t="n"/>
      <c r="H61" s="17" t="n"/>
      <c r="I61" s="17" t="n"/>
      <c r="J61" s="15" t="n"/>
    </row>
    <row r="62">
      <c r="A62" s="16" t="n"/>
      <c r="B62" s="15" t="n"/>
      <c r="C62" s="15" t="n"/>
      <c r="D62" s="15" t="n"/>
      <c r="E62" s="15" t="n"/>
      <c r="F62" s="15" t="n"/>
      <c r="G62" s="15" t="n"/>
      <c r="H62" s="17" t="n"/>
      <c r="I62" s="17" t="n"/>
      <c r="J62" s="15" t="n"/>
    </row>
    <row r="63">
      <c r="A63" s="16" t="n"/>
      <c r="B63" s="15" t="n"/>
      <c r="C63" s="15" t="n"/>
      <c r="D63" s="15" t="n"/>
      <c r="E63" s="15" t="n"/>
      <c r="F63" s="15" t="n"/>
      <c r="G63" s="15" t="n"/>
      <c r="H63" s="17" t="n"/>
      <c r="I63" s="17" t="n"/>
      <c r="J63" s="15" t="n"/>
    </row>
    <row r="64">
      <c r="A64" s="16" t="n"/>
      <c r="B64" s="15" t="n"/>
      <c r="C64" s="15" t="n"/>
      <c r="D64" s="15" t="n"/>
      <c r="E64" s="15" t="n"/>
      <c r="F64" s="15" t="n"/>
      <c r="G64" s="15" t="n"/>
      <c r="H64" s="17" t="n"/>
      <c r="I64" s="17" t="n"/>
      <c r="J64" s="15" t="n"/>
    </row>
    <row r="65">
      <c r="A65" s="16" t="n"/>
      <c r="B65" s="15" t="n"/>
      <c r="C65" s="15" t="n"/>
      <c r="D65" s="15" t="n"/>
      <c r="E65" s="15" t="n"/>
      <c r="F65" s="15" t="n"/>
      <c r="G65" s="15" t="n"/>
      <c r="H65" s="17" t="n"/>
      <c r="I65" s="17" t="n"/>
      <c r="J65" s="15" t="n"/>
    </row>
    <row r="66">
      <c r="A66" s="16" t="n"/>
      <c r="B66" s="15" t="n"/>
      <c r="C66" s="15" t="n"/>
      <c r="D66" s="15" t="n"/>
      <c r="E66" s="15" t="n"/>
      <c r="F66" s="15" t="n"/>
      <c r="G66" s="15" t="n"/>
      <c r="H66" s="17" t="n"/>
      <c r="I66" s="17" t="n"/>
      <c r="J66" s="15" t="n"/>
    </row>
    <row r="67">
      <c r="A67" s="16" t="n"/>
      <c r="B67" s="15" t="n"/>
      <c r="C67" s="15" t="n"/>
      <c r="D67" s="15" t="n"/>
      <c r="E67" s="15" t="n"/>
      <c r="F67" s="15" t="n"/>
      <c r="G67" s="15" t="n"/>
      <c r="H67" s="17" t="n"/>
      <c r="I67" s="17" t="n"/>
      <c r="J67" s="15" t="n"/>
    </row>
    <row r="68">
      <c r="A68" s="16" t="n"/>
      <c r="B68" s="15" t="n"/>
      <c r="C68" s="15" t="n"/>
      <c r="D68" s="15" t="n"/>
      <c r="E68" s="15" t="n"/>
      <c r="F68" s="15" t="n"/>
      <c r="G68" s="15" t="n"/>
      <c r="H68" s="17" t="n"/>
      <c r="I68" s="17" t="n"/>
      <c r="J68" s="15" t="n"/>
    </row>
    <row r="69">
      <c r="A69" s="16" t="n"/>
      <c r="B69" s="15" t="n"/>
      <c r="C69" s="15" t="n"/>
      <c r="D69" s="15" t="n"/>
      <c r="E69" s="15" t="n"/>
      <c r="F69" s="15" t="n"/>
      <c r="G69" s="15" t="n"/>
      <c r="H69" s="17" t="n"/>
      <c r="I69" s="17" t="n"/>
      <c r="J69" s="15" t="n"/>
    </row>
    <row r="70">
      <c r="A70" s="16" t="n"/>
      <c r="B70" s="15" t="n"/>
      <c r="C70" s="15" t="n"/>
      <c r="D70" s="15" t="n"/>
      <c r="E70" s="15" t="n"/>
      <c r="F70" s="15" t="n"/>
      <c r="G70" s="15" t="n"/>
      <c r="H70" s="17" t="n"/>
      <c r="I70" s="17" t="n"/>
      <c r="J70" s="15" t="n"/>
    </row>
    <row r="71">
      <c r="A71" s="16" t="n"/>
      <c r="B71" s="15" t="n"/>
      <c r="C71" s="15" t="n"/>
      <c r="D71" s="15" t="n"/>
      <c r="E71" s="15" t="n"/>
      <c r="F71" s="15" t="n"/>
      <c r="G71" s="15" t="n"/>
      <c r="H71" s="17" t="n"/>
      <c r="I71" s="17" t="n"/>
      <c r="J71" s="15" t="n"/>
    </row>
    <row r="72">
      <c r="A72" s="16" t="n"/>
      <c r="B72" s="15" t="n"/>
      <c r="C72" s="15" t="n"/>
      <c r="D72" s="15" t="n"/>
      <c r="E72" s="15" t="n"/>
      <c r="F72" s="15" t="n"/>
      <c r="G72" s="15" t="n"/>
      <c r="H72" s="17" t="n"/>
      <c r="I72" s="17" t="n"/>
      <c r="J72" s="15" t="n"/>
    </row>
    <row r="73">
      <c r="A73" s="16" t="n"/>
      <c r="B73" s="15" t="n"/>
      <c r="C73" s="15" t="n"/>
      <c r="D73" s="15" t="n"/>
      <c r="E73" s="15" t="n"/>
      <c r="F73" s="15" t="n"/>
      <c r="G73" s="15" t="n"/>
      <c r="H73" s="17" t="n"/>
      <c r="I73" s="17" t="n"/>
      <c r="J73" s="15" t="n"/>
    </row>
    <row r="74">
      <c r="A74" s="16" t="n"/>
      <c r="B74" s="15" t="n"/>
      <c r="C74" s="15" t="n"/>
      <c r="D74" s="15" t="n"/>
      <c r="E74" s="15" t="n"/>
      <c r="F74" s="15" t="n"/>
      <c r="G74" s="15" t="n"/>
      <c r="H74" s="17" t="n"/>
      <c r="I74" s="17" t="n"/>
      <c r="J74" s="15" t="n"/>
    </row>
    <row r="75">
      <c r="A75" s="16" t="n"/>
      <c r="B75" s="15" t="n"/>
      <c r="C75" s="15" t="n"/>
      <c r="D75" s="15" t="n"/>
      <c r="E75" s="15" t="n"/>
      <c r="F75" s="15" t="n"/>
      <c r="G75" s="15" t="n"/>
      <c r="H75" s="17" t="n"/>
      <c r="I75" s="17" t="n"/>
      <c r="J75" s="15" t="n"/>
    </row>
    <row r="76">
      <c r="A76" s="16" t="n"/>
      <c r="B76" s="15" t="n"/>
      <c r="C76" s="15" t="n"/>
      <c r="D76" s="15" t="n"/>
      <c r="E76" s="15" t="n"/>
      <c r="F76" s="15" t="n"/>
      <c r="G76" s="15" t="n"/>
      <c r="H76" s="17" t="n"/>
      <c r="I76" s="17" t="n"/>
      <c r="J76" s="15" t="n"/>
    </row>
    <row r="77">
      <c r="A77" s="16" t="n"/>
      <c r="B77" s="15" t="n"/>
      <c r="C77" s="15" t="n"/>
      <c r="D77" s="15" t="n"/>
      <c r="E77" s="15" t="n"/>
      <c r="F77" s="15" t="n"/>
      <c r="G77" s="15" t="n"/>
      <c r="H77" s="17" t="n"/>
      <c r="I77" s="17" t="n"/>
      <c r="J77" s="15" t="n"/>
    </row>
    <row r="78">
      <c r="A78" s="16" t="n"/>
      <c r="B78" s="15" t="n"/>
      <c r="C78" s="15" t="n"/>
      <c r="D78" s="15" t="n"/>
      <c r="E78" s="15" t="n"/>
      <c r="F78" s="15" t="n"/>
      <c r="G78" s="15" t="n"/>
      <c r="H78" s="17" t="n"/>
      <c r="I78" s="17" t="n"/>
      <c r="J78" s="15" t="n"/>
    </row>
    <row r="79">
      <c r="A79" s="16" t="n"/>
      <c r="B79" s="15" t="n"/>
      <c r="C79" s="15" t="n"/>
      <c r="D79" s="15" t="n"/>
      <c r="E79" s="15" t="n"/>
      <c r="F79" s="15" t="n"/>
      <c r="G79" s="15" t="n"/>
      <c r="H79" s="17" t="n"/>
      <c r="I79" s="17" t="n"/>
      <c r="J79" s="15" t="n"/>
    </row>
    <row r="80">
      <c r="A80" s="16" t="n"/>
      <c r="B80" s="15" t="n"/>
      <c r="C80" s="15" t="n"/>
      <c r="D80" s="15" t="n"/>
      <c r="E80" s="15" t="n"/>
      <c r="F80" s="15" t="n"/>
      <c r="G80" s="15" t="n"/>
      <c r="H80" s="17" t="n"/>
      <c r="I80" s="17" t="n"/>
      <c r="J80" s="15" t="n"/>
    </row>
    <row r="81">
      <c r="A81" s="16" t="n"/>
      <c r="B81" s="15" t="n"/>
      <c r="C81" s="15" t="n"/>
      <c r="D81" s="15" t="n"/>
      <c r="E81" s="15" t="n"/>
      <c r="F81" s="15" t="n"/>
      <c r="G81" s="15" t="n"/>
      <c r="H81" s="17" t="n"/>
      <c r="I81" s="17" t="n"/>
      <c r="J81" s="15" t="n"/>
    </row>
    <row r="82">
      <c r="A82" s="16" t="n"/>
      <c r="B82" s="15" t="n"/>
      <c r="C82" s="15" t="n"/>
      <c r="D82" s="15" t="n"/>
      <c r="E82" s="15" t="n"/>
      <c r="F82" s="15" t="n"/>
      <c r="G82" s="15" t="n"/>
      <c r="H82" s="17" t="n"/>
      <c r="I82" s="17" t="n"/>
      <c r="J82" s="15" t="n"/>
    </row>
    <row r="83">
      <c r="A83" s="16" t="n"/>
      <c r="B83" s="15" t="n"/>
      <c r="C83" s="15" t="n"/>
      <c r="D83" s="15" t="n"/>
      <c r="E83" s="15" t="n"/>
      <c r="F83" s="15" t="n"/>
      <c r="G83" s="15" t="n"/>
      <c r="H83" s="17" t="n"/>
      <c r="I83" s="17" t="n"/>
      <c r="J83" s="15" t="n"/>
    </row>
    <row r="84">
      <c r="A84" s="16" t="n"/>
      <c r="B84" s="15" t="n"/>
      <c r="C84" s="15" t="n"/>
      <c r="D84" s="15" t="n"/>
      <c r="E84" s="15" t="n"/>
      <c r="F84" s="15" t="n"/>
      <c r="G84" s="15" t="n"/>
      <c r="H84" s="17" t="n"/>
      <c r="I84" s="17" t="n"/>
      <c r="J84" s="15" t="n"/>
    </row>
    <row r="85">
      <c r="A85" s="16" t="n"/>
      <c r="B85" s="15" t="n"/>
      <c r="C85" s="15" t="n"/>
      <c r="D85" s="15" t="n"/>
      <c r="E85" s="15" t="n"/>
      <c r="F85" s="15" t="n"/>
      <c r="G85" s="15" t="n"/>
      <c r="H85" s="17" t="n"/>
      <c r="I85" s="17" t="n"/>
      <c r="J85" s="15" t="n"/>
    </row>
    <row r="86">
      <c r="A86" s="16" t="n"/>
      <c r="B86" s="15" t="n"/>
      <c r="C86" s="15" t="n"/>
      <c r="D86" s="15" t="n"/>
      <c r="E86" s="15" t="n"/>
      <c r="F86" s="15" t="n"/>
      <c r="G86" s="15" t="n"/>
      <c r="H86" s="17" t="n"/>
      <c r="I86" s="17" t="n"/>
      <c r="J86" s="15" t="n"/>
    </row>
    <row r="87">
      <c r="A87" s="16" t="n"/>
      <c r="B87" s="15" t="n"/>
      <c r="C87" s="15" t="n"/>
      <c r="D87" s="15" t="n"/>
      <c r="E87" s="15" t="n"/>
      <c r="F87" s="15" t="n"/>
      <c r="G87" s="15" t="n"/>
      <c r="H87" s="17" t="n"/>
      <c r="I87" s="17" t="n"/>
      <c r="J87" s="15" t="n"/>
    </row>
    <row r="88">
      <c r="A88" s="16" t="n"/>
      <c r="B88" s="15" t="n"/>
      <c r="C88" s="15" t="n"/>
      <c r="D88" s="15" t="n"/>
      <c r="E88" s="15" t="n"/>
      <c r="F88" s="15" t="n"/>
      <c r="G88" s="15" t="n"/>
      <c r="H88" s="17" t="n"/>
      <c r="I88" s="17" t="n"/>
      <c r="J88" s="15" t="n"/>
    </row>
    <row r="89">
      <c r="A89" s="16" t="n"/>
      <c r="B89" s="15" t="n"/>
      <c r="C89" s="15" t="n"/>
      <c r="D89" s="15" t="n"/>
      <c r="E89" s="15" t="n"/>
      <c r="F89" s="15" t="n"/>
      <c r="G89" s="15" t="n"/>
      <c r="H89" s="17" t="n"/>
      <c r="I89" s="17" t="n"/>
      <c r="J89" s="15" t="n"/>
    </row>
    <row r="90">
      <c r="A90" s="16" t="n"/>
      <c r="B90" s="15" t="n"/>
      <c r="C90" s="15" t="n"/>
      <c r="D90" s="15" t="n"/>
      <c r="E90" s="15" t="n"/>
      <c r="F90" s="15" t="n"/>
      <c r="G90" s="15" t="n"/>
      <c r="H90" s="17" t="n"/>
      <c r="I90" s="17" t="n"/>
      <c r="J90" s="15" t="n"/>
    </row>
    <row r="91">
      <c r="A91" s="16" t="n"/>
      <c r="B91" s="15" t="n"/>
      <c r="C91" s="15" t="n"/>
      <c r="D91" s="15" t="n"/>
      <c r="E91" s="15" t="n"/>
      <c r="F91" s="15" t="n"/>
      <c r="G91" s="15" t="n"/>
      <c r="H91" s="17" t="n"/>
      <c r="I91" s="17" t="n"/>
      <c r="J91" s="15" t="n"/>
    </row>
    <row r="92">
      <c r="A92" s="16" t="n"/>
      <c r="B92" s="15" t="n"/>
      <c r="C92" s="15" t="n"/>
      <c r="D92" s="15" t="n"/>
      <c r="E92" s="15" t="n"/>
      <c r="F92" s="15" t="n"/>
      <c r="G92" s="15" t="n"/>
      <c r="H92" s="17" t="n"/>
      <c r="I92" s="17" t="n"/>
      <c r="J92" s="15" t="n"/>
    </row>
    <row r="93">
      <c r="A93" s="16" t="n"/>
      <c r="B93" s="15" t="n"/>
      <c r="C93" s="15" t="n"/>
      <c r="D93" s="15" t="n"/>
      <c r="E93" s="15" t="n"/>
      <c r="F93" s="15" t="n"/>
      <c r="G93" s="15" t="n"/>
      <c r="H93" s="17" t="n"/>
      <c r="I93" s="17" t="n"/>
      <c r="J93" s="15" t="n"/>
    </row>
    <row r="94">
      <c r="A94" s="16" t="n"/>
      <c r="B94" s="15" t="n"/>
      <c r="C94" s="15" t="n"/>
      <c r="D94" s="15" t="n"/>
      <c r="E94" s="15" t="n"/>
      <c r="F94" s="15" t="n"/>
      <c r="G94" s="15" t="n"/>
      <c r="H94" s="17" t="n"/>
      <c r="I94" s="17" t="n"/>
      <c r="J94" s="15" t="n"/>
    </row>
    <row r="95">
      <c r="A95" s="16" t="n"/>
      <c r="B95" s="15" t="n"/>
      <c r="C95" s="15" t="n"/>
      <c r="D95" s="15" t="n"/>
      <c r="E95" s="15" t="n"/>
      <c r="F95" s="15" t="n"/>
      <c r="G95" s="15" t="n"/>
      <c r="H95" s="17" t="n"/>
      <c r="I95" s="17" t="n"/>
      <c r="J95" s="15" t="n"/>
    </row>
    <row r="96">
      <c r="A96" s="16" t="n"/>
      <c r="B96" s="15" t="n"/>
      <c r="C96" s="15" t="n"/>
      <c r="D96" s="15" t="n"/>
      <c r="E96" s="15" t="n"/>
      <c r="F96" s="15" t="n"/>
      <c r="G96" s="15" t="n"/>
      <c r="H96" s="17" t="n"/>
      <c r="I96" s="17" t="n"/>
      <c r="J96" s="15" t="n"/>
    </row>
    <row r="97">
      <c r="A97" s="16" t="n"/>
      <c r="B97" s="15" t="n"/>
      <c r="C97" s="15" t="n"/>
      <c r="D97" s="15" t="n"/>
      <c r="E97" s="15" t="n"/>
      <c r="F97" s="15" t="n"/>
      <c r="G97" s="15" t="n"/>
      <c r="H97" s="17" t="n"/>
      <c r="I97" s="17" t="n"/>
      <c r="J97" s="15" t="n"/>
    </row>
    <row r="98">
      <c r="A98" s="16" t="n"/>
      <c r="B98" s="15" t="n"/>
      <c r="C98" s="15" t="n"/>
      <c r="D98" s="15" t="n"/>
      <c r="E98" s="15" t="n"/>
      <c r="F98" s="15" t="n"/>
      <c r="G98" s="15" t="n"/>
      <c r="H98" s="17" t="n"/>
      <c r="I98" s="17" t="n"/>
      <c r="J98" s="15" t="n"/>
    </row>
    <row r="99">
      <c r="A99" s="16" t="n"/>
      <c r="B99" s="15" t="n"/>
      <c r="C99" s="15" t="n"/>
      <c r="D99" s="15" t="n"/>
      <c r="E99" s="15" t="n"/>
      <c r="F99" s="15" t="n"/>
      <c r="G99" s="15" t="n"/>
      <c r="H99" s="17" t="n"/>
      <c r="I99" s="17" t="n"/>
      <c r="J99" s="15" t="n"/>
    </row>
    <row r="100">
      <c r="A100" s="16" t="n"/>
      <c r="B100" s="15" t="n"/>
      <c r="C100" s="15" t="n"/>
      <c r="D100" s="15" t="n"/>
      <c r="E100" s="15" t="n"/>
      <c r="F100" s="15" t="n"/>
      <c r="G100" s="15" t="n"/>
      <c r="H100" s="17" t="n"/>
      <c r="I100" s="17" t="n"/>
      <c r="J100" s="15" t="n"/>
    </row>
    <row r="101">
      <c r="A101" s="16" t="n"/>
      <c r="B101" s="15" t="n"/>
      <c r="C101" s="15" t="n"/>
      <c r="D101" s="15" t="n"/>
      <c r="E101" s="15" t="n"/>
      <c r="F101" s="15" t="n"/>
      <c r="G101" s="15" t="n"/>
      <c r="H101" s="17" t="n"/>
      <c r="I101" s="17" t="n"/>
      <c r="J101" s="15" t="n"/>
    </row>
    <row r="102">
      <c r="A102" s="16" t="n"/>
      <c r="B102" s="15" t="n"/>
      <c r="C102" s="15" t="n"/>
      <c r="D102" s="15" t="n"/>
      <c r="E102" s="15" t="n"/>
      <c r="F102" s="15" t="n"/>
      <c r="G102" s="15" t="n"/>
      <c r="H102" s="17" t="n"/>
      <c r="I102" s="17" t="n"/>
      <c r="J102" s="15" t="n"/>
    </row>
    <row r="103">
      <c r="A103" s="16" t="n"/>
      <c r="B103" s="15" t="n"/>
      <c r="C103" s="15" t="n"/>
      <c r="D103" s="15" t="n"/>
      <c r="E103" s="15" t="n"/>
      <c r="F103" s="15" t="n"/>
      <c r="G103" s="15" t="n"/>
      <c r="H103" s="17" t="n"/>
      <c r="I103" s="17" t="n"/>
      <c r="J103" s="15" t="n"/>
    </row>
    <row r="104">
      <c r="A104" s="16" t="n"/>
      <c r="B104" s="15" t="n"/>
      <c r="C104" s="15" t="n"/>
      <c r="D104" s="15" t="n"/>
      <c r="E104" s="15" t="n"/>
      <c r="F104" s="15" t="n"/>
      <c r="G104" s="15" t="n"/>
      <c r="H104" s="17" t="n"/>
      <c r="I104" s="17" t="n"/>
      <c r="J104" s="15" t="n"/>
    </row>
    <row r="105">
      <c r="A105" s="16" t="n"/>
      <c r="B105" s="15" t="n"/>
      <c r="C105" s="15" t="n"/>
      <c r="D105" s="15" t="n"/>
      <c r="E105" s="15" t="n"/>
      <c r="F105" s="15" t="n"/>
      <c r="G105" s="15" t="n"/>
      <c r="H105" s="17" t="n"/>
      <c r="I105" s="17" t="n"/>
      <c r="J105" s="15" t="n"/>
    </row>
    <row r="106">
      <c r="A106" s="16" t="n"/>
      <c r="B106" s="15" t="n"/>
      <c r="C106" s="15" t="n"/>
      <c r="D106" s="15" t="n"/>
      <c r="E106" s="15" t="n"/>
      <c r="F106" s="15" t="n"/>
      <c r="G106" s="15" t="n"/>
      <c r="H106" s="17" t="n"/>
      <c r="I106" s="17" t="n"/>
      <c r="J106" s="15" t="n"/>
    </row>
    <row r="107">
      <c r="A107" s="16" t="n"/>
      <c r="B107" s="15" t="n"/>
      <c r="C107" s="15" t="n"/>
      <c r="D107" s="15" t="n"/>
      <c r="E107" s="15" t="n"/>
      <c r="F107" s="15" t="n"/>
      <c r="G107" s="15" t="n"/>
      <c r="H107" s="17" t="n"/>
      <c r="I107" s="17" t="n"/>
      <c r="J107" s="15" t="n"/>
    </row>
    <row r="108">
      <c r="A108" s="16" t="n"/>
      <c r="B108" s="15" t="n"/>
      <c r="C108" s="15" t="n"/>
      <c r="D108" s="15" t="n"/>
      <c r="E108" s="15" t="n"/>
      <c r="F108" s="15" t="n"/>
      <c r="G108" s="15" t="n"/>
      <c r="H108" s="17" t="n"/>
      <c r="I108" s="17" t="n"/>
      <c r="J108" s="15" t="n"/>
    </row>
    <row r="109">
      <c r="A109" s="16" t="n"/>
      <c r="B109" s="15" t="n"/>
      <c r="C109" s="15" t="n"/>
      <c r="D109" s="15" t="n"/>
      <c r="E109" s="15" t="n"/>
      <c r="F109" s="15" t="n"/>
      <c r="G109" s="15" t="n"/>
      <c r="H109" s="17" t="n"/>
      <c r="I109" s="17" t="n"/>
      <c r="J109" s="15" t="n"/>
    </row>
    <row r="110">
      <c r="A110" s="16" t="n"/>
      <c r="B110" s="15" t="n"/>
      <c r="C110" s="15" t="n"/>
      <c r="D110" s="15" t="n"/>
      <c r="E110" s="15" t="n"/>
      <c r="F110" s="15" t="n"/>
      <c r="G110" s="15" t="n"/>
      <c r="H110" s="17" t="n"/>
      <c r="I110" s="17" t="n"/>
      <c r="J110" s="15" t="n"/>
    </row>
    <row r="111">
      <c r="A111" s="16" t="n"/>
      <c r="B111" s="15" t="n"/>
      <c r="C111" s="15" t="n"/>
      <c r="D111" s="15" t="n"/>
      <c r="E111" s="15" t="n"/>
      <c r="F111" s="15" t="n"/>
      <c r="G111" s="15" t="n"/>
      <c r="H111" s="17" t="n"/>
      <c r="I111" s="17" t="n"/>
      <c r="J111" s="15" t="n"/>
    </row>
    <row r="112">
      <c r="A112" s="16" t="n"/>
      <c r="B112" s="15" t="n"/>
      <c r="C112" s="15" t="n"/>
      <c r="D112" s="15" t="n"/>
      <c r="E112" s="15" t="n"/>
      <c r="F112" s="15" t="n"/>
      <c r="G112" s="15" t="n"/>
      <c r="H112" s="17" t="n"/>
      <c r="I112" s="17" t="n"/>
      <c r="J112" s="15" t="n"/>
    </row>
    <row r="113">
      <c r="A113" s="16" t="n"/>
      <c r="B113" s="15" t="n"/>
      <c r="C113" s="15" t="n"/>
      <c r="D113" s="15" t="n"/>
      <c r="E113" s="15" t="n"/>
      <c r="F113" s="15" t="n"/>
      <c r="G113" s="15" t="n"/>
      <c r="H113" s="17" t="n"/>
      <c r="I113" s="17" t="n"/>
      <c r="J113" s="15" t="n"/>
    </row>
    <row r="114">
      <c r="A114" s="16" t="n"/>
      <c r="B114" s="15" t="n"/>
      <c r="C114" s="15" t="n"/>
      <c r="D114" s="15" t="n"/>
      <c r="E114" s="15" t="n"/>
      <c r="F114" s="15" t="n"/>
      <c r="G114" s="15" t="n"/>
      <c r="H114" s="17" t="n"/>
      <c r="I114" s="17" t="n"/>
      <c r="J114" s="15" t="n"/>
    </row>
    <row r="115">
      <c r="A115" s="16" t="n"/>
      <c r="B115" s="15" t="n"/>
      <c r="C115" s="15" t="n"/>
      <c r="D115" s="15" t="n"/>
      <c r="E115" s="15" t="n"/>
      <c r="F115" s="15" t="n"/>
      <c r="G115" s="15" t="n"/>
      <c r="H115" s="17" t="n"/>
      <c r="I115" s="17" t="n"/>
      <c r="J115" s="15" t="n"/>
    </row>
    <row r="116">
      <c r="A116" s="16" t="n"/>
      <c r="B116" s="15" t="n"/>
      <c r="C116" s="15" t="n"/>
      <c r="D116" s="15" t="n"/>
      <c r="E116" s="15" t="n"/>
      <c r="F116" s="15" t="n"/>
      <c r="G116" s="15" t="n"/>
      <c r="H116" s="17" t="n"/>
      <c r="I116" s="17" t="n"/>
      <c r="J116" s="15" t="n"/>
    </row>
    <row r="117">
      <c r="A117" s="16" t="n"/>
      <c r="B117" s="15" t="n"/>
      <c r="C117" s="15" t="n"/>
      <c r="D117" s="15" t="n"/>
      <c r="E117" s="15" t="n"/>
      <c r="F117" s="15" t="n"/>
      <c r="G117" s="15" t="n"/>
      <c r="H117" s="17" t="n"/>
      <c r="I117" s="17" t="n"/>
      <c r="J117" s="15" t="n"/>
    </row>
    <row r="118">
      <c r="A118" s="16" t="n"/>
      <c r="B118" s="15" t="n"/>
      <c r="C118" s="15" t="n"/>
      <c r="D118" s="15" t="n"/>
      <c r="E118" s="15" t="n"/>
      <c r="F118" s="15" t="n"/>
      <c r="G118" s="15" t="n"/>
      <c r="H118" s="17" t="n"/>
      <c r="I118" s="17" t="n"/>
      <c r="J118" s="15" t="n"/>
    </row>
    <row r="119">
      <c r="A119" s="16" t="n"/>
      <c r="B119" s="15" t="n"/>
      <c r="C119" s="15" t="n"/>
      <c r="D119" s="15" t="n"/>
      <c r="E119" s="15" t="n"/>
      <c r="F119" s="15" t="n"/>
      <c r="G119" s="15" t="n"/>
      <c r="H119" s="17" t="n"/>
      <c r="I119" s="17" t="n"/>
      <c r="J119" s="15" t="n"/>
    </row>
    <row r="120">
      <c r="A120" s="16" t="n"/>
      <c r="B120" s="15" t="n"/>
      <c r="C120" s="15" t="n"/>
      <c r="D120" s="15" t="n"/>
      <c r="E120" s="15" t="n"/>
      <c r="F120" s="15" t="n"/>
      <c r="G120" s="15" t="n"/>
      <c r="H120" s="17" t="n"/>
      <c r="I120" s="17" t="n"/>
      <c r="J120" s="15" t="n"/>
    </row>
    <row r="121">
      <c r="A121" s="16" t="n"/>
      <c r="B121" s="15" t="n"/>
      <c r="C121" s="15" t="n"/>
      <c r="D121" s="15" t="n"/>
      <c r="E121" s="15" t="n"/>
      <c r="F121" s="15" t="n"/>
      <c r="G121" s="15" t="n"/>
      <c r="H121" s="17" t="n"/>
      <c r="I121" s="17" t="n"/>
      <c r="J121" s="15" t="n"/>
    </row>
    <row r="122">
      <c r="A122" s="16" t="n"/>
      <c r="B122" s="15" t="n"/>
      <c r="C122" s="15" t="n"/>
      <c r="D122" s="15" t="n"/>
      <c r="E122" s="15" t="n"/>
      <c r="F122" s="15" t="n"/>
      <c r="G122" s="15" t="n"/>
      <c r="H122" s="17" t="n"/>
      <c r="I122" s="17" t="n"/>
      <c r="J122" s="15" t="n"/>
    </row>
    <row r="123">
      <c r="A123" s="16" t="n"/>
      <c r="B123" s="15" t="n"/>
      <c r="C123" s="15" t="n"/>
      <c r="D123" s="15" t="n"/>
      <c r="E123" s="15" t="n"/>
      <c r="F123" s="15" t="n"/>
      <c r="G123" s="15" t="n"/>
      <c r="H123" s="17" t="n"/>
      <c r="I123" s="17" t="n"/>
      <c r="J123" s="15" t="n"/>
    </row>
    <row r="124">
      <c r="A124" s="16" t="n"/>
      <c r="B124" s="15" t="n"/>
      <c r="C124" s="15" t="n"/>
      <c r="D124" s="15" t="n"/>
      <c r="E124" s="15" t="n"/>
      <c r="F124" s="15" t="n"/>
      <c r="G124" s="15" t="n"/>
      <c r="H124" s="17" t="n"/>
      <c r="I124" s="17" t="n"/>
      <c r="J124" s="15" t="n"/>
    </row>
    <row r="125">
      <c r="A125" s="16" t="n"/>
      <c r="B125" s="15" t="n"/>
      <c r="C125" s="15" t="n"/>
      <c r="D125" s="15" t="n"/>
      <c r="E125" s="15" t="n"/>
      <c r="F125" s="15" t="n"/>
      <c r="G125" s="15" t="n"/>
      <c r="H125" s="17" t="n"/>
      <c r="I125" s="17" t="n"/>
      <c r="J125" s="15" t="n"/>
    </row>
    <row r="126">
      <c r="A126" s="16" t="n"/>
      <c r="B126" s="15" t="n"/>
      <c r="C126" s="15" t="n"/>
      <c r="D126" s="15" t="n"/>
      <c r="E126" s="15" t="n"/>
      <c r="F126" s="15" t="n"/>
      <c r="G126" s="15" t="n"/>
      <c r="H126" s="17" t="n"/>
      <c r="I126" s="17" t="n"/>
      <c r="J126" s="15" t="n"/>
    </row>
    <row r="127">
      <c r="A127" s="16" t="n"/>
      <c r="B127" s="15" t="n"/>
      <c r="C127" s="15" t="n"/>
      <c r="D127" s="15" t="n"/>
      <c r="E127" s="15" t="n"/>
      <c r="F127" s="15" t="n"/>
      <c r="G127" s="15" t="n"/>
      <c r="H127" s="17" t="n"/>
      <c r="I127" s="17" t="n"/>
      <c r="J127" s="15" t="n"/>
    </row>
    <row r="128">
      <c r="A128" s="16" t="n"/>
      <c r="B128" s="15" t="n"/>
      <c r="C128" s="15" t="n"/>
      <c r="D128" s="15" t="n"/>
      <c r="E128" s="15" t="n"/>
      <c r="F128" s="15" t="n"/>
      <c r="G128" s="15" t="n"/>
      <c r="H128" s="17" t="n"/>
      <c r="I128" s="17" t="n"/>
      <c r="J128" s="15" t="n"/>
    </row>
    <row r="129">
      <c r="A129" s="16" t="n"/>
      <c r="B129" s="15" t="n"/>
      <c r="C129" s="15" t="n"/>
      <c r="D129" s="15" t="n"/>
      <c r="E129" s="15" t="n"/>
      <c r="F129" s="15" t="n"/>
      <c r="G129" s="15" t="n"/>
      <c r="H129" s="17" t="n"/>
      <c r="I129" s="17" t="n"/>
      <c r="J129" s="15" t="n"/>
    </row>
    <row r="130">
      <c r="A130" s="16" t="n"/>
      <c r="B130" s="15" t="n"/>
      <c r="C130" s="15" t="n"/>
      <c r="D130" s="15" t="n"/>
      <c r="E130" s="15" t="n"/>
      <c r="F130" s="15" t="n"/>
      <c r="G130" s="15" t="n"/>
      <c r="H130" s="17" t="n"/>
      <c r="I130" s="17" t="n"/>
      <c r="J130" s="15" t="n"/>
    </row>
    <row r="131">
      <c r="A131" s="16" t="n"/>
      <c r="B131" s="15" t="n"/>
      <c r="C131" s="15" t="n"/>
      <c r="D131" s="15" t="n"/>
      <c r="E131" s="15" t="n"/>
      <c r="F131" s="15" t="n"/>
      <c r="G131" s="15" t="n"/>
      <c r="H131" s="17" t="n"/>
      <c r="I131" s="17" t="n"/>
      <c r="J131" s="15" t="n"/>
    </row>
    <row r="132">
      <c r="A132" s="16" t="n"/>
      <c r="B132" s="15" t="n"/>
      <c r="C132" s="15" t="n"/>
      <c r="D132" s="15" t="n"/>
      <c r="E132" s="15" t="n"/>
      <c r="F132" s="15" t="n"/>
      <c r="G132" s="15" t="n"/>
      <c r="H132" s="17" t="n"/>
      <c r="I132" s="17" t="n"/>
      <c r="J132" s="15" t="n"/>
    </row>
    <row r="133">
      <c r="A133" s="16" t="n"/>
      <c r="B133" s="15" t="n"/>
      <c r="C133" s="15" t="n"/>
      <c r="D133" s="15" t="n"/>
      <c r="E133" s="15" t="n"/>
      <c r="F133" s="15" t="n"/>
      <c r="G133" s="15" t="n"/>
      <c r="H133" s="17" t="n"/>
      <c r="I133" s="17" t="n"/>
      <c r="J133" s="15" t="n"/>
    </row>
    <row r="134">
      <c r="A134" s="16" t="n"/>
      <c r="B134" s="15" t="n"/>
      <c r="C134" s="15" t="n"/>
      <c r="D134" s="15" t="n"/>
      <c r="E134" s="15" t="n"/>
      <c r="F134" s="15" t="n"/>
      <c r="G134" s="15" t="n"/>
      <c r="H134" s="17" t="n"/>
      <c r="I134" s="17" t="n"/>
      <c r="J134" s="15" t="n"/>
    </row>
    <row r="135">
      <c r="A135" s="16" t="n"/>
      <c r="B135" s="15" t="n"/>
      <c r="C135" s="15" t="n"/>
      <c r="D135" s="15" t="n"/>
      <c r="E135" s="15" t="n"/>
      <c r="F135" s="15" t="n"/>
      <c r="G135" s="15" t="n"/>
      <c r="H135" s="17" t="n"/>
      <c r="I135" s="17" t="n"/>
      <c r="J135" s="15" t="n"/>
    </row>
    <row r="136">
      <c r="A136" s="16" t="n"/>
      <c r="B136" s="15" t="n"/>
      <c r="C136" s="15" t="n"/>
      <c r="D136" s="15" t="n"/>
      <c r="E136" s="15" t="n"/>
      <c r="F136" s="15" t="n"/>
      <c r="G136" s="15" t="n"/>
      <c r="H136" s="17" t="n"/>
      <c r="I136" s="17" t="n"/>
      <c r="J136" s="15" t="n"/>
    </row>
    <row r="137">
      <c r="A137" s="16" t="n"/>
      <c r="B137" s="15" t="n"/>
      <c r="C137" s="15" t="n"/>
      <c r="D137" s="15" t="n"/>
      <c r="E137" s="15" t="n"/>
      <c r="F137" s="15" t="n"/>
      <c r="G137" s="15" t="n"/>
      <c r="H137" s="17" t="n"/>
      <c r="I137" s="17" t="n"/>
      <c r="J137" s="15" t="n"/>
    </row>
    <row r="138">
      <c r="A138" s="16" t="n"/>
      <c r="B138" s="15" t="n"/>
      <c r="C138" s="15" t="n"/>
      <c r="D138" s="15" t="n"/>
      <c r="E138" s="15" t="n"/>
      <c r="F138" s="15" t="n"/>
      <c r="G138" s="15" t="n"/>
      <c r="H138" s="17" t="n"/>
      <c r="I138" s="17" t="n"/>
      <c r="J138" s="15" t="n"/>
    </row>
    <row r="139">
      <c r="A139" s="16" t="n"/>
      <c r="B139" s="15" t="n"/>
      <c r="C139" s="15" t="n"/>
      <c r="D139" s="15" t="n"/>
      <c r="E139" s="15" t="n"/>
      <c r="F139" s="15" t="n"/>
      <c r="G139" s="15" t="n"/>
      <c r="H139" s="17" t="n"/>
      <c r="I139" s="17" t="n"/>
      <c r="J139" s="15" t="n"/>
    </row>
    <row r="140">
      <c r="A140" s="16" t="n"/>
      <c r="B140" s="15" t="n"/>
      <c r="C140" s="15" t="n"/>
      <c r="D140" s="15" t="n"/>
      <c r="E140" s="15" t="n"/>
      <c r="F140" s="15" t="n"/>
      <c r="G140" s="15" t="n"/>
      <c r="H140" s="17" t="n"/>
      <c r="I140" s="17" t="n"/>
      <c r="J140" s="15" t="n"/>
    </row>
    <row r="141">
      <c r="A141" s="16" t="n"/>
      <c r="B141" s="15" t="n"/>
      <c r="C141" s="15" t="n"/>
      <c r="D141" s="15" t="n"/>
      <c r="E141" s="15" t="n"/>
      <c r="F141" s="15" t="n"/>
      <c r="G141" s="15" t="n"/>
      <c r="H141" s="17" t="n"/>
      <c r="I141" s="17" t="n"/>
      <c r="J141" s="15" t="n"/>
    </row>
    <row r="142">
      <c r="A142" s="16" t="n"/>
      <c r="B142" s="15" t="n"/>
      <c r="C142" s="15" t="n"/>
      <c r="D142" s="15" t="n"/>
      <c r="E142" s="15" t="n"/>
      <c r="F142" s="15" t="n"/>
      <c r="G142" s="15" t="n"/>
      <c r="H142" s="17" t="n"/>
      <c r="I142" s="17" t="n"/>
      <c r="J142" s="15" t="n"/>
    </row>
    <row r="143">
      <c r="A143" s="16" t="n"/>
      <c r="B143" s="15" t="n"/>
      <c r="C143" s="15" t="n"/>
      <c r="D143" s="15" t="n"/>
      <c r="E143" s="15" t="n"/>
      <c r="F143" s="15" t="n"/>
      <c r="G143" s="15" t="n"/>
      <c r="H143" s="17" t="n"/>
      <c r="I143" s="17" t="n"/>
      <c r="J143" s="15" t="n"/>
    </row>
    <row r="144">
      <c r="A144" s="16" t="n"/>
      <c r="B144" s="15" t="n"/>
      <c r="C144" s="15" t="n"/>
      <c r="D144" s="15" t="n"/>
      <c r="E144" s="15" t="n"/>
      <c r="F144" s="15" t="n"/>
      <c r="G144" s="15" t="n"/>
      <c r="H144" s="17" t="n"/>
      <c r="I144" s="17" t="n"/>
      <c r="J144" s="15" t="n"/>
    </row>
    <row r="145">
      <c r="A145" s="16" t="n"/>
      <c r="B145" s="15" t="n"/>
      <c r="C145" s="15" t="n"/>
      <c r="D145" s="15" t="n"/>
      <c r="E145" s="15" t="n"/>
      <c r="F145" s="15" t="n"/>
      <c r="G145" s="15" t="n"/>
      <c r="H145" s="17" t="n"/>
      <c r="I145" s="17" t="n"/>
      <c r="J145" s="15" t="n"/>
    </row>
    <row r="146">
      <c r="A146" s="16" t="n"/>
      <c r="B146" s="15" t="n"/>
      <c r="C146" s="15" t="n"/>
      <c r="D146" s="15" t="n"/>
      <c r="E146" s="15" t="n"/>
      <c r="F146" s="15" t="n"/>
      <c r="G146" s="15" t="n"/>
      <c r="H146" s="17" t="n"/>
      <c r="I146" s="17" t="n"/>
      <c r="J146" s="15" t="n"/>
    </row>
    <row r="147">
      <c r="A147" s="16" t="n"/>
      <c r="B147" s="15" t="n"/>
      <c r="C147" s="15" t="n"/>
      <c r="D147" s="15" t="n"/>
      <c r="E147" s="15" t="n"/>
      <c r="F147" s="15" t="n"/>
      <c r="G147" s="15" t="n"/>
      <c r="H147" s="17" t="n"/>
      <c r="I147" s="17" t="n"/>
      <c r="J147" s="15" t="n"/>
    </row>
    <row r="148">
      <c r="A148" s="16" t="n"/>
      <c r="B148" s="15" t="n"/>
      <c r="C148" s="15" t="n"/>
      <c r="D148" s="15" t="n"/>
      <c r="E148" s="15" t="n"/>
      <c r="F148" s="15" t="n"/>
      <c r="G148" s="15" t="n"/>
      <c r="H148" s="17" t="n"/>
      <c r="I148" s="17" t="n"/>
      <c r="J148" s="15" t="n"/>
    </row>
    <row r="149">
      <c r="A149" s="16" t="n"/>
      <c r="B149" s="15" t="n"/>
      <c r="C149" s="15" t="n"/>
      <c r="D149" s="15" t="n"/>
      <c r="E149" s="15" t="n"/>
      <c r="F149" s="15" t="n"/>
      <c r="G149" s="15" t="n"/>
      <c r="H149" s="17" t="n"/>
      <c r="I149" s="17" t="n"/>
      <c r="J149" s="15" t="n"/>
    </row>
    <row r="150">
      <c r="A150" s="16" t="n"/>
      <c r="B150" s="15" t="n"/>
      <c r="C150" s="15" t="n"/>
      <c r="D150" s="15" t="n"/>
      <c r="E150" s="15" t="n"/>
      <c r="F150" s="15" t="n"/>
      <c r="G150" s="15" t="n"/>
      <c r="H150" s="17" t="n"/>
      <c r="I150" s="17" t="n"/>
      <c r="J150" s="15" t="n"/>
    </row>
    <row r="151">
      <c r="A151" s="16" t="n"/>
      <c r="B151" s="15" t="n"/>
      <c r="C151" s="15" t="n"/>
      <c r="D151" s="15" t="n"/>
      <c r="E151" s="15" t="n"/>
      <c r="F151" s="15" t="n"/>
      <c r="G151" s="15" t="n"/>
      <c r="H151" s="17" t="n"/>
      <c r="I151" s="17" t="n"/>
      <c r="J151" s="15" t="n"/>
    </row>
    <row r="152">
      <c r="A152" s="16" t="n"/>
      <c r="B152" s="15" t="n"/>
      <c r="C152" s="15" t="n"/>
      <c r="D152" s="15" t="n"/>
      <c r="E152" s="15" t="n"/>
      <c r="F152" s="15" t="n"/>
      <c r="G152" s="15" t="n"/>
      <c r="H152" s="17" t="n"/>
      <c r="I152" s="17" t="n"/>
      <c r="J152" s="15" t="n"/>
    </row>
    <row r="153">
      <c r="A153" s="16" t="n"/>
      <c r="B153" s="15" t="n"/>
      <c r="C153" s="15" t="n"/>
      <c r="D153" s="15" t="n"/>
      <c r="E153" s="15" t="n"/>
      <c r="F153" s="15" t="n"/>
      <c r="G153" s="15" t="n"/>
      <c r="H153" s="17" t="n"/>
      <c r="I153" s="17" t="n"/>
      <c r="J153" s="15" t="n"/>
    </row>
    <row r="154">
      <c r="A154" s="16" t="n"/>
      <c r="B154" s="15" t="n"/>
      <c r="C154" s="15" t="n"/>
      <c r="D154" s="15" t="n"/>
      <c r="E154" s="15" t="n"/>
      <c r="F154" s="15" t="n"/>
      <c r="G154" s="15" t="n"/>
      <c r="H154" s="17" t="n"/>
      <c r="I154" s="17" t="n"/>
      <c r="J154" s="15" t="n"/>
    </row>
    <row r="155">
      <c r="A155" s="16" t="n"/>
      <c r="B155" s="15" t="n"/>
      <c r="C155" s="15" t="n"/>
      <c r="D155" s="15" t="n"/>
      <c r="E155" s="15" t="n"/>
      <c r="F155" s="15" t="n"/>
      <c r="G155" s="15" t="n"/>
      <c r="H155" s="17" t="n"/>
      <c r="I155" s="17" t="n"/>
      <c r="J155" s="15" t="n"/>
    </row>
    <row r="156">
      <c r="A156" s="16" t="n"/>
      <c r="B156" s="15" t="n"/>
      <c r="C156" s="15" t="n"/>
      <c r="D156" s="15" t="n"/>
      <c r="E156" s="15" t="n"/>
      <c r="F156" s="15" t="n"/>
      <c r="G156" s="15" t="n"/>
      <c r="H156" s="17" t="n"/>
      <c r="I156" s="17" t="n"/>
      <c r="J156" s="15" t="n"/>
    </row>
    <row r="157">
      <c r="A157" s="16" t="n"/>
      <c r="B157" s="15" t="n"/>
      <c r="C157" s="15" t="n"/>
      <c r="D157" s="15" t="n"/>
      <c r="E157" s="15" t="n"/>
      <c r="F157" s="15" t="n"/>
      <c r="G157" s="15" t="n"/>
      <c r="H157" s="17" t="n"/>
      <c r="I157" s="17" t="n"/>
      <c r="J157" s="15" t="n"/>
    </row>
    <row r="158">
      <c r="A158" s="16" t="n"/>
      <c r="B158" s="15" t="n"/>
      <c r="C158" s="15" t="n"/>
      <c r="D158" s="15" t="n"/>
      <c r="E158" s="15" t="n"/>
      <c r="F158" s="15" t="n"/>
      <c r="G158" s="15" t="n"/>
      <c r="H158" s="17" t="n"/>
      <c r="I158" s="17" t="n"/>
      <c r="J158" s="15" t="n"/>
    </row>
    <row r="159">
      <c r="A159" s="16" t="n"/>
      <c r="B159" s="15" t="n"/>
      <c r="C159" s="15" t="n"/>
      <c r="D159" s="15" t="n"/>
      <c r="E159" s="15" t="n"/>
      <c r="F159" s="15" t="n"/>
      <c r="G159" s="15" t="n"/>
      <c r="H159" s="17" t="n"/>
      <c r="I159" s="17" t="n"/>
      <c r="J159" s="15" t="n"/>
    </row>
    <row r="160">
      <c r="A160" s="16" t="n"/>
      <c r="B160" s="15" t="n"/>
      <c r="C160" s="15" t="n"/>
      <c r="D160" s="15" t="n"/>
      <c r="E160" s="15" t="n"/>
      <c r="F160" s="15" t="n"/>
      <c r="G160" s="15" t="n"/>
      <c r="H160" s="17" t="n"/>
      <c r="I160" s="17" t="n"/>
      <c r="J160" s="15" t="n"/>
    </row>
    <row r="161">
      <c r="A161" s="16" t="n"/>
      <c r="B161" s="15" t="n"/>
      <c r="C161" s="15" t="n"/>
      <c r="D161" s="15" t="n"/>
      <c r="E161" s="15" t="n"/>
      <c r="F161" s="15" t="n"/>
      <c r="G161" s="15" t="n"/>
      <c r="H161" s="17" t="n"/>
      <c r="I161" s="17" t="n"/>
      <c r="J161" s="15" t="n"/>
    </row>
    <row r="162">
      <c r="A162" s="16" t="n"/>
      <c r="B162" s="15" t="n"/>
      <c r="C162" s="15" t="n"/>
      <c r="D162" s="15" t="n"/>
      <c r="E162" s="15" t="n"/>
      <c r="F162" s="15" t="n"/>
      <c r="G162" s="15" t="n"/>
      <c r="H162" s="17" t="n"/>
      <c r="I162" s="17" t="n"/>
      <c r="J162" s="15" t="n"/>
    </row>
    <row r="163">
      <c r="A163" s="16" t="n"/>
      <c r="B163" s="15" t="n"/>
      <c r="C163" s="15" t="n"/>
      <c r="D163" s="15" t="n"/>
      <c r="E163" s="15" t="n"/>
      <c r="F163" s="15" t="n"/>
      <c r="G163" s="15" t="n"/>
      <c r="H163" s="17" t="n"/>
      <c r="I163" s="17" t="n"/>
      <c r="J163" s="15" t="n"/>
    </row>
    <row r="164">
      <c r="A164" s="16" t="n"/>
      <c r="B164" s="15" t="n"/>
      <c r="C164" s="15" t="n"/>
      <c r="D164" s="15" t="n"/>
      <c r="E164" s="15" t="n"/>
      <c r="F164" s="15" t="n"/>
      <c r="G164" s="15" t="n"/>
      <c r="H164" s="17" t="n"/>
      <c r="I164" s="17" t="n"/>
      <c r="J164" s="15" t="n"/>
    </row>
    <row r="165">
      <c r="A165" s="16" t="n"/>
      <c r="B165" s="15" t="n"/>
      <c r="C165" s="15" t="n"/>
      <c r="D165" s="15" t="n"/>
      <c r="E165" s="15" t="n"/>
      <c r="F165" s="15" t="n"/>
      <c r="G165" s="15" t="n"/>
      <c r="H165" s="17" t="n"/>
      <c r="I165" s="17" t="n"/>
      <c r="J165" s="15" t="n"/>
    </row>
    <row r="166">
      <c r="A166" s="16" t="n"/>
      <c r="B166" s="15" t="n"/>
      <c r="C166" s="15" t="n"/>
      <c r="D166" s="15" t="n"/>
      <c r="E166" s="15" t="n"/>
      <c r="F166" s="15" t="n"/>
      <c r="G166" s="15" t="n"/>
      <c r="H166" s="17" t="n"/>
      <c r="I166" s="17" t="n"/>
      <c r="J166" s="15" t="n"/>
    </row>
    <row r="167">
      <c r="A167" s="16" t="n"/>
      <c r="B167" s="15" t="n"/>
      <c r="C167" s="15" t="n"/>
      <c r="D167" s="15" t="n"/>
      <c r="E167" s="15" t="n"/>
      <c r="F167" s="15" t="n"/>
      <c r="G167" s="15" t="n"/>
      <c r="H167" s="17" t="n"/>
      <c r="I167" s="17" t="n"/>
      <c r="J167" s="15" t="n"/>
    </row>
    <row r="168">
      <c r="A168" s="16" t="n"/>
      <c r="B168" s="15" t="n"/>
      <c r="C168" s="15" t="n"/>
      <c r="D168" s="15" t="n"/>
      <c r="E168" s="15" t="n"/>
      <c r="F168" s="15" t="n"/>
      <c r="G168" s="15" t="n"/>
      <c r="H168" s="17" t="n"/>
      <c r="I168" s="17" t="n"/>
      <c r="J168" s="15" t="n"/>
    </row>
    <row r="169">
      <c r="A169" s="16" t="n"/>
      <c r="B169" s="15" t="n"/>
      <c r="C169" s="15" t="n"/>
      <c r="D169" s="15" t="n"/>
      <c r="E169" s="15" t="n"/>
      <c r="F169" s="15" t="n"/>
      <c r="G169" s="15" t="n"/>
      <c r="H169" s="17" t="n"/>
      <c r="I169" s="17" t="n"/>
      <c r="J169" s="15" t="n"/>
    </row>
    <row r="170">
      <c r="A170" s="16" t="n"/>
      <c r="B170" s="15" t="n"/>
      <c r="C170" s="15" t="n"/>
      <c r="D170" s="15" t="n"/>
      <c r="E170" s="15" t="n"/>
      <c r="F170" s="15" t="n"/>
      <c r="G170" s="15" t="n"/>
      <c r="H170" s="17" t="n"/>
      <c r="I170" s="17" t="n"/>
      <c r="J170" s="15" t="n"/>
    </row>
    <row r="171">
      <c r="A171" s="16" t="n"/>
      <c r="B171" s="15" t="n"/>
      <c r="C171" s="15" t="n"/>
      <c r="D171" s="15" t="n"/>
      <c r="E171" s="15" t="n"/>
      <c r="F171" s="15" t="n"/>
      <c r="G171" s="15" t="n"/>
      <c r="H171" s="17" t="n"/>
      <c r="I171" s="17" t="n"/>
      <c r="J171" s="15" t="n"/>
    </row>
    <row r="172">
      <c r="A172" s="16" t="n"/>
      <c r="B172" s="15" t="n"/>
      <c r="C172" s="15" t="n"/>
      <c r="D172" s="15" t="n"/>
      <c r="E172" s="15" t="n"/>
      <c r="F172" s="15" t="n"/>
      <c r="G172" s="15" t="n"/>
      <c r="H172" s="17" t="n"/>
      <c r="I172" s="17" t="n"/>
      <c r="J172" s="15" t="n"/>
    </row>
    <row r="173">
      <c r="A173" s="16" t="n"/>
      <c r="B173" s="15" t="n"/>
      <c r="C173" s="15" t="n"/>
      <c r="D173" s="15" t="n"/>
      <c r="E173" s="15" t="n"/>
      <c r="F173" s="15" t="n"/>
      <c r="G173" s="15" t="n"/>
      <c r="H173" s="17" t="n"/>
      <c r="I173" s="17" t="n"/>
      <c r="J173" s="15" t="n"/>
    </row>
    <row r="174">
      <c r="A174" s="16" t="n"/>
      <c r="B174" s="15" t="n"/>
      <c r="C174" s="15" t="n"/>
      <c r="D174" s="15" t="n"/>
      <c r="E174" s="15" t="n"/>
      <c r="F174" s="15" t="n"/>
      <c r="G174" s="15" t="n"/>
      <c r="H174" s="17" t="n"/>
      <c r="I174" s="17" t="n"/>
      <c r="J174" s="15" t="n"/>
    </row>
    <row r="175">
      <c r="A175" s="16" t="n"/>
      <c r="B175" s="15" t="n"/>
      <c r="C175" s="15" t="n"/>
      <c r="D175" s="15" t="n"/>
      <c r="E175" s="15" t="n"/>
      <c r="F175" s="15" t="n"/>
      <c r="G175" s="15" t="n"/>
      <c r="H175" s="17" t="n"/>
      <c r="I175" s="17" t="n"/>
      <c r="J175" s="15" t="n"/>
    </row>
    <row r="176">
      <c r="A176" s="16" t="n"/>
      <c r="B176" s="15" t="n"/>
      <c r="C176" s="15" t="n"/>
      <c r="D176" s="15" t="n"/>
      <c r="E176" s="15" t="n"/>
      <c r="F176" s="15" t="n"/>
      <c r="G176" s="15" t="n"/>
      <c r="H176" s="17" t="n"/>
      <c r="I176" s="17" t="n"/>
      <c r="J176" s="15" t="n"/>
    </row>
    <row r="177">
      <c r="A177" s="16" t="n"/>
      <c r="B177" s="15" t="n"/>
      <c r="C177" s="15" t="n"/>
      <c r="D177" s="15" t="n"/>
      <c r="E177" s="15" t="n"/>
      <c r="F177" s="15" t="n"/>
      <c r="G177" s="15" t="n"/>
      <c r="H177" s="17" t="n"/>
      <c r="I177" s="17" t="n"/>
      <c r="J177" s="15" t="n"/>
    </row>
    <row r="178">
      <c r="A178" s="16" t="n"/>
      <c r="B178" s="15" t="n"/>
      <c r="C178" s="15" t="n"/>
      <c r="D178" s="15" t="n"/>
      <c r="E178" s="15" t="n"/>
      <c r="F178" s="15" t="n"/>
      <c r="G178" s="15" t="n"/>
      <c r="H178" s="17" t="n"/>
      <c r="I178" s="17" t="n"/>
      <c r="J178" s="15" t="n"/>
    </row>
    <row r="179">
      <c r="A179" s="16" t="n"/>
      <c r="B179" s="15" t="n"/>
      <c r="C179" s="15" t="n"/>
      <c r="D179" s="15" t="n"/>
      <c r="E179" s="15" t="n"/>
      <c r="F179" s="15" t="n"/>
      <c r="G179" s="15" t="n"/>
      <c r="H179" s="17" t="n"/>
      <c r="I179" s="17" t="n"/>
      <c r="J179" s="15" t="n"/>
    </row>
    <row r="180">
      <c r="A180" s="16" t="n"/>
      <c r="B180" s="15" t="n"/>
      <c r="C180" s="15" t="n"/>
      <c r="D180" s="15" t="n"/>
      <c r="E180" s="15" t="n"/>
      <c r="F180" s="15" t="n"/>
      <c r="G180" s="15" t="n"/>
      <c r="H180" s="17" t="n"/>
      <c r="I180" s="17" t="n"/>
      <c r="J180" s="15" t="n"/>
    </row>
    <row r="181">
      <c r="A181" s="16" t="n"/>
      <c r="B181" s="15" t="n"/>
      <c r="C181" s="15" t="n"/>
      <c r="D181" s="15" t="n"/>
      <c r="E181" s="15" t="n"/>
      <c r="F181" s="15" t="n"/>
      <c r="G181" s="15" t="n"/>
      <c r="H181" s="17" t="n"/>
      <c r="I181" s="17" t="n"/>
      <c r="J181" s="15" t="n"/>
    </row>
    <row r="182">
      <c r="A182" s="16" t="n"/>
      <c r="B182" s="15" t="n"/>
      <c r="C182" s="15" t="n"/>
      <c r="D182" s="15" t="n"/>
      <c r="E182" s="15" t="n"/>
      <c r="F182" s="15" t="n"/>
      <c r="G182" s="15" t="n"/>
      <c r="H182" s="17" t="n"/>
      <c r="I182" s="17" t="n"/>
      <c r="J182" s="15" t="n"/>
    </row>
    <row r="183">
      <c r="A183" s="16" t="n"/>
      <c r="B183" s="15" t="n"/>
      <c r="C183" s="15" t="n"/>
      <c r="D183" s="15" t="n"/>
      <c r="E183" s="15" t="n"/>
      <c r="F183" s="15" t="n"/>
      <c r="G183" s="15" t="n"/>
      <c r="H183" s="17" t="n"/>
      <c r="I183" s="17" t="n"/>
      <c r="J183" s="15" t="n"/>
    </row>
    <row r="184">
      <c r="A184" s="16" t="n"/>
      <c r="B184" s="15" t="n"/>
      <c r="C184" s="15" t="n"/>
      <c r="D184" s="15" t="n"/>
      <c r="E184" s="15" t="n"/>
      <c r="F184" s="15" t="n"/>
      <c r="G184" s="15" t="n"/>
      <c r="H184" s="17" t="n"/>
      <c r="I184" s="17" t="n"/>
      <c r="J184" s="15" t="n"/>
    </row>
    <row r="185">
      <c r="A185" s="16" t="n"/>
      <c r="B185" s="15" t="n"/>
      <c r="C185" s="15" t="n"/>
      <c r="D185" s="15" t="n"/>
      <c r="E185" s="15" t="n"/>
      <c r="F185" s="15" t="n"/>
      <c r="G185" s="15" t="n"/>
      <c r="H185" s="17" t="n"/>
      <c r="I185" s="17" t="n"/>
      <c r="J185" s="15" t="n"/>
    </row>
    <row r="186">
      <c r="A186" s="16" t="n"/>
      <c r="B186" s="15" t="n"/>
      <c r="C186" s="15" t="n"/>
      <c r="D186" s="15" t="n"/>
      <c r="E186" s="15" t="n"/>
      <c r="F186" s="15" t="n"/>
      <c r="G186" s="15" t="n"/>
      <c r="H186" s="17" t="n"/>
      <c r="I186" s="17" t="n"/>
      <c r="J186" s="15" t="n"/>
    </row>
    <row r="187">
      <c r="A187" s="16" t="n"/>
      <c r="B187" s="15" t="n"/>
      <c r="C187" s="15" t="n"/>
      <c r="D187" s="15" t="n"/>
      <c r="E187" s="15" t="n"/>
      <c r="F187" s="15" t="n"/>
      <c r="G187" s="15" t="n"/>
      <c r="H187" s="17" t="n"/>
      <c r="I187" s="17" t="n"/>
      <c r="J187" s="15" t="n"/>
    </row>
    <row r="188">
      <c r="A188" s="16" t="n"/>
      <c r="B188" s="15" t="n"/>
      <c r="C188" s="15" t="n"/>
      <c r="D188" s="15" t="n"/>
      <c r="E188" s="15" t="n"/>
      <c r="F188" s="15" t="n"/>
      <c r="G188" s="15" t="n"/>
      <c r="H188" s="17" t="n"/>
      <c r="I188" s="17" t="n"/>
      <c r="J188" s="15" t="n"/>
    </row>
    <row r="189">
      <c r="A189" s="16" t="n"/>
      <c r="B189" s="15" t="n"/>
      <c r="C189" s="15" t="n"/>
      <c r="D189" s="15" t="n"/>
      <c r="E189" s="15" t="n"/>
      <c r="F189" s="15" t="n"/>
      <c r="G189" s="15" t="n"/>
      <c r="H189" s="17" t="n"/>
      <c r="I189" s="17" t="n"/>
      <c r="J189" s="15" t="n"/>
    </row>
    <row r="190">
      <c r="A190" s="16" t="n"/>
      <c r="B190" s="15" t="n"/>
      <c r="C190" s="15" t="n"/>
      <c r="D190" s="15" t="n"/>
      <c r="E190" s="15" t="n"/>
      <c r="F190" s="15" t="n"/>
      <c r="G190" s="15" t="n"/>
      <c r="H190" s="17" t="n"/>
      <c r="I190" s="17" t="n"/>
      <c r="J190" s="15" t="n"/>
    </row>
    <row r="191">
      <c r="A191" s="16" t="n"/>
      <c r="B191" s="15" t="n"/>
      <c r="C191" s="15" t="n"/>
      <c r="D191" s="15" t="n"/>
      <c r="E191" s="15" t="n"/>
      <c r="F191" s="15" t="n"/>
      <c r="G191" s="15" t="n"/>
      <c r="H191" s="17" t="n"/>
      <c r="I191" s="17" t="n"/>
      <c r="J191" s="15" t="n"/>
    </row>
    <row r="192">
      <c r="A192" s="16" t="n"/>
      <c r="B192" s="15" t="n"/>
      <c r="C192" s="15" t="n"/>
      <c r="D192" s="15" t="n"/>
      <c r="E192" s="15" t="n"/>
      <c r="F192" s="15" t="n"/>
      <c r="G192" s="15" t="n"/>
      <c r="H192" s="17" t="n"/>
      <c r="I192" s="17" t="n"/>
      <c r="J192" s="15" t="n"/>
    </row>
    <row r="193">
      <c r="A193" s="16" t="n"/>
      <c r="B193" s="15" t="n"/>
      <c r="C193" s="15" t="n"/>
      <c r="D193" s="15" t="n"/>
      <c r="E193" s="15" t="n"/>
      <c r="F193" s="15" t="n"/>
      <c r="G193" s="15" t="n"/>
      <c r="H193" s="17" t="n"/>
      <c r="I193" s="17" t="n"/>
      <c r="J193" s="15" t="n"/>
    </row>
    <row r="194">
      <c r="A194" s="16" t="n"/>
      <c r="B194" s="15" t="n"/>
      <c r="C194" s="15" t="n"/>
      <c r="D194" s="15" t="n"/>
      <c r="E194" s="15" t="n"/>
      <c r="F194" s="15" t="n"/>
      <c r="G194" s="15" t="n"/>
      <c r="H194" s="17" t="n"/>
      <c r="I194" s="17" t="n"/>
      <c r="J194" s="15" t="n"/>
    </row>
    <row r="195">
      <c r="A195" s="16" t="n"/>
      <c r="B195" s="15" t="n"/>
      <c r="C195" s="15" t="n"/>
      <c r="D195" s="15" t="n"/>
      <c r="E195" s="15" t="n"/>
      <c r="F195" s="15" t="n"/>
      <c r="G195" s="15" t="n"/>
      <c r="H195" s="17" t="n"/>
      <c r="I195" s="17" t="n"/>
      <c r="J195" s="15" t="n"/>
    </row>
    <row r="196">
      <c r="A196" s="16" t="n"/>
      <c r="B196" s="15" t="n"/>
      <c r="C196" s="15" t="n"/>
      <c r="D196" s="15" t="n"/>
      <c r="E196" s="15" t="n"/>
      <c r="F196" s="15" t="n"/>
      <c r="G196" s="15" t="n"/>
      <c r="H196" s="17" t="n"/>
      <c r="I196" s="17" t="n"/>
      <c r="J196" s="15" t="n"/>
    </row>
    <row r="197">
      <c r="A197" s="16" t="n"/>
      <c r="B197" s="15" t="n"/>
      <c r="C197" s="15" t="n"/>
      <c r="D197" s="15" t="n"/>
      <c r="E197" s="15" t="n"/>
      <c r="F197" s="15" t="n"/>
      <c r="G197" s="15" t="n"/>
      <c r="H197" s="17" t="n"/>
      <c r="I197" s="17" t="n"/>
      <c r="J197" s="15" t="n"/>
    </row>
    <row r="198">
      <c r="A198" s="16" t="n"/>
      <c r="B198" s="15" t="n"/>
      <c r="C198" s="15" t="n"/>
      <c r="D198" s="15" t="n"/>
      <c r="E198" s="15" t="n"/>
      <c r="F198" s="15" t="n"/>
      <c r="G198" s="15" t="n"/>
      <c r="H198" s="17" t="n"/>
      <c r="I198" s="17" t="n"/>
      <c r="J198" s="15" t="n"/>
    </row>
    <row r="199">
      <c r="A199" s="16" t="n"/>
      <c r="B199" s="15" t="n"/>
      <c r="C199" s="15" t="n"/>
      <c r="D199" s="15" t="n"/>
      <c r="E199" s="15" t="n"/>
      <c r="F199" s="15" t="n"/>
      <c r="G199" s="15" t="n"/>
      <c r="H199" s="17" t="n"/>
      <c r="I199" s="17" t="n"/>
      <c r="J199" s="15" t="n"/>
    </row>
    <row r="200">
      <c r="A200" s="16" t="n"/>
      <c r="B200" s="15" t="n"/>
      <c r="C200" s="15" t="n"/>
      <c r="D200" s="15" t="n"/>
      <c r="E200" s="15" t="n"/>
      <c r="F200" s="15" t="n"/>
      <c r="G200" s="15" t="n"/>
      <c r="H200" s="17" t="n"/>
      <c r="I200" s="17" t="n"/>
      <c r="J200" s="15" t="n"/>
    </row>
  </sheetData>
  <mergeCells count="1">
    <mergeCell ref="A2:J2"/>
  </mergeCells>
  <dataValidations count="5">
    <dataValidation sqref="B4:B200" showDropDown="0" showInputMessage="0" showErrorMessage="1" allowBlank="1" errorTitle="Pick from the list" error="Pick one of the answers in the list." type="list">
      <formula1>='UAT · Lists'!$E$2:$E$4</formula1>
    </dataValidation>
    <dataValidation sqref="C4:C200" showDropDown="0" showInputMessage="0" showErrorMessage="1" allowBlank="1" errorTitle="Pick from the list" error="Pick one of the answers in the list." type="list">
      <formula1>='UAT · Lists'!$D$2:$D$5</formula1>
    </dataValidation>
    <dataValidation sqref="D4:D200" showDropDown="0" showInputMessage="0" showErrorMessage="1" allowBlank="1" errorTitle="Pick from the list" error="Pick one of the answers in the list." type="list">
      <formula1>='UAT · Lists'!$F$2:$F$25</formula1>
    </dataValidation>
    <dataValidation sqref="I4:I200" showDropDown="0" showInputMessage="0" showErrorMessage="1" allowBlank="1" errorTitle="Pick from the list" error="Pick one of the answers in the list." type="list">
      <formula1>='UAT · Lists'!$B$2:$B$6</formula1>
    </dataValidation>
    <dataValidation sqref="J4:J200" showDropDown="0" showInputMessage="0" showErrorMessage="1" allowBlank="1" errorTitle="Pick from the list" error="Pick one of the answers in the list." type="list">
      <formula1>='UAT · Lists'!$C$2:$C$3</formula1>
    </dataValidation>
  </dataValidations>
  <pageMargins left="0.75" right="0.75" top="1" bottom="1" header="0.5" footer="0.5"/>
</worksheet>
</file>

<file path=xl/worksheets/sheet6.xml><?xml version="1.0" encoding="utf-8"?>
<worksheet xmlns="http://schemas.openxmlformats.org/spreadsheetml/2006/main">
  <sheetPr>
    <tabColor rgb="003E9B63"/>
    <outlinePr summaryBelow="1" summaryRight="1"/>
    <pageSetUpPr/>
  </sheetPr>
  <dimension ref="A1:T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s>
  <sheetData>
    <row r="1">
      <c r="A1" s="6" t="inlineStr">
        <is>
          <t>Where we are</t>
        </is>
      </c>
    </row>
    <row r="2">
      <c r="A2" s="19" t="inlineStr">
        <is>
          <t>Counts fill in by themselves from each tester’s tab. “Open” = ❌ or 🔍 not yet marked Fixed or Won’t change.</t>
        </is>
      </c>
    </row>
    <row r="4">
      <c r="A4" s="20" t="inlineStr">
        <is>
          <t>By chapter</t>
        </is>
      </c>
    </row>
    <row r="5">
      <c r="C5" s="21" t="inlineStr">
        <is>
          <t>Dane</t>
        </is>
      </c>
      <c r="I5" s="21" t="inlineStr">
        <is>
          <t>Oliva</t>
        </is>
      </c>
      <c r="O5" s="21" t="inlineStr">
        <is>
          <t>Swati</t>
        </is>
      </c>
    </row>
    <row r="6">
      <c r="A6" s="22" t="inlineStr">
        <is>
          <t>Chapter</t>
        </is>
      </c>
      <c r="B6" s="22" t="inlineStr">
        <is>
          <t>Steps</t>
        </is>
      </c>
      <c r="C6" s="23" t="inlineStr">
        <is>
          <t>Done</t>
        </is>
      </c>
      <c r="D6" s="23" t="inlineStr">
        <is>
          <t>✅</t>
        </is>
      </c>
      <c r="E6" s="23" t="inlineStr">
        <is>
          <t>🟡</t>
        </is>
      </c>
      <c r="F6" s="23" t="inlineStr">
        <is>
          <t>❌</t>
        </is>
      </c>
      <c r="G6" s="23" t="inlineStr">
        <is>
          <t>🔍</t>
        </is>
      </c>
      <c r="H6" s="23" t="inlineStr">
        <is>
          <t>Open</t>
        </is>
      </c>
      <c r="I6" s="23" t="inlineStr">
        <is>
          <t>Done</t>
        </is>
      </c>
      <c r="J6" s="23" t="inlineStr">
        <is>
          <t>✅</t>
        </is>
      </c>
      <c r="K6" s="23" t="inlineStr">
        <is>
          <t>🟡</t>
        </is>
      </c>
      <c r="L6" s="23" t="inlineStr">
        <is>
          <t>❌</t>
        </is>
      </c>
      <c r="M6" s="23" t="inlineStr">
        <is>
          <t>🔍</t>
        </is>
      </c>
      <c r="N6" s="23" t="inlineStr">
        <is>
          <t>Open</t>
        </is>
      </c>
      <c r="O6" s="23" t="inlineStr">
        <is>
          <t>Done</t>
        </is>
      </c>
      <c r="P6" s="23" t="inlineStr">
        <is>
          <t>✅</t>
        </is>
      </c>
      <c r="Q6" s="23" t="inlineStr">
        <is>
          <t>🟡</t>
        </is>
      </c>
      <c r="R6" s="23" t="inlineStr">
        <is>
          <t>❌</t>
        </is>
      </c>
      <c r="S6" s="23" t="inlineStr">
        <is>
          <t>🔍</t>
        </is>
      </c>
      <c r="T6" s="23" t="inlineStr">
        <is>
          <t>Open</t>
        </is>
      </c>
    </row>
    <row r="7">
      <c r="A7" s="24" t="inlineStr">
        <is>
          <t>1 · First login</t>
        </is>
      </c>
      <c r="B7" s="24">
        <f>COUNTIF('UAT · Dane'!$A:$A,1)</f>
        <v/>
      </c>
      <c r="C7" s="25">
        <f>COUNTIFS('UAT · Dane'!$A:$A,1,'UAT · Dane'!$J:$J,"&lt;&gt;")</f>
        <v/>
      </c>
      <c r="D7" s="25">
        <f>COUNTIFS('UAT · Dane'!$A:$A,1,'UAT · Dane'!$J:$J,"✅ Works")</f>
        <v/>
      </c>
      <c r="E7" s="25">
        <f>COUNTIFS('UAT · Dane'!$A:$A,1,'UAT · Dane'!$J:$J,"🟡 Works, but…")</f>
        <v/>
      </c>
      <c r="F7" s="25">
        <f>COUNTIFS('UAT · Dane'!$A:$A,1,'UAT · Dane'!$J:$J,"❌ Doesn’t work")</f>
        <v/>
      </c>
      <c r="G7" s="25">
        <f>COUNTIFS('UAT · Dane'!$A:$A,1,'UAT · Dane'!$J:$J,"🔍 Couldn’t find it")</f>
        <v/>
      </c>
      <c r="H7" s="25">
        <f>COUNTIFS('UAT · Dane'!$A:$A,1,'UAT · Dane'!$J:$J,"❌ Doesn’t work",'UAT · Dane'!$O:$O,"&lt;&gt;Fixed – please re-test",'UAT · Dane'!$O:$O,"&lt;&gt;Won’t change")+COUNTIFS('UAT · Dane'!$A:$A,1,'UAT · Dane'!$J:$J,"🔍 Couldn’t find it",'UAT · Dane'!$O:$O,"&lt;&gt;Fixed – please re-test",'UAT · Dane'!$O:$O,"&lt;&gt;Won’t change")</f>
        <v/>
      </c>
      <c r="I7" s="25">
        <f>COUNTIFS('UAT · Oliva'!$A:$A,1,'UAT · Oliva'!$J:$J,"&lt;&gt;")</f>
        <v/>
      </c>
      <c r="J7" s="25">
        <f>COUNTIFS('UAT · Oliva'!$A:$A,1,'UAT · Oliva'!$J:$J,"✅ Works")</f>
        <v/>
      </c>
      <c r="K7" s="25">
        <f>COUNTIFS('UAT · Oliva'!$A:$A,1,'UAT · Oliva'!$J:$J,"🟡 Works, but…")</f>
        <v/>
      </c>
      <c r="L7" s="25">
        <f>COUNTIFS('UAT · Oliva'!$A:$A,1,'UAT · Oliva'!$J:$J,"❌ Doesn’t work")</f>
        <v/>
      </c>
      <c r="M7" s="25">
        <f>COUNTIFS('UAT · Oliva'!$A:$A,1,'UAT · Oliva'!$J:$J,"🔍 Couldn’t find it")</f>
        <v/>
      </c>
      <c r="N7" s="25">
        <f>COUNTIFS('UAT · Oliva'!$A:$A,1,'UAT · Oliva'!$J:$J,"❌ Doesn’t work",'UAT · Oliva'!$O:$O,"&lt;&gt;Fixed – please re-test",'UAT · Oliva'!$O:$O,"&lt;&gt;Won’t change")+COUNTIFS('UAT · Oliva'!$A:$A,1,'UAT · Oliva'!$J:$J,"🔍 Couldn’t find it",'UAT · Oliva'!$O:$O,"&lt;&gt;Fixed – please re-test",'UAT · Oliva'!$O:$O,"&lt;&gt;Won’t change")</f>
        <v/>
      </c>
      <c r="O7" s="25">
        <f>COUNTIFS('UAT · Swati'!$A:$A,1,'UAT · Swati'!$J:$J,"&lt;&gt;")</f>
        <v/>
      </c>
      <c r="P7" s="25">
        <f>COUNTIFS('UAT · Swati'!$A:$A,1,'UAT · Swati'!$J:$J,"✅ Works")</f>
        <v/>
      </c>
      <c r="Q7" s="25">
        <f>COUNTIFS('UAT · Swati'!$A:$A,1,'UAT · Swati'!$J:$J,"🟡 Works, but…")</f>
        <v/>
      </c>
      <c r="R7" s="25">
        <f>COUNTIFS('UAT · Swati'!$A:$A,1,'UAT · Swati'!$J:$J,"❌ Doesn’t work")</f>
        <v/>
      </c>
      <c r="S7" s="25">
        <f>COUNTIFS('UAT · Swati'!$A:$A,1,'UAT · Swati'!$J:$J,"🔍 Couldn’t find it")</f>
        <v/>
      </c>
      <c r="T7" s="25">
        <f>COUNTIFS('UAT · Swati'!$A:$A,1,'UAT · Swati'!$J:$J,"❌ Doesn’t work",'UAT · Swati'!$O:$O,"&lt;&gt;Fixed – please re-test",'UAT · Swati'!$O:$O,"&lt;&gt;Won’t change")+COUNTIFS('UAT · Swati'!$A:$A,1,'UAT · Swati'!$J:$J,"🔍 Couldn’t find it",'UAT · Swati'!$O:$O,"&lt;&gt;Fixed – please re-test",'UAT · Swati'!$O:$O,"&lt;&gt;Won’t change")</f>
        <v/>
      </c>
    </row>
    <row r="8">
      <c r="A8" s="24" t="inlineStr">
        <is>
          <t>2 · Set up your studio</t>
        </is>
      </c>
      <c r="B8" s="24">
        <f>COUNTIF('UAT · Dane'!$A:$A,2)</f>
        <v/>
      </c>
      <c r="C8" s="25">
        <f>COUNTIFS('UAT · Dane'!$A:$A,2,'UAT · Dane'!$J:$J,"&lt;&gt;")</f>
        <v/>
      </c>
      <c r="D8" s="25">
        <f>COUNTIFS('UAT · Dane'!$A:$A,2,'UAT · Dane'!$J:$J,"✅ Works")</f>
        <v/>
      </c>
      <c r="E8" s="25">
        <f>COUNTIFS('UAT · Dane'!$A:$A,2,'UAT · Dane'!$J:$J,"🟡 Works, but…")</f>
        <v/>
      </c>
      <c r="F8" s="25">
        <f>COUNTIFS('UAT · Dane'!$A:$A,2,'UAT · Dane'!$J:$J,"❌ Doesn’t work")</f>
        <v/>
      </c>
      <c r="G8" s="25">
        <f>COUNTIFS('UAT · Dane'!$A:$A,2,'UAT · Dane'!$J:$J,"🔍 Couldn’t find it")</f>
        <v/>
      </c>
      <c r="H8" s="25">
        <f>COUNTIFS('UAT · Dane'!$A:$A,2,'UAT · Dane'!$J:$J,"❌ Doesn’t work",'UAT · Dane'!$O:$O,"&lt;&gt;Fixed – please re-test",'UAT · Dane'!$O:$O,"&lt;&gt;Won’t change")+COUNTIFS('UAT · Dane'!$A:$A,2,'UAT · Dane'!$J:$J,"🔍 Couldn’t find it",'UAT · Dane'!$O:$O,"&lt;&gt;Fixed – please re-test",'UAT · Dane'!$O:$O,"&lt;&gt;Won’t change")</f>
        <v/>
      </c>
      <c r="I8" s="25">
        <f>COUNTIFS('UAT · Oliva'!$A:$A,2,'UAT · Oliva'!$J:$J,"&lt;&gt;")</f>
        <v/>
      </c>
      <c r="J8" s="25">
        <f>COUNTIFS('UAT · Oliva'!$A:$A,2,'UAT · Oliva'!$J:$J,"✅ Works")</f>
        <v/>
      </c>
      <c r="K8" s="25">
        <f>COUNTIFS('UAT · Oliva'!$A:$A,2,'UAT · Oliva'!$J:$J,"🟡 Works, but…")</f>
        <v/>
      </c>
      <c r="L8" s="25">
        <f>COUNTIFS('UAT · Oliva'!$A:$A,2,'UAT · Oliva'!$J:$J,"❌ Doesn’t work")</f>
        <v/>
      </c>
      <c r="M8" s="25">
        <f>COUNTIFS('UAT · Oliva'!$A:$A,2,'UAT · Oliva'!$J:$J,"🔍 Couldn’t find it")</f>
        <v/>
      </c>
      <c r="N8" s="25">
        <f>COUNTIFS('UAT · Oliva'!$A:$A,2,'UAT · Oliva'!$J:$J,"❌ Doesn’t work",'UAT · Oliva'!$O:$O,"&lt;&gt;Fixed – please re-test",'UAT · Oliva'!$O:$O,"&lt;&gt;Won’t change")+COUNTIFS('UAT · Oliva'!$A:$A,2,'UAT · Oliva'!$J:$J,"🔍 Couldn’t find it",'UAT · Oliva'!$O:$O,"&lt;&gt;Fixed – please re-test",'UAT · Oliva'!$O:$O,"&lt;&gt;Won’t change")</f>
        <v/>
      </c>
      <c r="O8" s="25">
        <f>COUNTIFS('UAT · Swati'!$A:$A,2,'UAT · Swati'!$J:$J,"&lt;&gt;")</f>
        <v/>
      </c>
      <c r="P8" s="25">
        <f>COUNTIFS('UAT · Swati'!$A:$A,2,'UAT · Swati'!$J:$J,"✅ Works")</f>
        <v/>
      </c>
      <c r="Q8" s="25">
        <f>COUNTIFS('UAT · Swati'!$A:$A,2,'UAT · Swati'!$J:$J,"🟡 Works, but…")</f>
        <v/>
      </c>
      <c r="R8" s="25">
        <f>COUNTIFS('UAT · Swati'!$A:$A,2,'UAT · Swati'!$J:$J,"❌ Doesn’t work")</f>
        <v/>
      </c>
      <c r="S8" s="25">
        <f>COUNTIFS('UAT · Swati'!$A:$A,2,'UAT · Swati'!$J:$J,"🔍 Couldn’t find it")</f>
        <v/>
      </c>
      <c r="T8" s="25">
        <f>COUNTIFS('UAT · Swati'!$A:$A,2,'UAT · Swati'!$J:$J,"❌ Doesn’t work",'UAT · Swati'!$O:$O,"&lt;&gt;Fixed – please re-test",'UAT · Swati'!$O:$O,"&lt;&gt;Won’t change")+COUNTIFS('UAT · Swati'!$A:$A,2,'UAT · Swati'!$J:$J,"🔍 Couldn’t find it",'UAT · Swati'!$O:$O,"&lt;&gt;Fixed – please re-test",'UAT · Swati'!$O:$O,"&lt;&gt;Won’t change")</f>
        <v/>
      </c>
    </row>
    <row r="9">
      <c r="A9" s="24" t="inlineStr">
        <is>
          <t>3 · Build your library</t>
        </is>
      </c>
      <c r="B9" s="24">
        <f>COUNTIF('UAT · Dane'!$A:$A,3)</f>
        <v/>
      </c>
      <c r="C9" s="25">
        <f>COUNTIFS('UAT · Dane'!$A:$A,3,'UAT · Dane'!$J:$J,"&lt;&gt;")</f>
        <v/>
      </c>
      <c r="D9" s="25">
        <f>COUNTIFS('UAT · Dane'!$A:$A,3,'UAT · Dane'!$J:$J,"✅ Works")</f>
        <v/>
      </c>
      <c r="E9" s="25">
        <f>COUNTIFS('UAT · Dane'!$A:$A,3,'UAT · Dane'!$J:$J,"🟡 Works, but…")</f>
        <v/>
      </c>
      <c r="F9" s="25">
        <f>COUNTIFS('UAT · Dane'!$A:$A,3,'UAT · Dane'!$J:$J,"❌ Doesn’t work")</f>
        <v/>
      </c>
      <c r="G9" s="25">
        <f>COUNTIFS('UAT · Dane'!$A:$A,3,'UAT · Dane'!$J:$J,"🔍 Couldn’t find it")</f>
        <v/>
      </c>
      <c r="H9" s="25">
        <f>COUNTIFS('UAT · Dane'!$A:$A,3,'UAT · Dane'!$J:$J,"❌ Doesn’t work",'UAT · Dane'!$O:$O,"&lt;&gt;Fixed – please re-test",'UAT · Dane'!$O:$O,"&lt;&gt;Won’t change")+COUNTIFS('UAT · Dane'!$A:$A,3,'UAT · Dane'!$J:$J,"🔍 Couldn’t find it",'UAT · Dane'!$O:$O,"&lt;&gt;Fixed – please re-test",'UAT · Dane'!$O:$O,"&lt;&gt;Won’t change")</f>
        <v/>
      </c>
      <c r="I9" s="25">
        <f>COUNTIFS('UAT · Oliva'!$A:$A,3,'UAT · Oliva'!$J:$J,"&lt;&gt;")</f>
        <v/>
      </c>
      <c r="J9" s="25">
        <f>COUNTIFS('UAT · Oliva'!$A:$A,3,'UAT · Oliva'!$J:$J,"✅ Works")</f>
        <v/>
      </c>
      <c r="K9" s="25">
        <f>COUNTIFS('UAT · Oliva'!$A:$A,3,'UAT · Oliva'!$J:$J,"🟡 Works, but…")</f>
        <v/>
      </c>
      <c r="L9" s="25">
        <f>COUNTIFS('UAT · Oliva'!$A:$A,3,'UAT · Oliva'!$J:$J,"❌ Doesn’t work")</f>
        <v/>
      </c>
      <c r="M9" s="25">
        <f>COUNTIFS('UAT · Oliva'!$A:$A,3,'UAT · Oliva'!$J:$J,"🔍 Couldn’t find it")</f>
        <v/>
      </c>
      <c r="N9" s="25">
        <f>COUNTIFS('UAT · Oliva'!$A:$A,3,'UAT · Oliva'!$J:$J,"❌ Doesn’t work",'UAT · Oliva'!$O:$O,"&lt;&gt;Fixed – please re-test",'UAT · Oliva'!$O:$O,"&lt;&gt;Won’t change")+COUNTIFS('UAT · Oliva'!$A:$A,3,'UAT · Oliva'!$J:$J,"🔍 Couldn’t find it",'UAT · Oliva'!$O:$O,"&lt;&gt;Fixed – please re-test",'UAT · Oliva'!$O:$O,"&lt;&gt;Won’t change")</f>
        <v/>
      </c>
      <c r="O9" s="25">
        <f>COUNTIFS('UAT · Swati'!$A:$A,3,'UAT · Swati'!$J:$J,"&lt;&gt;")</f>
        <v/>
      </c>
      <c r="P9" s="25">
        <f>COUNTIFS('UAT · Swati'!$A:$A,3,'UAT · Swati'!$J:$J,"✅ Works")</f>
        <v/>
      </c>
      <c r="Q9" s="25">
        <f>COUNTIFS('UAT · Swati'!$A:$A,3,'UAT · Swati'!$J:$J,"🟡 Works, but…")</f>
        <v/>
      </c>
      <c r="R9" s="25">
        <f>COUNTIFS('UAT · Swati'!$A:$A,3,'UAT · Swati'!$J:$J,"❌ Doesn’t work")</f>
        <v/>
      </c>
      <c r="S9" s="25">
        <f>COUNTIFS('UAT · Swati'!$A:$A,3,'UAT · Swati'!$J:$J,"🔍 Couldn’t find it")</f>
        <v/>
      </c>
      <c r="T9" s="25">
        <f>COUNTIFS('UAT · Swati'!$A:$A,3,'UAT · Swati'!$J:$J,"❌ Doesn’t work",'UAT · Swati'!$O:$O,"&lt;&gt;Fixed – please re-test",'UAT · Swati'!$O:$O,"&lt;&gt;Won’t change")+COUNTIFS('UAT · Swati'!$A:$A,3,'UAT · Swati'!$J:$J,"🔍 Couldn’t find it",'UAT · Swati'!$O:$O,"&lt;&gt;Fixed – please re-test",'UAT · Swati'!$O:$O,"&lt;&gt;Won’t change")</f>
        <v/>
      </c>
    </row>
    <row r="10">
      <c r="A10" s="24" t="inlineStr">
        <is>
          <t>4 · Leads arrive</t>
        </is>
      </c>
      <c r="B10" s="24">
        <f>COUNTIF('UAT · Dane'!$A:$A,4)</f>
        <v/>
      </c>
      <c r="C10" s="25">
        <f>COUNTIFS('UAT · Dane'!$A:$A,4,'UAT · Dane'!$J:$J,"&lt;&gt;")</f>
        <v/>
      </c>
      <c r="D10" s="25">
        <f>COUNTIFS('UAT · Dane'!$A:$A,4,'UAT · Dane'!$J:$J,"✅ Works")</f>
        <v/>
      </c>
      <c r="E10" s="25">
        <f>COUNTIFS('UAT · Dane'!$A:$A,4,'UAT · Dane'!$J:$J,"🟡 Works, but…")</f>
        <v/>
      </c>
      <c r="F10" s="25">
        <f>COUNTIFS('UAT · Dane'!$A:$A,4,'UAT · Dane'!$J:$J,"❌ Doesn’t work")</f>
        <v/>
      </c>
      <c r="G10" s="25">
        <f>COUNTIFS('UAT · Dane'!$A:$A,4,'UAT · Dane'!$J:$J,"🔍 Couldn’t find it")</f>
        <v/>
      </c>
      <c r="H10" s="25">
        <f>COUNTIFS('UAT · Dane'!$A:$A,4,'UAT · Dane'!$J:$J,"❌ Doesn’t work",'UAT · Dane'!$O:$O,"&lt;&gt;Fixed – please re-test",'UAT · Dane'!$O:$O,"&lt;&gt;Won’t change")+COUNTIFS('UAT · Dane'!$A:$A,4,'UAT · Dane'!$J:$J,"🔍 Couldn’t find it",'UAT · Dane'!$O:$O,"&lt;&gt;Fixed – please re-test",'UAT · Dane'!$O:$O,"&lt;&gt;Won’t change")</f>
        <v/>
      </c>
      <c r="I10" s="25">
        <f>COUNTIFS('UAT · Oliva'!$A:$A,4,'UAT · Oliva'!$J:$J,"&lt;&gt;")</f>
        <v/>
      </c>
      <c r="J10" s="25">
        <f>COUNTIFS('UAT · Oliva'!$A:$A,4,'UAT · Oliva'!$J:$J,"✅ Works")</f>
        <v/>
      </c>
      <c r="K10" s="25">
        <f>COUNTIFS('UAT · Oliva'!$A:$A,4,'UAT · Oliva'!$J:$J,"🟡 Works, but…")</f>
        <v/>
      </c>
      <c r="L10" s="25">
        <f>COUNTIFS('UAT · Oliva'!$A:$A,4,'UAT · Oliva'!$J:$J,"❌ Doesn’t work")</f>
        <v/>
      </c>
      <c r="M10" s="25">
        <f>COUNTIFS('UAT · Oliva'!$A:$A,4,'UAT · Oliva'!$J:$J,"🔍 Couldn’t find it")</f>
        <v/>
      </c>
      <c r="N10" s="25">
        <f>COUNTIFS('UAT · Oliva'!$A:$A,4,'UAT · Oliva'!$J:$J,"❌ Doesn’t work",'UAT · Oliva'!$O:$O,"&lt;&gt;Fixed – please re-test",'UAT · Oliva'!$O:$O,"&lt;&gt;Won’t change")+COUNTIFS('UAT · Oliva'!$A:$A,4,'UAT · Oliva'!$J:$J,"🔍 Couldn’t find it",'UAT · Oliva'!$O:$O,"&lt;&gt;Fixed – please re-test",'UAT · Oliva'!$O:$O,"&lt;&gt;Won’t change")</f>
        <v/>
      </c>
      <c r="O10" s="25">
        <f>COUNTIFS('UAT · Swati'!$A:$A,4,'UAT · Swati'!$J:$J,"&lt;&gt;")</f>
        <v/>
      </c>
      <c r="P10" s="25">
        <f>COUNTIFS('UAT · Swati'!$A:$A,4,'UAT · Swati'!$J:$J,"✅ Works")</f>
        <v/>
      </c>
      <c r="Q10" s="25">
        <f>COUNTIFS('UAT · Swati'!$A:$A,4,'UAT · Swati'!$J:$J,"🟡 Works, but…")</f>
        <v/>
      </c>
      <c r="R10" s="25">
        <f>COUNTIFS('UAT · Swati'!$A:$A,4,'UAT · Swati'!$J:$J,"❌ Doesn’t work")</f>
        <v/>
      </c>
      <c r="S10" s="25">
        <f>COUNTIFS('UAT · Swati'!$A:$A,4,'UAT · Swati'!$J:$J,"🔍 Couldn’t find it")</f>
        <v/>
      </c>
      <c r="T10" s="25">
        <f>COUNTIFS('UAT · Swati'!$A:$A,4,'UAT · Swati'!$J:$J,"❌ Doesn’t work",'UAT · Swati'!$O:$O,"&lt;&gt;Fixed – please re-test",'UAT · Swati'!$O:$O,"&lt;&gt;Won’t change")+COUNTIFS('UAT · Swati'!$A:$A,4,'UAT · Swati'!$J:$J,"🔍 Couldn’t find it",'UAT · Swati'!$O:$O,"&lt;&gt;Fixed – please re-test",'UAT · Swati'!$O:$O,"&lt;&gt;Won’t change")</f>
        <v/>
      </c>
    </row>
    <row r="11">
      <c r="A11" s="24" t="inlineStr">
        <is>
          <t>5 · Work your lead</t>
        </is>
      </c>
      <c r="B11" s="24">
        <f>COUNTIF('UAT · Dane'!$A:$A,5)</f>
        <v/>
      </c>
      <c r="C11" s="25">
        <f>COUNTIFS('UAT · Dane'!$A:$A,5,'UAT · Dane'!$J:$J,"&lt;&gt;")</f>
        <v/>
      </c>
      <c r="D11" s="25">
        <f>COUNTIFS('UAT · Dane'!$A:$A,5,'UAT · Dane'!$J:$J,"✅ Works")</f>
        <v/>
      </c>
      <c r="E11" s="25">
        <f>COUNTIFS('UAT · Dane'!$A:$A,5,'UAT · Dane'!$J:$J,"🟡 Works, but…")</f>
        <v/>
      </c>
      <c r="F11" s="25">
        <f>COUNTIFS('UAT · Dane'!$A:$A,5,'UAT · Dane'!$J:$J,"❌ Doesn’t work")</f>
        <v/>
      </c>
      <c r="G11" s="25">
        <f>COUNTIFS('UAT · Dane'!$A:$A,5,'UAT · Dane'!$J:$J,"🔍 Couldn’t find it")</f>
        <v/>
      </c>
      <c r="H11" s="25">
        <f>COUNTIFS('UAT · Dane'!$A:$A,5,'UAT · Dane'!$J:$J,"❌ Doesn’t work",'UAT · Dane'!$O:$O,"&lt;&gt;Fixed – please re-test",'UAT · Dane'!$O:$O,"&lt;&gt;Won’t change")+COUNTIFS('UAT · Dane'!$A:$A,5,'UAT · Dane'!$J:$J,"🔍 Couldn’t find it",'UAT · Dane'!$O:$O,"&lt;&gt;Fixed – please re-test",'UAT · Dane'!$O:$O,"&lt;&gt;Won’t change")</f>
        <v/>
      </c>
      <c r="I11" s="25">
        <f>COUNTIFS('UAT · Oliva'!$A:$A,5,'UAT · Oliva'!$J:$J,"&lt;&gt;")</f>
        <v/>
      </c>
      <c r="J11" s="25">
        <f>COUNTIFS('UAT · Oliva'!$A:$A,5,'UAT · Oliva'!$J:$J,"✅ Works")</f>
        <v/>
      </c>
      <c r="K11" s="25">
        <f>COUNTIFS('UAT · Oliva'!$A:$A,5,'UAT · Oliva'!$J:$J,"🟡 Works, but…")</f>
        <v/>
      </c>
      <c r="L11" s="25">
        <f>COUNTIFS('UAT · Oliva'!$A:$A,5,'UAT · Oliva'!$J:$J,"❌ Doesn’t work")</f>
        <v/>
      </c>
      <c r="M11" s="25">
        <f>COUNTIFS('UAT · Oliva'!$A:$A,5,'UAT · Oliva'!$J:$J,"🔍 Couldn’t find it")</f>
        <v/>
      </c>
      <c r="N11" s="25">
        <f>COUNTIFS('UAT · Oliva'!$A:$A,5,'UAT · Oliva'!$J:$J,"❌ Doesn’t work",'UAT · Oliva'!$O:$O,"&lt;&gt;Fixed – please re-test",'UAT · Oliva'!$O:$O,"&lt;&gt;Won’t change")+COUNTIFS('UAT · Oliva'!$A:$A,5,'UAT · Oliva'!$J:$J,"🔍 Couldn’t find it",'UAT · Oliva'!$O:$O,"&lt;&gt;Fixed – please re-test",'UAT · Oliva'!$O:$O,"&lt;&gt;Won’t change")</f>
        <v/>
      </c>
      <c r="O11" s="25">
        <f>COUNTIFS('UAT · Swati'!$A:$A,5,'UAT · Swati'!$J:$J,"&lt;&gt;")</f>
        <v/>
      </c>
      <c r="P11" s="25">
        <f>COUNTIFS('UAT · Swati'!$A:$A,5,'UAT · Swati'!$J:$J,"✅ Works")</f>
        <v/>
      </c>
      <c r="Q11" s="25">
        <f>COUNTIFS('UAT · Swati'!$A:$A,5,'UAT · Swati'!$J:$J,"🟡 Works, but…")</f>
        <v/>
      </c>
      <c r="R11" s="25">
        <f>COUNTIFS('UAT · Swati'!$A:$A,5,'UAT · Swati'!$J:$J,"❌ Doesn’t work")</f>
        <v/>
      </c>
      <c r="S11" s="25">
        <f>COUNTIFS('UAT · Swati'!$A:$A,5,'UAT · Swati'!$J:$J,"🔍 Couldn’t find it")</f>
        <v/>
      </c>
      <c r="T11" s="25">
        <f>COUNTIFS('UAT · Swati'!$A:$A,5,'UAT · Swati'!$J:$J,"❌ Doesn’t work",'UAT · Swati'!$O:$O,"&lt;&gt;Fixed – please re-test",'UAT · Swati'!$O:$O,"&lt;&gt;Won’t change")+COUNTIFS('UAT · Swati'!$A:$A,5,'UAT · Swati'!$J:$J,"🔍 Couldn’t find it",'UAT · Swati'!$O:$O,"&lt;&gt;Fixed – please re-test",'UAT · Swati'!$O:$O,"&lt;&gt;Won’t change")</f>
        <v/>
      </c>
    </row>
    <row r="12">
      <c r="A12" s="24" t="inlineStr">
        <is>
          <t>6 · Quote it</t>
        </is>
      </c>
      <c r="B12" s="24">
        <f>COUNTIF('UAT · Dane'!$A:$A,6)</f>
        <v/>
      </c>
      <c r="C12" s="25">
        <f>COUNTIFS('UAT · Dane'!$A:$A,6,'UAT · Dane'!$J:$J,"&lt;&gt;")</f>
        <v/>
      </c>
      <c r="D12" s="25">
        <f>COUNTIFS('UAT · Dane'!$A:$A,6,'UAT · Dane'!$J:$J,"✅ Works")</f>
        <v/>
      </c>
      <c r="E12" s="25">
        <f>COUNTIFS('UAT · Dane'!$A:$A,6,'UAT · Dane'!$J:$J,"🟡 Works, but…")</f>
        <v/>
      </c>
      <c r="F12" s="25">
        <f>COUNTIFS('UAT · Dane'!$A:$A,6,'UAT · Dane'!$J:$J,"❌ Doesn’t work")</f>
        <v/>
      </c>
      <c r="G12" s="25">
        <f>COUNTIFS('UAT · Dane'!$A:$A,6,'UAT · Dane'!$J:$J,"🔍 Couldn’t find it")</f>
        <v/>
      </c>
      <c r="H12" s="25">
        <f>COUNTIFS('UAT · Dane'!$A:$A,6,'UAT · Dane'!$J:$J,"❌ Doesn’t work",'UAT · Dane'!$O:$O,"&lt;&gt;Fixed – please re-test",'UAT · Dane'!$O:$O,"&lt;&gt;Won’t change")+COUNTIFS('UAT · Dane'!$A:$A,6,'UAT · Dane'!$J:$J,"🔍 Couldn’t find it",'UAT · Dane'!$O:$O,"&lt;&gt;Fixed – please re-test",'UAT · Dane'!$O:$O,"&lt;&gt;Won’t change")</f>
        <v/>
      </c>
      <c r="I12" s="25">
        <f>COUNTIFS('UAT · Oliva'!$A:$A,6,'UAT · Oliva'!$J:$J,"&lt;&gt;")</f>
        <v/>
      </c>
      <c r="J12" s="25">
        <f>COUNTIFS('UAT · Oliva'!$A:$A,6,'UAT · Oliva'!$J:$J,"✅ Works")</f>
        <v/>
      </c>
      <c r="K12" s="25">
        <f>COUNTIFS('UAT · Oliva'!$A:$A,6,'UAT · Oliva'!$J:$J,"🟡 Works, but…")</f>
        <v/>
      </c>
      <c r="L12" s="25">
        <f>COUNTIFS('UAT · Oliva'!$A:$A,6,'UAT · Oliva'!$J:$J,"❌ Doesn’t work")</f>
        <v/>
      </c>
      <c r="M12" s="25">
        <f>COUNTIFS('UAT · Oliva'!$A:$A,6,'UAT · Oliva'!$J:$J,"🔍 Couldn’t find it")</f>
        <v/>
      </c>
      <c r="N12" s="25">
        <f>COUNTIFS('UAT · Oliva'!$A:$A,6,'UAT · Oliva'!$J:$J,"❌ Doesn’t work",'UAT · Oliva'!$O:$O,"&lt;&gt;Fixed – please re-test",'UAT · Oliva'!$O:$O,"&lt;&gt;Won’t change")+COUNTIFS('UAT · Oliva'!$A:$A,6,'UAT · Oliva'!$J:$J,"🔍 Couldn’t find it",'UAT · Oliva'!$O:$O,"&lt;&gt;Fixed – please re-test",'UAT · Oliva'!$O:$O,"&lt;&gt;Won’t change")</f>
        <v/>
      </c>
      <c r="O12" s="25">
        <f>COUNTIFS('UAT · Swati'!$A:$A,6,'UAT · Swati'!$J:$J,"&lt;&gt;")</f>
        <v/>
      </c>
      <c r="P12" s="25">
        <f>COUNTIFS('UAT · Swati'!$A:$A,6,'UAT · Swati'!$J:$J,"✅ Works")</f>
        <v/>
      </c>
      <c r="Q12" s="25">
        <f>COUNTIFS('UAT · Swati'!$A:$A,6,'UAT · Swati'!$J:$J,"🟡 Works, but…")</f>
        <v/>
      </c>
      <c r="R12" s="25">
        <f>COUNTIFS('UAT · Swati'!$A:$A,6,'UAT · Swati'!$J:$J,"❌ Doesn’t work")</f>
        <v/>
      </c>
      <c r="S12" s="25">
        <f>COUNTIFS('UAT · Swati'!$A:$A,6,'UAT · Swati'!$J:$J,"🔍 Couldn’t find it")</f>
        <v/>
      </c>
      <c r="T12" s="25">
        <f>COUNTIFS('UAT · Swati'!$A:$A,6,'UAT · Swati'!$J:$J,"❌ Doesn’t work",'UAT · Swati'!$O:$O,"&lt;&gt;Fixed – please re-test",'UAT · Swati'!$O:$O,"&lt;&gt;Won’t change")+COUNTIFS('UAT · Swati'!$A:$A,6,'UAT · Swati'!$J:$J,"🔍 Couldn’t find it",'UAT · Swati'!$O:$O,"&lt;&gt;Fixed – please re-test",'UAT · Swati'!$O:$O,"&lt;&gt;Won’t change")</f>
        <v/>
      </c>
    </row>
    <row r="13">
      <c r="A13" s="24" t="inlineStr">
        <is>
          <t>7 · A rival quote</t>
        </is>
      </c>
      <c r="B13" s="24">
        <f>COUNTIF('UAT · Dane'!$A:$A,7)</f>
        <v/>
      </c>
      <c r="C13" s="25">
        <f>COUNTIFS('UAT · Dane'!$A:$A,7,'UAT · Dane'!$J:$J,"&lt;&gt;")</f>
        <v/>
      </c>
      <c r="D13" s="25">
        <f>COUNTIFS('UAT · Dane'!$A:$A,7,'UAT · Dane'!$J:$J,"✅ Works")</f>
        <v/>
      </c>
      <c r="E13" s="25">
        <f>COUNTIFS('UAT · Dane'!$A:$A,7,'UAT · Dane'!$J:$J,"🟡 Works, but…")</f>
        <v/>
      </c>
      <c r="F13" s="25">
        <f>COUNTIFS('UAT · Dane'!$A:$A,7,'UAT · Dane'!$J:$J,"❌ Doesn’t work")</f>
        <v/>
      </c>
      <c r="G13" s="25">
        <f>COUNTIFS('UAT · Dane'!$A:$A,7,'UAT · Dane'!$J:$J,"🔍 Couldn’t find it")</f>
        <v/>
      </c>
      <c r="H13" s="25">
        <f>COUNTIFS('UAT · Dane'!$A:$A,7,'UAT · Dane'!$J:$J,"❌ Doesn’t work",'UAT · Dane'!$O:$O,"&lt;&gt;Fixed – please re-test",'UAT · Dane'!$O:$O,"&lt;&gt;Won’t change")+COUNTIFS('UAT · Dane'!$A:$A,7,'UAT · Dane'!$J:$J,"🔍 Couldn’t find it",'UAT · Dane'!$O:$O,"&lt;&gt;Fixed – please re-test",'UAT · Dane'!$O:$O,"&lt;&gt;Won’t change")</f>
        <v/>
      </c>
      <c r="I13" s="25">
        <f>COUNTIFS('UAT · Oliva'!$A:$A,7,'UAT · Oliva'!$J:$J,"&lt;&gt;")</f>
        <v/>
      </c>
      <c r="J13" s="25">
        <f>COUNTIFS('UAT · Oliva'!$A:$A,7,'UAT · Oliva'!$J:$J,"✅ Works")</f>
        <v/>
      </c>
      <c r="K13" s="25">
        <f>COUNTIFS('UAT · Oliva'!$A:$A,7,'UAT · Oliva'!$J:$J,"🟡 Works, but…")</f>
        <v/>
      </c>
      <c r="L13" s="25">
        <f>COUNTIFS('UAT · Oliva'!$A:$A,7,'UAT · Oliva'!$J:$J,"❌ Doesn’t work")</f>
        <v/>
      </c>
      <c r="M13" s="25">
        <f>COUNTIFS('UAT · Oliva'!$A:$A,7,'UAT · Oliva'!$J:$J,"🔍 Couldn’t find it")</f>
        <v/>
      </c>
      <c r="N13" s="25">
        <f>COUNTIFS('UAT · Oliva'!$A:$A,7,'UAT · Oliva'!$J:$J,"❌ Doesn’t work",'UAT · Oliva'!$O:$O,"&lt;&gt;Fixed – please re-test",'UAT · Oliva'!$O:$O,"&lt;&gt;Won’t change")+COUNTIFS('UAT · Oliva'!$A:$A,7,'UAT · Oliva'!$J:$J,"🔍 Couldn’t find it",'UAT · Oliva'!$O:$O,"&lt;&gt;Fixed – please re-test",'UAT · Oliva'!$O:$O,"&lt;&gt;Won’t change")</f>
        <v/>
      </c>
      <c r="O13" s="25">
        <f>COUNTIFS('UAT · Swati'!$A:$A,7,'UAT · Swati'!$J:$J,"&lt;&gt;")</f>
        <v/>
      </c>
      <c r="P13" s="25">
        <f>COUNTIFS('UAT · Swati'!$A:$A,7,'UAT · Swati'!$J:$J,"✅ Works")</f>
        <v/>
      </c>
      <c r="Q13" s="25">
        <f>COUNTIFS('UAT · Swati'!$A:$A,7,'UAT · Swati'!$J:$J,"🟡 Works, but…")</f>
        <v/>
      </c>
      <c r="R13" s="25">
        <f>COUNTIFS('UAT · Swati'!$A:$A,7,'UAT · Swati'!$J:$J,"❌ Doesn’t work")</f>
        <v/>
      </c>
      <c r="S13" s="25">
        <f>COUNTIFS('UAT · Swati'!$A:$A,7,'UAT · Swati'!$J:$J,"🔍 Couldn’t find it")</f>
        <v/>
      </c>
      <c r="T13" s="25">
        <f>COUNTIFS('UAT · Swati'!$A:$A,7,'UAT · Swati'!$J:$J,"❌ Doesn’t work",'UAT · Swati'!$O:$O,"&lt;&gt;Fixed – please re-test",'UAT · Swati'!$O:$O,"&lt;&gt;Won’t change")+COUNTIFS('UAT · Swati'!$A:$A,7,'UAT · Swati'!$J:$J,"🔍 Couldn’t find it",'UAT · Swati'!$O:$O,"&lt;&gt;Fixed – please re-test",'UAT · Swati'!$O:$O,"&lt;&gt;Won’t change")</f>
        <v/>
      </c>
    </row>
    <row r="14">
      <c r="A14" s="24" t="inlineStr">
        <is>
          <t>8 · Sign the deal</t>
        </is>
      </c>
      <c r="B14" s="24">
        <f>COUNTIF('UAT · Dane'!$A:$A,8)</f>
        <v/>
      </c>
      <c r="C14" s="25">
        <f>COUNTIFS('UAT · Dane'!$A:$A,8,'UAT · Dane'!$J:$J,"&lt;&gt;")</f>
        <v/>
      </c>
      <c r="D14" s="25">
        <f>COUNTIFS('UAT · Dane'!$A:$A,8,'UAT · Dane'!$J:$J,"✅ Works")</f>
        <v/>
      </c>
      <c r="E14" s="25">
        <f>COUNTIFS('UAT · Dane'!$A:$A,8,'UAT · Dane'!$J:$J,"🟡 Works, but…")</f>
        <v/>
      </c>
      <c r="F14" s="25">
        <f>COUNTIFS('UAT · Dane'!$A:$A,8,'UAT · Dane'!$J:$J,"❌ Doesn’t work")</f>
        <v/>
      </c>
      <c r="G14" s="25">
        <f>COUNTIFS('UAT · Dane'!$A:$A,8,'UAT · Dane'!$J:$J,"🔍 Couldn’t find it")</f>
        <v/>
      </c>
      <c r="H14" s="25">
        <f>COUNTIFS('UAT · Dane'!$A:$A,8,'UAT · Dane'!$J:$J,"❌ Doesn’t work",'UAT · Dane'!$O:$O,"&lt;&gt;Fixed – please re-test",'UAT · Dane'!$O:$O,"&lt;&gt;Won’t change")+COUNTIFS('UAT · Dane'!$A:$A,8,'UAT · Dane'!$J:$J,"🔍 Couldn’t find it",'UAT · Dane'!$O:$O,"&lt;&gt;Fixed – please re-test",'UAT · Dane'!$O:$O,"&lt;&gt;Won’t change")</f>
        <v/>
      </c>
      <c r="I14" s="25">
        <f>COUNTIFS('UAT · Oliva'!$A:$A,8,'UAT · Oliva'!$J:$J,"&lt;&gt;")</f>
        <v/>
      </c>
      <c r="J14" s="25">
        <f>COUNTIFS('UAT · Oliva'!$A:$A,8,'UAT · Oliva'!$J:$J,"✅ Works")</f>
        <v/>
      </c>
      <c r="K14" s="25">
        <f>COUNTIFS('UAT · Oliva'!$A:$A,8,'UAT · Oliva'!$J:$J,"🟡 Works, but…")</f>
        <v/>
      </c>
      <c r="L14" s="25">
        <f>COUNTIFS('UAT · Oliva'!$A:$A,8,'UAT · Oliva'!$J:$J,"❌ Doesn’t work")</f>
        <v/>
      </c>
      <c r="M14" s="25">
        <f>COUNTIFS('UAT · Oliva'!$A:$A,8,'UAT · Oliva'!$J:$J,"🔍 Couldn’t find it")</f>
        <v/>
      </c>
      <c r="N14" s="25">
        <f>COUNTIFS('UAT · Oliva'!$A:$A,8,'UAT · Oliva'!$J:$J,"❌ Doesn’t work",'UAT · Oliva'!$O:$O,"&lt;&gt;Fixed – please re-test",'UAT · Oliva'!$O:$O,"&lt;&gt;Won’t change")+COUNTIFS('UAT · Oliva'!$A:$A,8,'UAT · Oliva'!$J:$J,"🔍 Couldn’t find it",'UAT · Oliva'!$O:$O,"&lt;&gt;Fixed – please re-test",'UAT · Oliva'!$O:$O,"&lt;&gt;Won’t change")</f>
        <v/>
      </c>
      <c r="O14" s="25">
        <f>COUNTIFS('UAT · Swati'!$A:$A,8,'UAT · Swati'!$J:$J,"&lt;&gt;")</f>
        <v/>
      </c>
      <c r="P14" s="25">
        <f>COUNTIFS('UAT · Swati'!$A:$A,8,'UAT · Swati'!$J:$J,"✅ Works")</f>
        <v/>
      </c>
      <c r="Q14" s="25">
        <f>COUNTIFS('UAT · Swati'!$A:$A,8,'UAT · Swati'!$J:$J,"🟡 Works, but…")</f>
        <v/>
      </c>
      <c r="R14" s="25">
        <f>COUNTIFS('UAT · Swati'!$A:$A,8,'UAT · Swati'!$J:$J,"❌ Doesn’t work")</f>
        <v/>
      </c>
      <c r="S14" s="25">
        <f>COUNTIFS('UAT · Swati'!$A:$A,8,'UAT · Swati'!$J:$J,"🔍 Couldn’t find it")</f>
        <v/>
      </c>
      <c r="T14" s="25">
        <f>COUNTIFS('UAT · Swati'!$A:$A,8,'UAT · Swati'!$J:$J,"❌ Doesn’t work",'UAT · Swati'!$O:$O,"&lt;&gt;Fixed – please re-test",'UAT · Swati'!$O:$O,"&lt;&gt;Won’t change")+COUNTIFS('UAT · Swati'!$A:$A,8,'UAT · Swati'!$J:$J,"🔍 Couldn’t find it",'UAT · Swati'!$O:$O,"&lt;&gt;Fixed – please re-test",'UAT · Swati'!$O:$O,"&lt;&gt;Won’t change")</f>
        <v/>
      </c>
    </row>
    <row r="15">
      <c r="A15" s="24" t="inlineStr">
        <is>
          <t>9 · Win, park or lose</t>
        </is>
      </c>
      <c r="B15" s="24">
        <f>COUNTIF('UAT · Dane'!$A:$A,9)</f>
        <v/>
      </c>
      <c r="C15" s="25">
        <f>COUNTIFS('UAT · Dane'!$A:$A,9,'UAT · Dane'!$J:$J,"&lt;&gt;")</f>
        <v/>
      </c>
      <c r="D15" s="25">
        <f>COUNTIFS('UAT · Dane'!$A:$A,9,'UAT · Dane'!$J:$J,"✅ Works")</f>
        <v/>
      </c>
      <c r="E15" s="25">
        <f>COUNTIFS('UAT · Dane'!$A:$A,9,'UAT · Dane'!$J:$J,"🟡 Works, but…")</f>
        <v/>
      </c>
      <c r="F15" s="25">
        <f>COUNTIFS('UAT · Dane'!$A:$A,9,'UAT · Dane'!$J:$J,"❌ Doesn’t work")</f>
        <v/>
      </c>
      <c r="G15" s="25">
        <f>COUNTIFS('UAT · Dane'!$A:$A,9,'UAT · Dane'!$J:$J,"🔍 Couldn’t find it")</f>
        <v/>
      </c>
      <c r="H15" s="25">
        <f>COUNTIFS('UAT · Dane'!$A:$A,9,'UAT · Dane'!$J:$J,"❌ Doesn’t work",'UAT · Dane'!$O:$O,"&lt;&gt;Fixed – please re-test",'UAT · Dane'!$O:$O,"&lt;&gt;Won’t change")+COUNTIFS('UAT · Dane'!$A:$A,9,'UAT · Dane'!$J:$J,"🔍 Couldn’t find it",'UAT · Dane'!$O:$O,"&lt;&gt;Fixed – please re-test",'UAT · Dane'!$O:$O,"&lt;&gt;Won’t change")</f>
        <v/>
      </c>
      <c r="I15" s="25">
        <f>COUNTIFS('UAT · Oliva'!$A:$A,9,'UAT · Oliva'!$J:$J,"&lt;&gt;")</f>
        <v/>
      </c>
      <c r="J15" s="25">
        <f>COUNTIFS('UAT · Oliva'!$A:$A,9,'UAT · Oliva'!$J:$J,"✅ Works")</f>
        <v/>
      </c>
      <c r="K15" s="25">
        <f>COUNTIFS('UAT · Oliva'!$A:$A,9,'UAT · Oliva'!$J:$J,"🟡 Works, but…")</f>
        <v/>
      </c>
      <c r="L15" s="25">
        <f>COUNTIFS('UAT · Oliva'!$A:$A,9,'UAT · Oliva'!$J:$J,"❌ Doesn’t work")</f>
        <v/>
      </c>
      <c r="M15" s="25">
        <f>COUNTIFS('UAT · Oliva'!$A:$A,9,'UAT · Oliva'!$J:$J,"🔍 Couldn’t find it")</f>
        <v/>
      </c>
      <c r="N15" s="25">
        <f>COUNTIFS('UAT · Oliva'!$A:$A,9,'UAT · Oliva'!$J:$J,"❌ Doesn’t work",'UAT · Oliva'!$O:$O,"&lt;&gt;Fixed – please re-test",'UAT · Oliva'!$O:$O,"&lt;&gt;Won’t change")+COUNTIFS('UAT · Oliva'!$A:$A,9,'UAT · Oliva'!$J:$J,"🔍 Couldn’t find it",'UAT · Oliva'!$O:$O,"&lt;&gt;Fixed – please re-test",'UAT · Oliva'!$O:$O,"&lt;&gt;Won’t change")</f>
        <v/>
      </c>
      <c r="O15" s="25">
        <f>COUNTIFS('UAT · Swati'!$A:$A,9,'UAT · Swati'!$J:$J,"&lt;&gt;")</f>
        <v/>
      </c>
      <c r="P15" s="25">
        <f>COUNTIFS('UAT · Swati'!$A:$A,9,'UAT · Swati'!$J:$J,"✅ Works")</f>
        <v/>
      </c>
      <c r="Q15" s="25">
        <f>COUNTIFS('UAT · Swati'!$A:$A,9,'UAT · Swati'!$J:$J,"🟡 Works, but…")</f>
        <v/>
      </c>
      <c r="R15" s="25">
        <f>COUNTIFS('UAT · Swati'!$A:$A,9,'UAT · Swati'!$J:$J,"❌ Doesn’t work")</f>
        <v/>
      </c>
      <c r="S15" s="25">
        <f>COUNTIFS('UAT · Swati'!$A:$A,9,'UAT · Swati'!$J:$J,"🔍 Couldn’t find it")</f>
        <v/>
      </c>
      <c r="T15" s="25">
        <f>COUNTIFS('UAT · Swati'!$A:$A,9,'UAT · Swati'!$J:$J,"❌ Doesn’t work",'UAT · Swati'!$O:$O,"&lt;&gt;Fixed – please re-test",'UAT · Swati'!$O:$O,"&lt;&gt;Won’t change")+COUNTIFS('UAT · Swati'!$A:$A,9,'UAT · Swati'!$J:$J,"🔍 Couldn’t find it",'UAT · Swati'!$O:$O,"&lt;&gt;Fixed – please re-test",'UAT · Swati'!$O:$O,"&lt;&gt;Won’t change")</f>
        <v/>
      </c>
    </row>
    <row r="16">
      <c r="A16" s="24" t="inlineStr">
        <is>
          <t>10 · A designer’s day</t>
        </is>
      </c>
      <c r="B16" s="24">
        <f>COUNTIF('UAT · Dane'!$A:$A,10)</f>
        <v/>
      </c>
      <c r="C16" s="25">
        <f>COUNTIFS('UAT · Dane'!$A:$A,10,'UAT · Dane'!$J:$J,"&lt;&gt;")</f>
        <v/>
      </c>
      <c r="D16" s="25">
        <f>COUNTIFS('UAT · Dane'!$A:$A,10,'UAT · Dane'!$J:$J,"✅ Works")</f>
        <v/>
      </c>
      <c r="E16" s="25">
        <f>COUNTIFS('UAT · Dane'!$A:$A,10,'UAT · Dane'!$J:$J,"🟡 Works, but…")</f>
        <v/>
      </c>
      <c r="F16" s="25">
        <f>COUNTIFS('UAT · Dane'!$A:$A,10,'UAT · Dane'!$J:$J,"❌ Doesn’t work")</f>
        <v/>
      </c>
      <c r="G16" s="25">
        <f>COUNTIFS('UAT · Dane'!$A:$A,10,'UAT · Dane'!$J:$J,"🔍 Couldn’t find it")</f>
        <v/>
      </c>
      <c r="H16" s="25">
        <f>COUNTIFS('UAT · Dane'!$A:$A,10,'UAT · Dane'!$J:$J,"❌ Doesn’t work",'UAT · Dane'!$O:$O,"&lt;&gt;Fixed – please re-test",'UAT · Dane'!$O:$O,"&lt;&gt;Won’t change")+COUNTIFS('UAT · Dane'!$A:$A,10,'UAT · Dane'!$J:$J,"🔍 Couldn’t find it",'UAT · Dane'!$O:$O,"&lt;&gt;Fixed – please re-test",'UAT · Dane'!$O:$O,"&lt;&gt;Won’t change")</f>
        <v/>
      </c>
      <c r="I16" s="25">
        <f>COUNTIFS('UAT · Oliva'!$A:$A,10,'UAT · Oliva'!$J:$J,"&lt;&gt;")</f>
        <v/>
      </c>
      <c r="J16" s="25">
        <f>COUNTIFS('UAT · Oliva'!$A:$A,10,'UAT · Oliva'!$J:$J,"✅ Works")</f>
        <v/>
      </c>
      <c r="K16" s="25">
        <f>COUNTIFS('UAT · Oliva'!$A:$A,10,'UAT · Oliva'!$J:$J,"🟡 Works, but…")</f>
        <v/>
      </c>
      <c r="L16" s="25">
        <f>COUNTIFS('UAT · Oliva'!$A:$A,10,'UAT · Oliva'!$J:$J,"❌ Doesn’t work")</f>
        <v/>
      </c>
      <c r="M16" s="25">
        <f>COUNTIFS('UAT · Oliva'!$A:$A,10,'UAT · Oliva'!$J:$J,"🔍 Couldn’t find it")</f>
        <v/>
      </c>
      <c r="N16" s="25">
        <f>COUNTIFS('UAT · Oliva'!$A:$A,10,'UAT · Oliva'!$J:$J,"❌ Doesn’t work",'UAT · Oliva'!$O:$O,"&lt;&gt;Fixed – please re-test",'UAT · Oliva'!$O:$O,"&lt;&gt;Won’t change")+COUNTIFS('UAT · Oliva'!$A:$A,10,'UAT · Oliva'!$J:$J,"🔍 Couldn’t find it",'UAT · Oliva'!$O:$O,"&lt;&gt;Fixed – please re-test",'UAT · Oliva'!$O:$O,"&lt;&gt;Won’t change")</f>
        <v/>
      </c>
      <c r="O16" s="25">
        <f>COUNTIFS('UAT · Swati'!$A:$A,10,'UAT · Swati'!$J:$J,"&lt;&gt;")</f>
        <v/>
      </c>
      <c r="P16" s="25">
        <f>COUNTIFS('UAT · Swati'!$A:$A,10,'UAT · Swati'!$J:$J,"✅ Works")</f>
        <v/>
      </c>
      <c r="Q16" s="25">
        <f>COUNTIFS('UAT · Swati'!$A:$A,10,'UAT · Swati'!$J:$J,"🟡 Works, but…")</f>
        <v/>
      </c>
      <c r="R16" s="25">
        <f>COUNTIFS('UAT · Swati'!$A:$A,10,'UAT · Swati'!$J:$J,"❌ Doesn’t work")</f>
        <v/>
      </c>
      <c r="S16" s="25">
        <f>COUNTIFS('UAT · Swati'!$A:$A,10,'UAT · Swati'!$J:$J,"🔍 Couldn’t find it")</f>
        <v/>
      </c>
      <c r="T16" s="25">
        <f>COUNTIFS('UAT · Swati'!$A:$A,10,'UAT · Swati'!$J:$J,"❌ Doesn’t work",'UAT · Swati'!$O:$O,"&lt;&gt;Fixed – please re-test",'UAT · Swati'!$O:$O,"&lt;&gt;Won’t change")+COUNTIFS('UAT · Swati'!$A:$A,10,'UAT · Swati'!$J:$J,"🔍 Couldn’t find it",'UAT · Swati'!$O:$O,"&lt;&gt;Fixed – please re-test",'UAT · Swati'!$O:$O,"&lt;&gt;Won’t change")</f>
        <v/>
      </c>
    </row>
    <row r="17">
      <c r="A17" s="24" t="inlineStr">
        <is>
          <t>11 · The owner’s week</t>
        </is>
      </c>
      <c r="B17" s="24">
        <f>COUNTIF('UAT · Dane'!$A:$A,11)</f>
        <v/>
      </c>
      <c r="C17" s="25">
        <f>COUNTIFS('UAT · Dane'!$A:$A,11,'UAT · Dane'!$J:$J,"&lt;&gt;")</f>
        <v/>
      </c>
      <c r="D17" s="25">
        <f>COUNTIFS('UAT · Dane'!$A:$A,11,'UAT · Dane'!$J:$J,"✅ Works")</f>
        <v/>
      </c>
      <c r="E17" s="25">
        <f>COUNTIFS('UAT · Dane'!$A:$A,11,'UAT · Dane'!$J:$J,"🟡 Works, but…")</f>
        <v/>
      </c>
      <c r="F17" s="25">
        <f>COUNTIFS('UAT · Dane'!$A:$A,11,'UAT · Dane'!$J:$J,"❌ Doesn’t work")</f>
        <v/>
      </c>
      <c r="G17" s="25">
        <f>COUNTIFS('UAT · Dane'!$A:$A,11,'UAT · Dane'!$J:$J,"🔍 Couldn’t find it")</f>
        <v/>
      </c>
      <c r="H17" s="25">
        <f>COUNTIFS('UAT · Dane'!$A:$A,11,'UAT · Dane'!$J:$J,"❌ Doesn’t work",'UAT · Dane'!$O:$O,"&lt;&gt;Fixed – please re-test",'UAT · Dane'!$O:$O,"&lt;&gt;Won’t change")+COUNTIFS('UAT · Dane'!$A:$A,11,'UAT · Dane'!$J:$J,"🔍 Couldn’t find it",'UAT · Dane'!$O:$O,"&lt;&gt;Fixed – please re-test",'UAT · Dane'!$O:$O,"&lt;&gt;Won’t change")</f>
        <v/>
      </c>
      <c r="I17" s="25">
        <f>COUNTIFS('UAT · Oliva'!$A:$A,11,'UAT · Oliva'!$J:$J,"&lt;&gt;")</f>
        <v/>
      </c>
      <c r="J17" s="25">
        <f>COUNTIFS('UAT · Oliva'!$A:$A,11,'UAT · Oliva'!$J:$J,"✅ Works")</f>
        <v/>
      </c>
      <c r="K17" s="25">
        <f>COUNTIFS('UAT · Oliva'!$A:$A,11,'UAT · Oliva'!$J:$J,"🟡 Works, but…")</f>
        <v/>
      </c>
      <c r="L17" s="25">
        <f>COUNTIFS('UAT · Oliva'!$A:$A,11,'UAT · Oliva'!$J:$J,"❌ Doesn’t work")</f>
        <v/>
      </c>
      <c r="M17" s="25">
        <f>COUNTIFS('UAT · Oliva'!$A:$A,11,'UAT · Oliva'!$J:$J,"🔍 Couldn’t find it")</f>
        <v/>
      </c>
      <c r="N17" s="25">
        <f>COUNTIFS('UAT · Oliva'!$A:$A,11,'UAT · Oliva'!$J:$J,"❌ Doesn’t work",'UAT · Oliva'!$O:$O,"&lt;&gt;Fixed – please re-test",'UAT · Oliva'!$O:$O,"&lt;&gt;Won’t change")+COUNTIFS('UAT · Oliva'!$A:$A,11,'UAT · Oliva'!$J:$J,"🔍 Couldn’t find it",'UAT · Oliva'!$O:$O,"&lt;&gt;Fixed – please re-test",'UAT · Oliva'!$O:$O,"&lt;&gt;Won’t change")</f>
        <v/>
      </c>
      <c r="O17" s="25">
        <f>COUNTIFS('UAT · Swati'!$A:$A,11,'UAT · Swati'!$J:$J,"&lt;&gt;")</f>
        <v/>
      </c>
      <c r="P17" s="25">
        <f>COUNTIFS('UAT · Swati'!$A:$A,11,'UAT · Swati'!$J:$J,"✅ Works")</f>
        <v/>
      </c>
      <c r="Q17" s="25">
        <f>COUNTIFS('UAT · Swati'!$A:$A,11,'UAT · Swati'!$J:$J,"🟡 Works, but…")</f>
        <v/>
      </c>
      <c r="R17" s="25">
        <f>COUNTIFS('UAT · Swati'!$A:$A,11,'UAT · Swati'!$J:$J,"❌ Doesn’t work")</f>
        <v/>
      </c>
      <c r="S17" s="25">
        <f>COUNTIFS('UAT · Swati'!$A:$A,11,'UAT · Swati'!$J:$J,"🔍 Couldn’t find it")</f>
        <v/>
      </c>
      <c r="T17" s="25">
        <f>COUNTIFS('UAT · Swati'!$A:$A,11,'UAT · Swati'!$J:$J,"❌ Doesn’t work",'UAT · Swati'!$O:$O,"&lt;&gt;Fixed – please re-test",'UAT · Swati'!$O:$O,"&lt;&gt;Won’t change")+COUNTIFS('UAT · Swati'!$A:$A,11,'UAT · Swati'!$J:$J,"🔍 Couldn’t find it",'UAT · Swati'!$O:$O,"&lt;&gt;Fixed – please re-test",'UAT · Swati'!$O:$O,"&lt;&gt;Won’t change")</f>
        <v/>
      </c>
    </row>
    <row r="18">
      <c r="A18" s="24" t="inlineStr">
        <is>
          <t>12 · On your phone</t>
        </is>
      </c>
      <c r="B18" s="24">
        <f>COUNTIF('UAT · Dane'!$A:$A,12)</f>
        <v/>
      </c>
      <c r="C18" s="25">
        <f>COUNTIFS('UAT · Dane'!$A:$A,12,'UAT · Dane'!$J:$J,"&lt;&gt;")</f>
        <v/>
      </c>
      <c r="D18" s="25">
        <f>COUNTIFS('UAT · Dane'!$A:$A,12,'UAT · Dane'!$J:$J,"✅ Works")</f>
        <v/>
      </c>
      <c r="E18" s="25">
        <f>COUNTIFS('UAT · Dane'!$A:$A,12,'UAT · Dane'!$J:$J,"🟡 Works, but…")</f>
        <v/>
      </c>
      <c r="F18" s="25">
        <f>COUNTIFS('UAT · Dane'!$A:$A,12,'UAT · Dane'!$J:$J,"❌ Doesn’t work")</f>
        <v/>
      </c>
      <c r="G18" s="25">
        <f>COUNTIFS('UAT · Dane'!$A:$A,12,'UAT · Dane'!$J:$J,"🔍 Couldn’t find it")</f>
        <v/>
      </c>
      <c r="H18" s="25">
        <f>COUNTIFS('UAT · Dane'!$A:$A,12,'UAT · Dane'!$J:$J,"❌ Doesn’t work",'UAT · Dane'!$O:$O,"&lt;&gt;Fixed – please re-test",'UAT · Dane'!$O:$O,"&lt;&gt;Won’t change")+COUNTIFS('UAT · Dane'!$A:$A,12,'UAT · Dane'!$J:$J,"🔍 Couldn’t find it",'UAT · Dane'!$O:$O,"&lt;&gt;Fixed – please re-test",'UAT · Dane'!$O:$O,"&lt;&gt;Won’t change")</f>
        <v/>
      </c>
      <c r="I18" s="25">
        <f>COUNTIFS('UAT · Oliva'!$A:$A,12,'UAT · Oliva'!$J:$J,"&lt;&gt;")</f>
        <v/>
      </c>
      <c r="J18" s="25">
        <f>COUNTIFS('UAT · Oliva'!$A:$A,12,'UAT · Oliva'!$J:$J,"✅ Works")</f>
        <v/>
      </c>
      <c r="K18" s="25">
        <f>COUNTIFS('UAT · Oliva'!$A:$A,12,'UAT · Oliva'!$J:$J,"🟡 Works, but…")</f>
        <v/>
      </c>
      <c r="L18" s="25">
        <f>COUNTIFS('UAT · Oliva'!$A:$A,12,'UAT · Oliva'!$J:$J,"❌ Doesn’t work")</f>
        <v/>
      </c>
      <c r="M18" s="25">
        <f>COUNTIFS('UAT · Oliva'!$A:$A,12,'UAT · Oliva'!$J:$J,"🔍 Couldn’t find it")</f>
        <v/>
      </c>
      <c r="N18" s="25">
        <f>COUNTIFS('UAT · Oliva'!$A:$A,12,'UAT · Oliva'!$J:$J,"❌ Doesn’t work",'UAT · Oliva'!$O:$O,"&lt;&gt;Fixed – please re-test",'UAT · Oliva'!$O:$O,"&lt;&gt;Won’t change")+COUNTIFS('UAT · Oliva'!$A:$A,12,'UAT · Oliva'!$J:$J,"🔍 Couldn’t find it",'UAT · Oliva'!$O:$O,"&lt;&gt;Fixed – please re-test",'UAT · Oliva'!$O:$O,"&lt;&gt;Won’t change")</f>
        <v/>
      </c>
      <c r="O18" s="25">
        <f>COUNTIFS('UAT · Swati'!$A:$A,12,'UAT · Swati'!$J:$J,"&lt;&gt;")</f>
        <v/>
      </c>
      <c r="P18" s="25">
        <f>COUNTIFS('UAT · Swati'!$A:$A,12,'UAT · Swati'!$J:$J,"✅ Works")</f>
        <v/>
      </c>
      <c r="Q18" s="25">
        <f>COUNTIFS('UAT · Swati'!$A:$A,12,'UAT · Swati'!$J:$J,"🟡 Works, but…")</f>
        <v/>
      </c>
      <c r="R18" s="25">
        <f>COUNTIFS('UAT · Swati'!$A:$A,12,'UAT · Swati'!$J:$J,"❌ Doesn’t work")</f>
        <v/>
      </c>
      <c r="S18" s="25">
        <f>COUNTIFS('UAT · Swati'!$A:$A,12,'UAT · Swati'!$J:$J,"🔍 Couldn’t find it")</f>
        <v/>
      </c>
      <c r="T18" s="25">
        <f>COUNTIFS('UAT · Swati'!$A:$A,12,'UAT · Swati'!$J:$J,"❌ Doesn’t work",'UAT · Swati'!$O:$O,"&lt;&gt;Fixed – please re-test",'UAT · Swati'!$O:$O,"&lt;&gt;Won’t change")+COUNTIFS('UAT · Swati'!$A:$A,12,'UAT · Swati'!$J:$J,"🔍 Couldn’t find it",'UAT · Swati'!$O:$O,"&lt;&gt;Fixed – please re-test",'UAT · Swati'!$O:$O,"&lt;&gt;Won’t change")</f>
        <v/>
      </c>
    </row>
    <row r="19">
      <c r="A19" s="24" t="inlineStr">
        <is>
          <t>13 · Design her room</t>
        </is>
      </c>
      <c r="B19" s="24">
        <f>COUNTIF('UAT · Dane'!$A:$A,13)</f>
        <v/>
      </c>
      <c r="C19" s="25">
        <f>COUNTIFS('UAT · Dane'!$A:$A,13,'UAT · Dane'!$J:$J,"&lt;&gt;")</f>
        <v/>
      </c>
      <c r="D19" s="25">
        <f>COUNTIFS('UAT · Dane'!$A:$A,13,'UAT · Dane'!$J:$J,"✅ Works")</f>
        <v/>
      </c>
      <c r="E19" s="25">
        <f>COUNTIFS('UAT · Dane'!$A:$A,13,'UAT · Dane'!$J:$J,"🟡 Works, but…")</f>
        <v/>
      </c>
      <c r="F19" s="25">
        <f>COUNTIFS('UAT · Dane'!$A:$A,13,'UAT · Dane'!$J:$J,"❌ Doesn’t work")</f>
        <v/>
      </c>
      <c r="G19" s="25">
        <f>COUNTIFS('UAT · Dane'!$A:$A,13,'UAT · Dane'!$J:$J,"🔍 Couldn’t find it")</f>
        <v/>
      </c>
      <c r="H19" s="25">
        <f>COUNTIFS('UAT · Dane'!$A:$A,13,'UAT · Dane'!$J:$J,"❌ Doesn’t work",'UAT · Dane'!$O:$O,"&lt;&gt;Fixed – please re-test",'UAT · Dane'!$O:$O,"&lt;&gt;Won’t change")+COUNTIFS('UAT · Dane'!$A:$A,13,'UAT · Dane'!$J:$J,"🔍 Couldn’t find it",'UAT · Dane'!$O:$O,"&lt;&gt;Fixed – please re-test",'UAT · Dane'!$O:$O,"&lt;&gt;Won’t change")</f>
        <v/>
      </c>
      <c r="I19" s="25">
        <f>COUNTIFS('UAT · Oliva'!$A:$A,13,'UAT · Oliva'!$J:$J,"&lt;&gt;")</f>
        <v/>
      </c>
      <c r="J19" s="25">
        <f>COUNTIFS('UAT · Oliva'!$A:$A,13,'UAT · Oliva'!$J:$J,"✅ Works")</f>
        <v/>
      </c>
      <c r="K19" s="25">
        <f>COUNTIFS('UAT · Oliva'!$A:$A,13,'UAT · Oliva'!$J:$J,"🟡 Works, but…")</f>
        <v/>
      </c>
      <c r="L19" s="25">
        <f>COUNTIFS('UAT · Oliva'!$A:$A,13,'UAT · Oliva'!$J:$J,"❌ Doesn’t work")</f>
        <v/>
      </c>
      <c r="M19" s="25">
        <f>COUNTIFS('UAT · Oliva'!$A:$A,13,'UAT · Oliva'!$J:$J,"🔍 Couldn’t find it")</f>
        <v/>
      </c>
      <c r="N19" s="25">
        <f>COUNTIFS('UAT · Oliva'!$A:$A,13,'UAT · Oliva'!$J:$J,"❌ Doesn’t work",'UAT · Oliva'!$O:$O,"&lt;&gt;Fixed – please re-test",'UAT · Oliva'!$O:$O,"&lt;&gt;Won’t change")+COUNTIFS('UAT · Oliva'!$A:$A,13,'UAT · Oliva'!$J:$J,"🔍 Couldn’t find it",'UAT · Oliva'!$O:$O,"&lt;&gt;Fixed – please re-test",'UAT · Oliva'!$O:$O,"&lt;&gt;Won’t change")</f>
        <v/>
      </c>
      <c r="O19" s="25">
        <f>COUNTIFS('UAT · Swati'!$A:$A,13,'UAT · Swati'!$J:$J,"&lt;&gt;")</f>
        <v/>
      </c>
      <c r="P19" s="25">
        <f>COUNTIFS('UAT · Swati'!$A:$A,13,'UAT · Swati'!$J:$J,"✅ Works")</f>
        <v/>
      </c>
      <c r="Q19" s="25">
        <f>COUNTIFS('UAT · Swati'!$A:$A,13,'UAT · Swati'!$J:$J,"🟡 Works, but…")</f>
        <v/>
      </c>
      <c r="R19" s="25">
        <f>COUNTIFS('UAT · Swati'!$A:$A,13,'UAT · Swati'!$J:$J,"❌ Doesn’t work")</f>
        <v/>
      </c>
      <c r="S19" s="25">
        <f>COUNTIFS('UAT · Swati'!$A:$A,13,'UAT · Swati'!$J:$J,"🔍 Couldn’t find it")</f>
        <v/>
      </c>
      <c r="T19" s="25">
        <f>COUNTIFS('UAT · Swati'!$A:$A,13,'UAT · Swati'!$J:$J,"❌ Doesn’t work",'UAT · Swati'!$O:$O,"&lt;&gt;Fixed – please re-test",'UAT · Swati'!$O:$O,"&lt;&gt;Won’t change")+COUNTIFS('UAT · Swati'!$A:$A,13,'UAT · Swati'!$J:$J,"🔍 Couldn’t find it",'UAT · Swati'!$O:$O,"&lt;&gt;Fixed – please re-test",'UAT · Swati'!$O:$O,"&lt;&gt;Won’t change")</f>
        <v/>
      </c>
    </row>
    <row r="20">
      <c r="A20" s="24" t="inlineStr">
        <is>
          <t>14 · Plans and AI credits</t>
        </is>
      </c>
      <c r="B20" s="24">
        <f>COUNTIF('UAT · Dane'!$A:$A,14)</f>
        <v/>
      </c>
      <c r="C20" s="25">
        <f>COUNTIFS('UAT · Dane'!$A:$A,14,'UAT · Dane'!$J:$J,"&lt;&gt;")</f>
        <v/>
      </c>
      <c r="D20" s="25">
        <f>COUNTIFS('UAT · Dane'!$A:$A,14,'UAT · Dane'!$J:$J,"✅ Works")</f>
        <v/>
      </c>
      <c r="E20" s="25">
        <f>COUNTIFS('UAT · Dane'!$A:$A,14,'UAT · Dane'!$J:$J,"🟡 Works, but…")</f>
        <v/>
      </c>
      <c r="F20" s="25">
        <f>COUNTIFS('UAT · Dane'!$A:$A,14,'UAT · Dane'!$J:$J,"❌ Doesn’t work")</f>
        <v/>
      </c>
      <c r="G20" s="25">
        <f>COUNTIFS('UAT · Dane'!$A:$A,14,'UAT · Dane'!$J:$J,"🔍 Couldn’t find it")</f>
        <v/>
      </c>
      <c r="H20" s="25">
        <f>COUNTIFS('UAT · Dane'!$A:$A,14,'UAT · Dane'!$J:$J,"❌ Doesn’t work",'UAT · Dane'!$O:$O,"&lt;&gt;Fixed – please re-test",'UAT · Dane'!$O:$O,"&lt;&gt;Won’t change")+COUNTIFS('UAT · Dane'!$A:$A,14,'UAT · Dane'!$J:$J,"🔍 Couldn’t find it",'UAT · Dane'!$O:$O,"&lt;&gt;Fixed – please re-test",'UAT · Dane'!$O:$O,"&lt;&gt;Won’t change")</f>
        <v/>
      </c>
      <c r="I20" s="25">
        <f>COUNTIFS('UAT · Oliva'!$A:$A,14,'UAT · Oliva'!$J:$J,"&lt;&gt;")</f>
        <v/>
      </c>
      <c r="J20" s="25">
        <f>COUNTIFS('UAT · Oliva'!$A:$A,14,'UAT · Oliva'!$J:$J,"✅ Works")</f>
        <v/>
      </c>
      <c r="K20" s="25">
        <f>COUNTIFS('UAT · Oliva'!$A:$A,14,'UAT · Oliva'!$J:$J,"🟡 Works, but…")</f>
        <v/>
      </c>
      <c r="L20" s="25">
        <f>COUNTIFS('UAT · Oliva'!$A:$A,14,'UAT · Oliva'!$J:$J,"❌ Doesn’t work")</f>
        <v/>
      </c>
      <c r="M20" s="25">
        <f>COUNTIFS('UAT · Oliva'!$A:$A,14,'UAT · Oliva'!$J:$J,"🔍 Couldn’t find it")</f>
        <v/>
      </c>
      <c r="N20" s="25">
        <f>COUNTIFS('UAT · Oliva'!$A:$A,14,'UAT · Oliva'!$J:$J,"❌ Doesn’t work",'UAT · Oliva'!$O:$O,"&lt;&gt;Fixed – please re-test",'UAT · Oliva'!$O:$O,"&lt;&gt;Won’t change")+COUNTIFS('UAT · Oliva'!$A:$A,14,'UAT · Oliva'!$J:$J,"🔍 Couldn’t find it",'UAT · Oliva'!$O:$O,"&lt;&gt;Fixed – please re-test",'UAT · Oliva'!$O:$O,"&lt;&gt;Won’t change")</f>
        <v/>
      </c>
      <c r="O20" s="25">
        <f>COUNTIFS('UAT · Swati'!$A:$A,14,'UAT · Swati'!$J:$J,"&lt;&gt;")</f>
        <v/>
      </c>
      <c r="P20" s="25">
        <f>COUNTIFS('UAT · Swati'!$A:$A,14,'UAT · Swati'!$J:$J,"✅ Works")</f>
        <v/>
      </c>
      <c r="Q20" s="25">
        <f>COUNTIFS('UAT · Swati'!$A:$A,14,'UAT · Swati'!$J:$J,"🟡 Works, but…")</f>
        <v/>
      </c>
      <c r="R20" s="25">
        <f>COUNTIFS('UAT · Swati'!$A:$A,14,'UAT · Swati'!$J:$J,"❌ Doesn’t work")</f>
        <v/>
      </c>
      <c r="S20" s="25">
        <f>COUNTIFS('UAT · Swati'!$A:$A,14,'UAT · Swati'!$J:$J,"🔍 Couldn’t find it")</f>
        <v/>
      </c>
      <c r="T20" s="25">
        <f>COUNTIFS('UAT · Swati'!$A:$A,14,'UAT · Swati'!$J:$J,"❌ Doesn’t work",'UAT · Swati'!$O:$O,"&lt;&gt;Fixed – please re-test",'UAT · Swati'!$O:$O,"&lt;&gt;Won’t change")+COUNTIFS('UAT · Swati'!$A:$A,14,'UAT · Swati'!$J:$J,"🔍 Couldn’t find it",'UAT · Swati'!$O:$O,"&lt;&gt;Fixed – please re-test",'UAT · Swati'!$O:$O,"&lt;&gt;Won’t change")</f>
        <v/>
      </c>
    </row>
    <row r="21">
      <c r="A21" s="24" t="inlineStr">
        <is>
          <t>15 · Find anything</t>
        </is>
      </c>
      <c r="B21" s="24">
        <f>COUNTIF('UAT · Dane'!$A:$A,15)</f>
        <v/>
      </c>
      <c r="C21" s="25">
        <f>COUNTIFS('UAT · Dane'!$A:$A,15,'UAT · Dane'!$J:$J,"&lt;&gt;")</f>
        <v/>
      </c>
      <c r="D21" s="25">
        <f>COUNTIFS('UAT · Dane'!$A:$A,15,'UAT · Dane'!$J:$J,"✅ Works")</f>
        <v/>
      </c>
      <c r="E21" s="25">
        <f>COUNTIFS('UAT · Dane'!$A:$A,15,'UAT · Dane'!$J:$J,"🟡 Works, but…")</f>
        <v/>
      </c>
      <c r="F21" s="25">
        <f>COUNTIFS('UAT · Dane'!$A:$A,15,'UAT · Dane'!$J:$J,"❌ Doesn’t work")</f>
        <v/>
      </c>
      <c r="G21" s="25">
        <f>COUNTIFS('UAT · Dane'!$A:$A,15,'UAT · Dane'!$J:$J,"🔍 Couldn’t find it")</f>
        <v/>
      </c>
      <c r="H21" s="25">
        <f>COUNTIFS('UAT · Dane'!$A:$A,15,'UAT · Dane'!$J:$J,"❌ Doesn’t work",'UAT · Dane'!$O:$O,"&lt;&gt;Fixed – please re-test",'UAT · Dane'!$O:$O,"&lt;&gt;Won’t change")+COUNTIFS('UAT · Dane'!$A:$A,15,'UAT · Dane'!$J:$J,"🔍 Couldn’t find it",'UAT · Dane'!$O:$O,"&lt;&gt;Fixed – please re-test",'UAT · Dane'!$O:$O,"&lt;&gt;Won’t change")</f>
        <v/>
      </c>
      <c r="I21" s="25">
        <f>COUNTIFS('UAT · Oliva'!$A:$A,15,'UAT · Oliva'!$J:$J,"&lt;&gt;")</f>
        <v/>
      </c>
      <c r="J21" s="25">
        <f>COUNTIFS('UAT · Oliva'!$A:$A,15,'UAT · Oliva'!$J:$J,"✅ Works")</f>
        <v/>
      </c>
      <c r="K21" s="25">
        <f>COUNTIFS('UAT · Oliva'!$A:$A,15,'UAT · Oliva'!$J:$J,"🟡 Works, but…")</f>
        <v/>
      </c>
      <c r="L21" s="25">
        <f>COUNTIFS('UAT · Oliva'!$A:$A,15,'UAT · Oliva'!$J:$J,"❌ Doesn’t work")</f>
        <v/>
      </c>
      <c r="M21" s="25">
        <f>COUNTIFS('UAT · Oliva'!$A:$A,15,'UAT · Oliva'!$J:$J,"🔍 Couldn’t find it")</f>
        <v/>
      </c>
      <c r="N21" s="25">
        <f>COUNTIFS('UAT · Oliva'!$A:$A,15,'UAT · Oliva'!$J:$J,"❌ Doesn’t work",'UAT · Oliva'!$O:$O,"&lt;&gt;Fixed – please re-test",'UAT · Oliva'!$O:$O,"&lt;&gt;Won’t change")+COUNTIFS('UAT · Oliva'!$A:$A,15,'UAT · Oliva'!$J:$J,"🔍 Couldn’t find it",'UAT · Oliva'!$O:$O,"&lt;&gt;Fixed – please re-test",'UAT · Oliva'!$O:$O,"&lt;&gt;Won’t change")</f>
        <v/>
      </c>
      <c r="O21" s="25">
        <f>COUNTIFS('UAT · Swati'!$A:$A,15,'UAT · Swati'!$J:$J,"&lt;&gt;")</f>
        <v/>
      </c>
      <c r="P21" s="25">
        <f>COUNTIFS('UAT · Swati'!$A:$A,15,'UAT · Swati'!$J:$J,"✅ Works")</f>
        <v/>
      </c>
      <c r="Q21" s="25">
        <f>COUNTIFS('UAT · Swati'!$A:$A,15,'UAT · Swati'!$J:$J,"🟡 Works, but…")</f>
        <v/>
      </c>
      <c r="R21" s="25">
        <f>COUNTIFS('UAT · Swati'!$A:$A,15,'UAT · Swati'!$J:$J,"❌ Doesn’t work")</f>
        <v/>
      </c>
      <c r="S21" s="25">
        <f>COUNTIFS('UAT · Swati'!$A:$A,15,'UAT · Swati'!$J:$J,"🔍 Couldn’t find it")</f>
        <v/>
      </c>
      <c r="T21" s="25">
        <f>COUNTIFS('UAT · Swati'!$A:$A,15,'UAT · Swati'!$J:$J,"❌ Doesn’t work",'UAT · Swati'!$O:$O,"&lt;&gt;Fixed – please re-test",'UAT · Swati'!$O:$O,"&lt;&gt;Won’t change")+COUNTIFS('UAT · Swati'!$A:$A,15,'UAT · Swati'!$J:$J,"🔍 Couldn’t find it",'UAT · Swati'!$O:$O,"&lt;&gt;Fixed – please re-test",'UAT · Swati'!$O:$O,"&lt;&gt;Won’t change")</f>
        <v/>
      </c>
    </row>
    <row r="22">
      <c r="A22" s="24" t="inlineStr">
        <is>
          <t>16 · Keys</t>
        </is>
      </c>
      <c r="B22" s="24">
        <f>COUNTIF('UAT · Dane'!$A:$A,16)</f>
        <v/>
      </c>
      <c r="C22" s="25">
        <f>COUNTIFS('UAT · Dane'!$A:$A,16,'UAT · Dane'!$J:$J,"&lt;&gt;")</f>
        <v/>
      </c>
      <c r="D22" s="25">
        <f>COUNTIFS('UAT · Dane'!$A:$A,16,'UAT · Dane'!$J:$J,"✅ Works")</f>
        <v/>
      </c>
      <c r="E22" s="25">
        <f>COUNTIFS('UAT · Dane'!$A:$A,16,'UAT · Dane'!$J:$J,"🟡 Works, but…")</f>
        <v/>
      </c>
      <c r="F22" s="25">
        <f>COUNTIFS('UAT · Dane'!$A:$A,16,'UAT · Dane'!$J:$J,"❌ Doesn’t work")</f>
        <v/>
      </c>
      <c r="G22" s="25">
        <f>COUNTIFS('UAT · Dane'!$A:$A,16,'UAT · Dane'!$J:$J,"🔍 Couldn’t find it")</f>
        <v/>
      </c>
      <c r="H22" s="25">
        <f>COUNTIFS('UAT · Dane'!$A:$A,16,'UAT · Dane'!$J:$J,"❌ Doesn’t work",'UAT · Dane'!$O:$O,"&lt;&gt;Fixed – please re-test",'UAT · Dane'!$O:$O,"&lt;&gt;Won’t change")+COUNTIFS('UAT · Dane'!$A:$A,16,'UAT · Dane'!$J:$J,"🔍 Couldn’t find it",'UAT · Dane'!$O:$O,"&lt;&gt;Fixed – please re-test",'UAT · Dane'!$O:$O,"&lt;&gt;Won’t change")</f>
        <v/>
      </c>
      <c r="I22" s="25">
        <f>COUNTIFS('UAT · Oliva'!$A:$A,16,'UAT · Oliva'!$J:$J,"&lt;&gt;")</f>
        <v/>
      </c>
      <c r="J22" s="25">
        <f>COUNTIFS('UAT · Oliva'!$A:$A,16,'UAT · Oliva'!$J:$J,"✅ Works")</f>
        <v/>
      </c>
      <c r="K22" s="25">
        <f>COUNTIFS('UAT · Oliva'!$A:$A,16,'UAT · Oliva'!$J:$J,"🟡 Works, but…")</f>
        <v/>
      </c>
      <c r="L22" s="25">
        <f>COUNTIFS('UAT · Oliva'!$A:$A,16,'UAT · Oliva'!$J:$J,"❌ Doesn’t work")</f>
        <v/>
      </c>
      <c r="M22" s="25">
        <f>COUNTIFS('UAT · Oliva'!$A:$A,16,'UAT · Oliva'!$J:$J,"🔍 Couldn’t find it")</f>
        <v/>
      </c>
      <c r="N22" s="25">
        <f>COUNTIFS('UAT · Oliva'!$A:$A,16,'UAT · Oliva'!$J:$J,"❌ Doesn’t work",'UAT · Oliva'!$O:$O,"&lt;&gt;Fixed – please re-test",'UAT · Oliva'!$O:$O,"&lt;&gt;Won’t change")+COUNTIFS('UAT · Oliva'!$A:$A,16,'UAT · Oliva'!$J:$J,"🔍 Couldn’t find it",'UAT · Oliva'!$O:$O,"&lt;&gt;Fixed – please re-test",'UAT · Oliva'!$O:$O,"&lt;&gt;Won’t change")</f>
        <v/>
      </c>
      <c r="O22" s="25">
        <f>COUNTIFS('UAT · Swati'!$A:$A,16,'UAT · Swati'!$J:$J,"&lt;&gt;")</f>
        <v/>
      </c>
      <c r="P22" s="25">
        <f>COUNTIFS('UAT · Swati'!$A:$A,16,'UAT · Swati'!$J:$J,"✅ Works")</f>
        <v/>
      </c>
      <c r="Q22" s="25">
        <f>COUNTIFS('UAT · Swati'!$A:$A,16,'UAT · Swati'!$J:$J,"🟡 Works, but…")</f>
        <v/>
      </c>
      <c r="R22" s="25">
        <f>COUNTIFS('UAT · Swati'!$A:$A,16,'UAT · Swati'!$J:$J,"❌ Doesn’t work")</f>
        <v/>
      </c>
      <c r="S22" s="25">
        <f>COUNTIFS('UAT · Swati'!$A:$A,16,'UAT · Swati'!$J:$J,"🔍 Couldn’t find it")</f>
        <v/>
      </c>
      <c r="T22" s="25">
        <f>COUNTIFS('UAT · Swati'!$A:$A,16,'UAT · Swati'!$J:$J,"❌ Doesn’t work",'UAT · Swati'!$O:$O,"&lt;&gt;Fixed – please re-test",'UAT · Swati'!$O:$O,"&lt;&gt;Won’t change")+COUNTIFS('UAT · Swati'!$A:$A,16,'UAT · Swati'!$J:$J,"🔍 Couldn’t find it",'UAT · Swati'!$O:$O,"&lt;&gt;Fixed – please re-test",'UAT · Swati'!$O:$O,"&lt;&gt;Won’t change")</f>
        <v/>
      </c>
    </row>
    <row r="23">
      <c r="A23" s="24" t="inlineStr">
        <is>
          <t>17 · Won becomes a project</t>
        </is>
      </c>
      <c r="B23" s="24">
        <f>COUNTIF('UAT · Dane'!$A:$A,17)</f>
        <v/>
      </c>
      <c r="C23" s="25">
        <f>COUNTIFS('UAT · Dane'!$A:$A,17,'UAT · Dane'!$J:$J,"&lt;&gt;")</f>
        <v/>
      </c>
      <c r="D23" s="25">
        <f>COUNTIFS('UAT · Dane'!$A:$A,17,'UAT · Dane'!$J:$J,"✅ Works")</f>
        <v/>
      </c>
      <c r="E23" s="25">
        <f>COUNTIFS('UAT · Dane'!$A:$A,17,'UAT · Dane'!$J:$J,"🟡 Works, but…")</f>
        <v/>
      </c>
      <c r="F23" s="25">
        <f>COUNTIFS('UAT · Dane'!$A:$A,17,'UAT · Dane'!$J:$J,"❌ Doesn’t work")</f>
        <v/>
      </c>
      <c r="G23" s="25">
        <f>COUNTIFS('UAT · Dane'!$A:$A,17,'UAT · Dane'!$J:$J,"🔍 Couldn’t find it")</f>
        <v/>
      </c>
      <c r="H23" s="25">
        <f>COUNTIFS('UAT · Dane'!$A:$A,17,'UAT · Dane'!$J:$J,"❌ Doesn’t work",'UAT · Dane'!$O:$O,"&lt;&gt;Fixed – please re-test",'UAT · Dane'!$O:$O,"&lt;&gt;Won’t change")+COUNTIFS('UAT · Dane'!$A:$A,17,'UAT · Dane'!$J:$J,"🔍 Couldn’t find it",'UAT · Dane'!$O:$O,"&lt;&gt;Fixed – please re-test",'UAT · Dane'!$O:$O,"&lt;&gt;Won’t change")</f>
        <v/>
      </c>
      <c r="I23" s="25">
        <f>COUNTIFS('UAT · Oliva'!$A:$A,17,'UAT · Oliva'!$J:$J,"&lt;&gt;")</f>
        <v/>
      </c>
      <c r="J23" s="25">
        <f>COUNTIFS('UAT · Oliva'!$A:$A,17,'UAT · Oliva'!$J:$J,"✅ Works")</f>
        <v/>
      </c>
      <c r="K23" s="25">
        <f>COUNTIFS('UAT · Oliva'!$A:$A,17,'UAT · Oliva'!$J:$J,"🟡 Works, but…")</f>
        <v/>
      </c>
      <c r="L23" s="25">
        <f>COUNTIFS('UAT · Oliva'!$A:$A,17,'UAT · Oliva'!$J:$J,"❌ Doesn’t work")</f>
        <v/>
      </c>
      <c r="M23" s="25">
        <f>COUNTIFS('UAT · Oliva'!$A:$A,17,'UAT · Oliva'!$J:$J,"🔍 Couldn’t find it")</f>
        <v/>
      </c>
      <c r="N23" s="25">
        <f>COUNTIFS('UAT · Oliva'!$A:$A,17,'UAT · Oliva'!$J:$J,"❌ Doesn’t work",'UAT · Oliva'!$O:$O,"&lt;&gt;Fixed – please re-test",'UAT · Oliva'!$O:$O,"&lt;&gt;Won’t change")+COUNTIFS('UAT · Oliva'!$A:$A,17,'UAT · Oliva'!$J:$J,"🔍 Couldn’t find it",'UAT · Oliva'!$O:$O,"&lt;&gt;Fixed – please re-test",'UAT · Oliva'!$O:$O,"&lt;&gt;Won’t change")</f>
        <v/>
      </c>
      <c r="O23" s="25">
        <f>COUNTIFS('UAT · Swati'!$A:$A,17,'UAT · Swati'!$J:$J,"&lt;&gt;")</f>
        <v/>
      </c>
      <c r="P23" s="25">
        <f>COUNTIFS('UAT · Swati'!$A:$A,17,'UAT · Swati'!$J:$J,"✅ Works")</f>
        <v/>
      </c>
      <c r="Q23" s="25">
        <f>COUNTIFS('UAT · Swati'!$A:$A,17,'UAT · Swati'!$J:$J,"🟡 Works, but…")</f>
        <v/>
      </c>
      <c r="R23" s="25">
        <f>COUNTIFS('UAT · Swati'!$A:$A,17,'UAT · Swati'!$J:$J,"❌ Doesn’t work")</f>
        <v/>
      </c>
      <c r="S23" s="25">
        <f>COUNTIFS('UAT · Swati'!$A:$A,17,'UAT · Swati'!$J:$J,"🔍 Couldn’t find it")</f>
        <v/>
      </c>
      <c r="T23" s="25">
        <f>COUNTIFS('UAT · Swati'!$A:$A,17,'UAT · Swati'!$J:$J,"❌ Doesn’t work",'UAT · Swati'!$O:$O,"&lt;&gt;Fixed – please re-test",'UAT · Swati'!$O:$O,"&lt;&gt;Won’t change")+COUNTIFS('UAT · Swati'!$A:$A,17,'UAT · Swati'!$J:$J,"🔍 Couldn’t find it",'UAT · Swati'!$O:$O,"&lt;&gt;Fixed – please re-test",'UAT · Swati'!$O:$O,"&lt;&gt;Won’t change")</f>
        <v/>
      </c>
    </row>
    <row r="24">
      <c r="A24" s="24" t="inlineStr">
        <is>
          <t>18 · The schedule</t>
        </is>
      </c>
      <c r="B24" s="24">
        <f>COUNTIF('UAT · Dane'!$A:$A,18)</f>
        <v/>
      </c>
      <c r="C24" s="25">
        <f>COUNTIFS('UAT · Dane'!$A:$A,18,'UAT · Dane'!$J:$J,"&lt;&gt;")</f>
        <v/>
      </c>
      <c r="D24" s="25">
        <f>COUNTIFS('UAT · Dane'!$A:$A,18,'UAT · Dane'!$J:$J,"✅ Works")</f>
        <v/>
      </c>
      <c r="E24" s="25">
        <f>COUNTIFS('UAT · Dane'!$A:$A,18,'UAT · Dane'!$J:$J,"🟡 Works, but…")</f>
        <v/>
      </c>
      <c r="F24" s="25">
        <f>COUNTIFS('UAT · Dane'!$A:$A,18,'UAT · Dane'!$J:$J,"❌ Doesn’t work")</f>
        <v/>
      </c>
      <c r="G24" s="25">
        <f>COUNTIFS('UAT · Dane'!$A:$A,18,'UAT · Dane'!$J:$J,"🔍 Couldn’t find it")</f>
        <v/>
      </c>
      <c r="H24" s="25">
        <f>COUNTIFS('UAT · Dane'!$A:$A,18,'UAT · Dane'!$J:$J,"❌ Doesn’t work",'UAT · Dane'!$O:$O,"&lt;&gt;Fixed – please re-test",'UAT · Dane'!$O:$O,"&lt;&gt;Won’t change")+COUNTIFS('UAT · Dane'!$A:$A,18,'UAT · Dane'!$J:$J,"🔍 Couldn’t find it",'UAT · Dane'!$O:$O,"&lt;&gt;Fixed – please re-test",'UAT · Dane'!$O:$O,"&lt;&gt;Won’t change")</f>
        <v/>
      </c>
      <c r="I24" s="25">
        <f>COUNTIFS('UAT · Oliva'!$A:$A,18,'UAT · Oliva'!$J:$J,"&lt;&gt;")</f>
        <v/>
      </c>
      <c r="J24" s="25">
        <f>COUNTIFS('UAT · Oliva'!$A:$A,18,'UAT · Oliva'!$J:$J,"✅ Works")</f>
        <v/>
      </c>
      <c r="K24" s="25">
        <f>COUNTIFS('UAT · Oliva'!$A:$A,18,'UAT · Oliva'!$J:$J,"🟡 Works, but…")</f>
        <v/>
      </c>
      <c r="L24" s="25">
        <f>COUNTIFS('UAT · Oliva'!$A:$A,18,'UAT · Oliva'!$J:$J,"❌ Doesn’t work")</f>
        <v/>
      </c>
      <c r="M24" s="25">
        <f>COUNTIFS('UAT · Oliva'!$A:$A,18,'UAT · Oliva'!$J:$J,"🔍 Couldn’t find it")</f>
        <v/>
      </c>
      <c r="N24" s="25">
        <f>COUNTIFS('UAT · Oliva'!$A:$A,18,'UAT · Oliva'!$J:$J,"❌ Doesn’t work",'UAT · Oliva'!$O:$O,"&lt;&gt;Fixed – please re-test",'UAT · Oliva'!$O:$O,"&lt;&gt;Won’t change")+COUNTIFS('UAT · Oliva'!$A:$A,18,'UAT · Oliva'!$J:$J,"🔍 Couldn’t find it",'UAT · Oliva'!$O:$O,"&lt;&gt;Fixed – please re-test",'UAT · Oliva'!$O:$O,"&lt;&gt;Won’t change")</f>
        <v/>
      </c>
      <c r="O24" s="25">
        <f>COUNTIFS('UAT · Swati'!$A:$A,18,'UAT · Swati'!$J:$J,"&lt;&gt;")</f>
        <v/>
      </c>
      <c r="P24" s="25">
        <f>COUNTIFS('UAT · Swati'!$A:$A,18,'UAT · Swati'!$J:$J,"✅ Works")</f>
        <v/>
      </c>
      <c r="Q24" s="25">
        <f>COUNTIFS('UAT · Swati'!$A:$A,18,'UAT · Swati'!$J:$J,"🟡 Works, but…")</f>
        <v/>
      </c>
      <c r="R24" s="25">
        <f>COUNTIFS('UAT · Swati'!$A:$A,18,'UAT · Swati'!$J:$J,"❌ Doesn’t work")</f>
        <v/>
      </c>
      <c r="S24" s="25">
        <f>COUNTIFS('UAT · Swati'!$A:$A,18,'UAT · Swati'!$J:$J,"🔍 Couldn’t find it")</f>
        <v/>
      </c>
      <c r="T24" s="25">
        <f>COUNTIFS('UAT · Swati'!$A:$A,18,'UAT · Swati'!$J:$J,"❌ Doesn’t work",'UAT · Swati'!$O:$O,"&lt;&gt;Fixed – please re-test",'UAT · Swati'!$O:$O,"&lt;&gt;Won’t change")+COUNTIFS('UAT · Swati'!$A:$A,18,'UAT · Swati'!$J:$J,"🔍 Couldn’t find it",'UAT · Swati'!$O:$O,"&lt;&gt;Fixed – please re-test",'UAT · Swati'!$O:$O,"&lt;&gt;Won’t change")</f>
        <v/>
      </c>
    </row>
    <row r="25">
      <c r="A25" s="24" t="inlineStr">
        <is>
          <t>19 · Updates and the client portal</t>
        </is>
      </c>
      <c r="B25" s="24">
        <f>COUNTIF('UAT · Dane'!$A:$A,19)</f>
        <v/>
      </c>
      <c r="C25" s="25">
        <f>COUNTIFS('UAT · Dane'!$A:$A,19,'UAT · Dane'!$J:$J,"&lt;&gt;")</f>
        <v/>
      </c>
      <c r="D25" s="25">
        <f>COUNTIFS('UAT · Dane'!$A:$A,19,'UAT · Dane'!$J:$J,"✅ Works")</f>
        <v/>
      </c>
      <c r="E25" s="25">
        <f>COUNTIFS('UAT · Dane'!$A:$A,19,'UAT · Dane'!$J:$J,"🟡 Works, but…")</f>
        <v/>
      </c>
      <c r="F25" s="25">
        <f>COUNTIFS('UAT · Dane'!$A:$A,19,'UAT · Dane'!$J:$J,"❌ Doesn’t work")</f>
        <v/>
      </c>
      <c r="G25" s="25">
        <f>COUNTIFS('UAT · Dane'!$A:$A,19,'UAT · Dane'!$J:$J,"🔍 Couldn’t find it")</f>
        <v/>
      </c>
      <c r="H25" s="25">
        <f>COUNTIFS('UAT · Dane'!$A:$A,19,'UAT · Dane'!$J:$J,"❌ Doesn’t work",'UAT · Dane'!$O:$O,"&lt;&gt;Fixed – please re-test",'UAT · Dane'!$O:$O,"&lt;&gt;Won’t change")+COUNTIFS('UAT · Dane'!$A:$A,19,'UAT · Dane'!$J:$J,"🔍 Couldn’t find it",'UAT · Dane'!$O:$O,"&lt;&gt;Fixed – please re-test",'UAT · Dane'!$O:$O,"&lt;&gt;Won’t change")</f>
        <v/>
      </c>
      <c r="I25" s="25">
        <f>COUNTIFS('UAT · Oliva'!$A:$A,19,'UAT · Oliva'!$J:$J,"&lt;&gt;")</f>
        <v/>
      </c>
      <c r="J25" s="25">
        <f>COUNTIFS('UAT · Oliva'!$A:$A,19,'UAT · Oliva'!$J:$J,"✅ Works")</f>
        <v/>
      </c>
      <c r="K25" s="25">
        <f>COUNTIFS('UAT · Oliva'!$A:$A,19,'UAT · Oliva'!$J:$J,"🟡 Works, but…")</f>
        <v/>
      </c>
      <c r="L25" s="25">
        <f>COUNTIFS('UAT · Oliva'!$A:$A,19,'UAT · Oliva'!$J:$J,"❌ Doesn’t work")</f>
        <v/>
      </c>
      <c r="M25" s="25">
        <f>COUNTIFS('UAT · Oliva'!$A:$A,19,'UAT · Oliva'!$J:$J,"🔍 Couldn’t find it")</f>
        <v/>
      </c>
      <c r="N25" s="25">
        <f>COUNTIFS('UAT · Oliva'!$A:$A,19,'UAT · Oliva'!$J:$J,"❌ Doesn’t work",'UAT · Oliva'!$O:$O,"&lt;&gt;Fixed – please re-test",'UAT · Oliva'!$O:$O,"&lt;&gt;Won’t change")+COUNTIFS('UAT · Oliva'!$A:$A,19,'UAT · Oliva'!$J:$J,"🔍 Couldn’t find it",'UAT · Oliva'!$O:$O,"&lt;&gt;Fixed – please re-test",'UAT · Oliva'!$O:$O,"&lt;&gt;Won’t change")</f>
        <v/>
      </c>
      <c r="O25" s="25">
        <f>COUNTIFS('UAT · Swati'!$A:$A,19,'UAT · Swati'!$J:$J,"&lt;&gt;")</f>
        <v/>
      </c>
      <c r="P25" s="25">
        <f>COUNTIFS('UAT · Swati'!$A:$A,19,'UAT · Swati'!$J:$J,"✅ Works")</f>
        <v/>
      </c>
      <c r="Q25" s="25">
        <f>COUNTIFS('UAT · Swati'!$A:$A,19,'UAT · Swati'!$J:$J,"🟡 Works, but…")</f>
        <v/>
      </c>
      <c r="R25" s="25">
        <f>COUNTIFS('UAT · Swati'!$A:$A,19,'UAT · Swati'!$J:$J,"❌ Doesn’t work")</f>
        <v/>
      </c>
      <c r="S25" s="25">
        <f>COUNTIFS('UAT · Swati'!$A:$A,19,'UAT · Swati'!$J:$J,"🔍 Couldn’t find it")</f>
        <v/>
      </c>
      <c r="T25" s="25">
        <f>COUNTIFS('UAT · Swati'!$A:$A,19,'UAT · Swati'!$J:$J,"❌ Doesn’t work",'UAT · Swati'!$O:$O,"&lt;&gt;Fixed – please re-test",'UAT · Swati'!$O:$O,"&lt;&gt;Won’t change")+COUNTIFS('UAT · Swati'!$A:$A,19,'UAT · Swati'!$J:$J,"🔍 Couldn’t find it",'UAT · Swati'!$O:$O,"&lt;&gt;Fixed – please re-test",'UAT · Swati'!$O:$O,"&lt;&gt;Won’t change")</f>
        <v/>
      </c>
    </row>
    <row r="26">
      <c r="A26" s="24" t="inlineStr">
        <is>
          <t>20 · Money in</t>
        </is>
      </c>
      <c r="B26" s="24">
        <f>COUNTIF('UAT · Dane'!$A:$A,20)</f>
        <v/>
      </c>
      <c r="C26" s="25">
        <f>COUNTIFS('UAT · Dane'!$A:$A,20,'UAT · Dane'!$J:$J,"&lt;&gt;")</f>
        <v/>
      </c>
      <c r="D26" s="25">
        <f>COUNTIFS('UAT · Dane'!$A:$A,20,'UAT · Dane'!$J:$J,"✅ Works")</f>
        <v/>
      </c>
      <c r="E26" s="25">
        <f>COUNTIFS('UAT · Dane'!$A:$A,20,'UAT · Dane'!$J:$J,"🟡 Works, but…")</f>
        <v/>
      </c>
      <c r="F26" s="25">
        <f>COUNTIFS('UAT · Dane'!$A:$A,20,'UAT · Dane'!$J:$J,"❌ Doesn’t work")</f>
        <v/>
      </c>
      <c r="G26" s="25">
        <f>COUNTIFS('UAT · Dane'!$A:$A,20,'UAT · Dane'!$J:$J,"🔍 Couldn’t find it")</f>
        <v/>
      </c>
      <c r="H26" s="25">
        <f>COUNTIFS('UAT · Dane'!$A:$A,20,'UAT · Dane'!$J:$J,"❌ Doesn’t work",'UAT · Dane'!$O:$O,"&lt;&gt;Fixed – please re-test",'UAT · Dane'!$O:$O,"&lt;&gt;Won’t change")+COUNTIFS('UAT · Dane'!$A:$A,20,'UAT · Dane'!$J:$J,"🔍 Couldn’t find it",'UAT · Dane'!$O:$O,"&lt;&gt;Fixed – please re-test",'UAT · Dane'!$O:$O,"&lt;&gt;Won’t change")</f>
        <v/>
      </c>
      <c r="I26" s="25">
        <f>COUNTIFS('UAT · Oliva'!$A:$A,20,'UAT · Oliva'!$J:$J,"&lt;&gt;")</f>
        <v/>
      </c>
      <c r="J26" s="25">
        <f>COUNTIFS('UAT · Oliva'!$A:$A,20,'UAT · Oliva'!$J:$J,"✅ Works")</f>
        <v/>
      </c>
      <c r="K26" s="25">
        <f>COUNTIFS('UAT · Oliva'!$A:$A,20,'UAT · Oliva'!$J:$J,"🟡 Works, but…")</f>
        <v/>
      </c>
      <c r="L26" s="25">
        <f>COUNTIFS('UAT · Oliva'!$A:$A,20,'UAT · Oliva'!$J:$J,"❌ Doesn’t work")</f>
        <v/>
      </c>
      <c r="M26" s="25">
        <f>COUNTIFS('UAT · Oliva'!$A:$A,20,'UAT · Oliva'!$J:$J,"🔍 Couldn’t find it")</f>
        <v/>
      </c>
      <c r="N26" s="25">
        <f>COUNTIFS('UAT · Oliva'!$A:$A,20,'UAT · Oliva'!$J:$J,"❌ Doesn’t work",'UAT · Oliva'!$O:$O,"&lt;&gt;Fixed – please re-test",'UAT · Oliva'!$O:$O,"&lt;&gt;Won’t change")+COUNTIFS('UAT · Oliva'!$A:$A,20,'UAT · Oliva'!$J:$J,"🔍 Couldn’t find it",'UAT · Oliva'!$O:$O,"&lt;&gt;Fixed – please re-test",'UAT · Oliva'!$O:$O,"&lt;&gt;Won’t change")</f>
        <v/>
      </c>
      <c r="O26" s="25">
        <f>COUNTIFS('UAT · Swati'!$A:$A,20,'UAT · Swati'!$J:$J,"&lt;&gt;")</f>
        <v/>
      </c>
      <c r="P26" s="25">
        <f>COUNTIFS('UAT · Swati'!$A:$A,20,'UAT · Swati'!$J:$J,"✅ Works")</f>
        <v/>
      </c>
      <c r="Q26" s="25">
        <f>COUNTIFS('UAT · Swati'!$A:$A,20,'UAT · Swati'!$J:$J,"🟡 Works, but…")</f>
        <v/>
      </c>
      <c r="R26" s="25">
        <f>COUNTIFS('UAT · Swati'!$A:$A,20,'UAT · Swati'!$J:$J,"❌ Doesn’t work")</f>
        <v/>
      </c>
      <c r="S26" s="25">
        <f>COUNTIFS('UAT · Swati'!$A:$A,20,'UAT · Swati'!$J:$J,"🔍 Couldn’t find it")</f>
        <v/>
      </c>
      <c r="T26" s="25">
        <f>COUNTIFS('UAT · Swati'!$A:$A,20,'UAT · Swati'!$J:$J,"❌ Doesn’t work",'UAT · Swati'!$O:$O,"&lt;&gt;Fixed – please re-test",'UAT · Swati'!$O:$O,"&lt;&gt;Won’t change")+COUNTIFS('UAT · Swati'!$A:$A,20,'UAT · Swati'!$J:$J,"🔍 Couldn’t find it",'UAT · Swati'!$O:$O,"&lt;&gt;Fixed – please re-test",'UAT · Swati'!$O:$O,"&lt;&gt;Won’t change")</f>
        <v/>
      </c>
    </row>
    <row r="27">
      <c r="A27" s="24" t="inlineStr">
        <is>
          <t>21 · Choices and the ending</t>
        </is>
      </c>
      <c r="B27" s="24">
        <f>COUNTIF('UAT · Dane'!$A:$A,21)</f>
        <v/>
      </c>
      <c r="C27" s="25">
        <f>COUNTIFS('UAT · Dane'!$A:$A,21,'UAT · Dane'!$J:$J,"&lt;&gt;")</f>
        <v/>
      </c>
      <c r="D27" s="25">
        <f>COUNTIFS('UAT · Dane'!$A:$A,21,'UAT · Dane'!$J:$J,"✅ Works")</f>
        <v/>
      </c>
      <c r="E27" s="25">
        <f>COUNTIFS('UAT · Dane'!$A:$A,21,'UAT · Dane'!$J:$J,"🟡 Works, but…")</f>
        <v/>
      </c>
      <c r="F27" s="25">
        <f>COUNTIFS('UAT · Dane'!$A:$A,21,'UAT · Dane'!$J:$J,"❌ Doesn’t work")</f>
        <v/>
      </c>
      <c r="G27" s="25">
        <f>COUNTIFS('UAT · Dane'!$A:$A,21,'UAT · Dane'!$J:$J,"🔍 Couldn’t find it")</f>
        <v/>
      </c>
      <c r="H27" s="25">
        <f>COUNTIFS('UAT · Dane'!$A:$A,21,'UAT · Dane'!$J:$J,"❌ Doesn’t work",'UAT · Dane'!$O:$O,"&lt;&gt;Fixed – please re-test",'UAT · Dane'!$O:$O,"&lt;&gt;Won’t change")+COUNTIFS('UAT · Dane'!$A:$A,21,'UAT · Dane'!$J:$J,"🔍 Couldn’t find it",'UAT · Dane'!$O:$O,"&lt;&gt;Fixed – please re-test",'UAT · Dane'!$O:$O,"&lt;&gt;Won’t change")</f>
        <v/>
      </c>
      <c r="I27" s="25">
        <f>COUNTIFS('UAT · Oliva'!$A:$A,21,'UAT · Oliva'!$J:$J,"&lt;&gt;")</f>
        <v/>
      </c>
      <c r="J27" s="25">
        <f>COUNTIFS('UAT · Oliva'!$A:$A,21,'UAT · Oliva'!$J:$J,"✅ Works")</f>
        <v/>
      </c>
      <c r="K27" s="25">
        <f>COUNTIFS('UAT · Oliva'!$A:$A,21,'UAT · Oliva'!$J:$J,"🟡 Works, but…")</f>
        <v/>
      </c>
      <c r="L27" s="25">
        <f>COUNTIFS('UAT · Oliva'!$A:$A,21,'UAT · Oliva'!$J:$J,"❌ Doesn’t work")</f>
        <v/>
      </c>
      <c r="M27" s="25">
        <f>COUNTIFS('UAT · Oliva'!$A:$A,21,'UAT · Oliva'!$J:$J,"🔍 Couldn’t find it")</f>
        <v/>
      </c>
      <c r="N27" s="25">
        <f>COUNTIFS('UAT · Oliva'!$A:$A,21,'UAT · Oliva'!$J:$J,"❌ Doesn’t work",'UAT · Oliva'!$O:$O,"&lt;&gt;Fixed – please re-test",'UAT · Oliva'!$O:$O,"&lt;&gt;Won’t change")+COUNTIFS('UAT · Oliva'!$A:$A,21,'UAT · Oliva'!$J:$J,"🔍 Couldn’t find it",'UAT · Oliva'!$O:$O,"&lt;&gt;Fixed – please re-test",'UAT · Oliva'!$O:$O,"&lt;&gt;Won’t change")</f>
        <v/>
      </c>
      <c r="O27" s="25">
        <f>COUNTIFS('UAT · Swati'!$A:$A,21,'UAT · Swati'!$J:$J,"&lt;&gt;")</f>
        <v/>
      </c>
      <c r="P27" s="25">
        <f>COUNTIFS('UAT · Swati'!$A:$A,21,'UAT · Swati'!$J:$J,"✅ Works")</f>
        <v/>
      </c>
      <c r="Q27" s="25">
        <f>COUNTIFS('UAT · Swati'!$A:$A,21,'UAT · Swati'!$J:$J,"🟡 Works, but…")</f>
        <v/>
      </c>
      <c r="R27" s="25">
        <f>COUNTIFS('UAT · Swati'!$A:$A,21,'UAT · Swati'!$J:$J,"❌ Doesn’t work")</f>
        <v/>
      </c>
      <c r="S27" s="25">
        <f>COUNTIFS('UAT · Swati'!$A:$A,21,'UAT · Swati'!$J:$J,"🔍 Couldn’t find it")</f>
        <v/>
      </c>
      <c r="T27" s="25">
        <f>COUNTIFS('UAT · Swati'!$A:$A,21,'UAT · Swati'!$J:$J,"❌ Doesn’t work",'UAT · Swati'!$O:$O,"&lt;&gt;Fixed – please re-test",'UAT · Swati'!$O:$O,"&lt;&gt;Won’t change")+COUNTIFS('UAT · Swati'!$A:$A,21,'UAT · Swati'!$J:$J,"🔍 Couldn’t find it",'UAT · Swati'!$O:$O,"&lt;&gt;Fixed – please re-test",'UAT · Swati'!$O:$O,"&lt;&gt;Won’t change")</f>
        <v/>
      </c>
    </row>
    <row r="28">
      <c r="A28" s="24" t="inlineStr">
        <is>
          <t>22 · Meetings</t>
        </is>
      </c>
      <c r="B28" s="24">
        <f>COUNTIF('UAT · Dane'!$A:$A,22)</f>
        <v/>
      </c>
      <c r="C28" s="25">
        <f>COUNTIFS('UAT · Dane'!$A:$A,22,'UAT · Dane'!$J:$J,"&lt;&gt;")</f>
        <v/>
      </c>
      <c r="D28" s="25">
        <f>COUNTIFS('UAT · Dane'!$A:$A,22,'UAT · Dane'!$J:$J,"✅ Works")</f>
        <v/>
      </c>
      <c r="E28" s="25">
        <f>COUNTIFS('UAT · Dane'!$A:$A,22,'UAT · Dane'!$J:$J,"🟡 Works, but…")</f>
        <v/>
      </c>
      <c r="F28" s="25">
        <f>COUNTIFS('UAT · Dane'!$A:$A,22,'UAT · Dane'!$J:$J,"❌ Doesn’t work")</f>
        <v/>
      </c>
      <c r="G28" s="25">
        <f>COUNTIFS('UAT · Dane'!$A:$A,22,'UAT · Dane'!$J:$J,"🔍 Couldn’t find it")</f>
        <v/>
      </c>
      <c r="H28" s="25">
        <f>COUNTIFS('UAT · Dane'!$A:$A,22,'UAT · Dane'!$J:$J,"❌ Doesn’t work",'UAT · Dane'!$O:$O,"&lt;&gt;Fixed – please re-test",'UAT · Dane'!$O:$O,"&lt;&gt;Won’t change")+COUNTIFS('UAT · Dane'!$A:$A,22,'UAT · Dane'!$J:$J,"🔍 Couldn’t find it",'UAT · Dane'!$O:$O,"&lt;&gt;Fixed – please re-test",'UAT · Dane'!$O:$O,"&lt;&gt;Won’t change")</f>
        <v/>
      </c>
      <c r="I28" s="25">
        <f>COUNTIFS('UAT · Oliva'!$A:$A,22,'UAT · Oliva'!$J:$J,"&lt;&gt;")</f>
        <v/>
      </c>
      <c r="J28" s="25">
        <f>COUNTIFS('UAT · Oliva'!$A:$A,22,'UAT · Oliva'!$J:$J,"✅ Works")</f>
        <v/>
      </c>
      <c r="K28" s="25">
        <f>COUNTIFS('UAT · Oliva'!$A:$A,22,'UAT · Oliva'!$J:$J,"🟡 Works, but…")</f>
        <v/>
      </c>
      <c r="L28" s="25">
        <f>COUNTIFS('UAT · Oliva'!$A:$A,22,'UAT · Oliva'!$J:$J,"❌ Doesn’t work")</f>
        <v/>
      </c>
      <c r="M28" s="25">
        <f>COUNTIFS('UAT · Oliva'!$A:$A,22,'UAT · Oliva'!$J:$J,"🔍 Couldn’t find it")</f>
        <v/>
      </c>
      <c r="N28" s="25">
        <f>COUNTIFS('UAT · Oliva'!$A:$A,22,'UAT · Oliva'!$J:$J,"❌ Doesn’t work",'UAT · Oliva'!$O:$O,"&lt;&gt;Fixed – please re-test",'UAT · Oliva'!$O:$O,"&lt;&gt;Won’t change")+COUNTIFS('UAT · Oliva'!$A:$A,22,'UAT · Oliva'!$J:$J,"🔍 Couldn’t find it",'UAT · Oliva'!$O:$O,"&lt;&gt;Fixed – please re-test",'UAT · Oliva'!$O:$O,"&lt;&gt;Won’t change")</f>
        <v/>
      </c>
      <c r="O28" s="25">
        <f>COUNTIFS('UAT · Swati'!$A:$A,22,'UAT · Swati'!$J:$J,"&lt;&gt;")</f>
        <v/>
      </c>
      <c r="P28" s="25">
        <f>COUNTIFS('UAT · Swati'!$A:$A,22,'UAT · Swati'!$J:$J,"✅ Works")</f>
        <v/>
      </c>
      <c r="Q28" s="25">
        <f>COUNTIFS('UAT · Swati'!$A:$A,22,'UAT · Swati'!$J:$J,"🟡 Works, but…")</f>
        <v/>
      </c>
      <c r="R28" s="25">
        <f>COUNTIFS('UAT · Swati'!$A:$A,22,'UAT · Swati'!$J:$J,"❌ Doesn’t work")</f>
        <v/>
      </c>
      <c r="S28" s="25">
        <f>COUNTIFS('UAT · Swati'!$A:$A,22,'UAT · Swati'!$J:$J,"🔍 Couldn’t find it")</f>
        <v/>
      </c>
      <c r="T28" s="25">
        <f>COUNTIFS('UAT · Swati'!$A:$A,22,'UAT · Swati'!$J:$J,"❌ Doesn’t work",'UAT · Swati'!$O:$O,"&lt;&gt;Fixed – please re-test",'UAT · Swati'!$O:$O,"&lt;&gt;Won’t change")+COUNTIFS('UAT · Swati'!$A:$A,22,'UAT · Swati'!$J:$J,"🔍 Couldn’t find it",'UAT · Swati'!$O:$O,"&lt;&gt;Fixed – please re-test",'UAT · Swati'!$O:$O,"&lt;&gt;Won’t change")</f>
        <v/>
      </c>
    </row>
    <row r="29">
      <c r="A29" s="24" t="inlineStr">
        <is>
          <t>23 · Messages</t>
        </is>
      </c>
      <c r="B29" s="24">
        <f>COUNTIF('UAT · Dane'!$A:$A,23)</f>
        <v/>
      </c>
      <c r="C29" s="25">
        <f>COUNTIFS('UAT · Dane'!$A:$A,23,'UAT · Dane'!$J:$J,"&lt;&gt;")</f>
        <v/>
      </c>
      <c r="D29" s="25">
        <f>COUNTIFS('UAT · Dane'!$A:$A,23,'UAT · Dane'!$J:$J,"✅ Works")</f>
        <v/>
      </c>
      <c r="E29" s="25">
        <f>COUNTIFS('UAT · Dane'!$A:$A,23,'UAT · Dane'!$J:$J,"🟡 Works, but…")</f>
        <v/>
      </c>
      <c r="F29" s="25">
        <f>COUNTIFS('UAT · Dane'!$A:$A,23,'UAT · Dane'!$J:$J,"❌ Doesn’t work")</f>
        <v/>
      </c>
      <c r="G29" s="25">
        <f>COUNTIFS('UAT · Dane'!$A:$A,23,'UAT · Dane'!$J:$J,"🔍 Couldn’t find it")</f>
        <v/>
      </c>
      <c r="H29" s="25">
        <f>COUNTIFS('UAT · Dane'!$A:$A,23,'UAT · Dane'!$J:$J,"❌ Doesn’t work",'UAT · Dane'!$O:$O,"&lt;&gt;Fixed – please re-test",'UAT · Dane'!$O:$O,"&lt;&gt;Won’t change")+COUNTIFS('UAT · Dane'!$A:$A,23,'UAT · Dane'!$J:$J,"🔍 Couldn’t find it",'UAT · Dane'!$O:$O,"&lt;&gt;Fixed – please re-test",'UAT · Dane'!$O:$O,"&lt;&gt;Won’t change")</f>
        <v/>
      </c>
      <c r="I29" s="25">
        <f>COUNTIFS('UAT · Oliva'!$A:$A,23,'UAT · Oliva'!$J:$J,"&lt;&gt;")</f>
        <v/>
      </c>
      <c r="J29" s="25">
        <f>COUNTIFS('UAT · Oliva'!$A:$A,23,'UAT · Oliva'!$J:$J,"✅ Works")</f>
        <v/>
      </c>
      <c r="K29" s="25">
        <f>COUNTIFS('UAT · Oliva'!$A:$A,23,'UAT · Oliva'!$J:$J,"🟡 Works, but…")</f>
        <v/>
      </c>
      <c r="L29" s="25">
        <f>COUNTIFS('UAT · Oliva'!$A:$A,23,'UAT · Oliva'!$J:$J,"❌ Doesn’t work")</f>
        <v/>
      </c>
      <c r="M29" s="25">
        <f>COUNTIFS('UAT · Oliva'!$A:$A,23,'UAT · Oliva'!$J:$J,"🔍 Couldn’t find it")</f>
        <v/>
      </c>
      <c r="N29" s="25">
        <f>COUNTIFS('UAT · Oliva'!$A:$A,23,'UAT · Oliva'!$J:$J,"❌ Doesn’t work",'UAT · Oliva'!$O:$O,"&lt;&gt;Fixed – please re-test",'UAT · Oliva'!$O:$O,"&lt;&gt;Won’t change")+COUNTIFS('UAT · Oliva'!$A:$A,23,'UAT · Oliva'!$J:$J,"🔍 Couldn’t find it",'UAT · Oliva'!$O:$O,"&lt;&gt;Fixed – please re-test",'UAT · Oliva'!$O:$O,"&lt;&gt;Won’t change")</f>
        <v/>
      </c>
      <c r="O29" s="25">
        <f>COUNTIFS('UAT · Swati'!$A:$A,23,'UAT · Swati'!$J:$J,"&lt;&gt;")</f>
        <v/>
      </c>
      <c r="P29" s="25">
        <f>COUNTIFS('UAT · Swati'!$A:$A,23,'UAT · Swati'!$J:$J,"✅ Works")</f>
        <v/>
      </c>
      <c r="Q29" s="25">
        <f>COUNTIFS('UAT · Swati'!$A:$A,23,'UAT · Swati'!$J:$J,"🟡 Works, but…")</f>
        <v/>
      </c>
      <c r="R29" s="25">
        <f>COUNTIFS('UAT · Swati'!$A:$A,23,'UAT · Swati'!$J:$J,"❌ Doesn’t work")</f>
        <v/>
      </c>
      <c r="S29" s="25">
        <f>COUNTIFS('UAT · Swati'!$A:$A,23,'UAT · Swati'!$J:$J,"🔍 Couldn’t find it")</f>
        <v/>
      </c>
      <c r="T29" s="25">
        <f>COUNTIFS('UAT · Swati'!$A:$A,23,'UAT · Swati'!$J:$J,"❌ Doesn’t work",'UAT · Swati'!$O:$O,"&lt;&gt;Fixed – please re-test",'UAT · Swati'!$O:$O,"&lt;&gt;Won’t change")+COUNTIFS('UAT · Swati'!$A:$A,23,'UAT · Swati'!$J:$J,"🔍 Couldn’t find it",'UAT · Swati'!$O:$O,"&lt;&gt;Fixed – please re-test",'UAT · Swati'!$O:$O,"&lt;&gt;Won’t change")</f>
        <v/>
      </c>
    </row>
    <row r="30">
      <c r="A30" s="24" t="inlineStr">
        <is>
          <t>24 · Plan it in 3D</t>
        </is>
      </c>
      <c r="B30" s="24">
        <f>COUNTIF('UAT · Dane'!$A:$A,24)</f>
        <v/>
      </c>
      <c r="C30" s="25">
        <f>COUNTIFS('UAT · Dane'!$A:$A,24,'UAT · Dane'!$J:$J,"&lt;&gt;")</f>
        <v/>
      </c>
      <c r="D30" s="25">
        <f>COUNTIFS('UAT · Dane'!$A:$A,24,'UAT · Dane'!$J:$J,"✅ Works")</f>
        <v/>
      </c>
      <c r="E30" s="25">
        <f>COUNTIFS('UAT · Dane'!$A:$A,24,'UAT · Dane'!$J:$J,"🟡 Works, but…")</f>
        <v/>
      </c>
      <c r="F30" s="25">
        <f>COUNTIFS('UAT · Dane'!$A:$A,24,'UAT · Dane'!$J:$J,"❌ Doesn’t work")</f>
        <v/>
      </c>
      <c r="G30" s="25">
        <f>COUNTIFS('UAT · Dane'!$A:$A,24,'UAT · Dane'!$J:$J,"🔍 Couldn’t find it")</f>
        <v/>
      </c>
      <c r="H30" s="25">
        <f>COUNTIFS('UAT · Dane'!$A:$A,24,'UAT · Dane'!$J:$J,"❌ Doesn’t work",'UAT · Dane'!$O:$O,"&lt;&gt;Fixed – please re-test",'UAT · Dane'!$O:$O,"&lt;&gt;Won’t change")+COUNTIFS('UAT · Dane'!$A:$A,24,'UAT · Dane'!$J:$J,"🔍 Couldn’t find it",'UAT · Dane'!$O:$O,"&lt;&gt;Fixed – please re-test",'UAT · Dane'!$O:$O,"&lt;&gt;Won’t change")</f>
        <v/>
      </c>
      <c r="I30" s="25">
        <f>COUNTIFS('UAT · Oliva'!$A:$A,24,'UAT · Oliva'!$J:$J,"&lt;&gt;")</f>
        <v/>
      </c>
      <c r="J30" s="25">
        <f>COUNTIFS('UAT · Oliva'!$A:$A,24,'UAT · Oliva'!$J:$J,"✅ Works")</f>
        <v/>
      </c>
      <c r="K30" s="25">
        <f>COUNTIFS('UAT · Oliva'!$A:$A,24,'UAT · Oliva'!$J:$J,"🟡 Works, but…")</f>
        <v/>
      </c>
      <c r="L30" s="25">
        <f>COUNTIFS('UAT · Oliva'!$A:$A,24,'UAT · Oliva'!$J:$J,"❌ Doesn’t work")</f>
        <v/>
      </c>
      <c r="M30" s="25">
        <f>COUNTIFS('UAT · Oliva'!$A:$A,24,'UAT · Oliva'!$J:$J,"🔍 Couldn’t find it")</f>
        <v/>
      </c>
      <c r="N30" s="25">
        <f>COUNTIFS('UAT · Oliva'!$A:$A,24,'UAT · Oliva'!$J:$J,"❌ Doesn’t work",'UAT · Oliva'!$O:$O,"&lt;&gt;Fixed – please re-test",'UAT · Oliva'!$O:$O,"&lt;&gt;Won’t change")+COUNTIFS('UAT · Oliva'!$A:$A,24,'UAT · Oliva'!$J:$J,"🔍 Couldn’t find it",'UAT · Oliva'!$O:$O,"&lt;&gt;Fixed – please re-test",'UAT · Oliva'!$O:$O,"&lt;&gt;Won’t change")</f>
        <v/>
      </c>
      <c r="O30" s="25">
        <f>COUNTIFS('UAT · Swati'!$A:$A,24,'UAT · Swati'!$J:$J,"&lt;&gt;")</f>
        <v/>
      </c>
      <c r="P30" s="25">
        <f>COUNTIFS('UAT · Swati'!$A:$A,24,'UAT · Swati'!$J:$J,"✅ Works")</f>
        <v/>
      </c>
      <c r="Q30" s="25">
        <f>COUNTIFS('UAT · Swati'!$A:$A,24,'UAT · Swati'!$J:$J,"🟡 Works, but…")</f>
        <v/>
      </c>
      <c r="R30" s="25">
        <f>COUNTIFS('UAT · Swati'!$A:$A,24,'UAT · Swati'!$J:$J,"❌ Doesn’t work")</f>
        <v/>
      </c>
      <c r="S30" s="25">
        <f>COUNTIFS('UAT · Swati'!$A:$A,24,'UAT · Swati'!$J:$J,"🔍 Couldn’t find it")</f>
        <v/>
      </c>
      <c r="T30" s="25">
        <f>COUNTIFS('UAT · Swati'!$A:$A,24,'UAT · Swati'!$J:$J,"❌ Doesn’t work",'UAT · Swati'!$O:$O,"&lt;&gt;Fixed – please re-test",'UAT · Swati'!$O:$O,"&lt;&gt;Won’t change")+COUNTIFS('UAT · Swati'!$A:$A,24,'UAT · Swati'!$J:$J,"🔍 Couldn’t find it",'UAT · Swati'!$O:$O,"&lt;&gt;Fixed – please re-test",'UAT · Swati'!$O:$O,"&lt;&gt;Won’t change")</f>
        <v/>
      </c>
    </row>
    <row r="31">
      <c r="A31" s="24" t="inlineStr">
        <is>
          <t>25 · Outside the studio</t>
        </is>
      </c>
      <c r="B31" s="24">
        <f>COUNTIF('UAT · Dane'!$A:$A,25)</f>
        <v/>
      </c>
      <c r="C31" s="25">
        <f>COUNTIFS('UAT · Dane'!$A:$A,25,'UAT · Dane'!$J:$J,"&lt;&gt;")</f>
        <v/>
      </c>
      <c r="D31" s="25">
        <f>COUNTIFS('UAT · Dane'!$A:$A,25,'UAT · Dane'!$J:$J,"✅ Works")</f>
        <v/>
      </c>
      <c r="E31" s="25">
        <f>COUNTIFS('UAT · Dane'!$A:$A,25,'UAT · Dane'!$J:$J,"🟡 Works, but…")</f>
        <v/>
      </c>
      <c r="F31" s="25">
        <f>COUNTIFS('UAT · Dane'!$A:$A,25,'UAT · Dane'!$J:$J,"❌ Doesn’t work")</f>
        <v/>
      </c>
      <c r="G31" s="25">
        <f>COUNTIFS('UAT · Dane'!$A:$A,25,'UAT · Dane'!$J:$J,"🔍 Couldn’t find it")</f>
        <v/>
      </c>
      <c r="H31" s="25">
        <f>COUNTIFS('UAT · Dane'!$A:$A,25,'UAT · Dane'!$J:$J,"❌ Doesn’t work",'UAT · Dane'!$O:$O,"&lt;&gt;Fixed – please re-test",'UAT · Dane'!$O:$O,"&lt;&gt;Won’t change")+COUNTIFS('UAT · Dane'!$A:$A,25,'UAT · Dane'!$J:$J,"🔍 Couldn’t find it",'UAT · Dane'!$O:$O,"&lt;&gt;Fixed – please re-test",'UAT · Dane'!$O:$O,"&lt;&gt;Won’t change")</f>
        <v/>
      </c>
      <c r="I31" s="25">
        <f>COUNTIFS('UAT · Oliva'!$A:$A,25,'UAT · Oliva'!$J:$J,"&lt;&gt;")</f>
        <v/>
      </c>
      <c r="J31" s="25">
        <f>COUNTIFS('UAT · Oliva'!$A:$A,25,'UAT · Oliva'!$J:$J,"✅ Works")</f>
        <v/>
      </c>
      <c r="K31" s="25">
        <f>COUNTIFS('UAT · Oliva'!$A:$A,25,'UAT · Oliva'!$J:$J,"🟡 Works, but…")</f>
        <v/>
      </c>
      <c r="L31" s="25">
        <f>COUNTIFS('UAT · Oliva'!$A:$A,25,'UAT · Oliva'!$J:$J,"❌ Doesn’t work")</f>
        <v/>
      </c>
      <c r="M31" s="25">
        <f>COUNTIFS('UAT · Oliva'!$A:$A,25,'UAT · Oliva'!$J:$J,"🔍 Couldn’t find it")</f>
        <v/>
      </c>
      <c r="N31" s="25">
        <f>COUNTIFS('UAT · Oliva'!$A:$A,25,'UAT · Oliva'!$J:$J,"❌ Doesn’t work",'UAT · Oliva'!$O:$O,"&lt;&gt;Fixed – please re-test",'UAT · Oliva'!$O:$O,"&lt;&gt;Won’t change")+COUNTIFS('UAT · Oliva'!$A:$A,25,'UAT · Oliva'!$J:$J,"🔍 Couldn’t find it",'UAT · Oliva'!$O:$O,"&lt;&gt;Fixed – please re-test",'UAT · Oliva'!$O:$O,"&lt;&gt;Won’t change")</f>
        <v/>
      </c>
      <c r="O31" s="25">
        <f>COUNTIFS('UAT · Swati'!$A:$A,25,'UAT · Swati'!$J:$J,"&lt;&gt;")</f>
        <v/>
      </c>
      <c r="P31" s="25">
        <f>COUNTIFS('UAT · Swati'!$A:$A,25,'UAT · Swati'!$J:$J,"✅ Works")</f>
        <v/>
      </c>
      <c r="Q31" s="25">
        <f>COUNTIFS('UAT · Swati'!$A:$A,25,'UAT · Swati'!$J:$J,"🟡 Works, but…")</f>
        <v/>
      </c>
      <c r="R31" s="25">
        <f>COUNTIFS('UAT · Swati'!$A:$A,25,'UAT · Swati'!$J:$J,"❌ Doesn’t work")</f>
        <v/>
      </c>
      <c r="S31" s="25">
        <f>COUNTIFS('UAT · Swati'!$A:$A,25,'UAT · Swati'!$J:$J,"🔍 Couldn’t find it")</f>
        <v/>
      </c>
      <c r="T31" s="25">
        <f>COUNTIFS('UAT · Swati'!$A:$A,25,'UAT · Swati'!$J:$J,"❌ Doesn’t work",'UAT · Swati'!$O:$O,"&lt;&gt;Fixed – please re-test",'UAT · Swati'!$O:$O,"&lt;&gt;Won’t change")+COUNTIFS('UAT · Swati'!$A:$A,25,'UAT · Swati'!$J:$J,"🔍 Couldn’t find it",'UAT · Swati'!$O:$O,"&lt;&gt;Fixed – please re-test",'UAT · Swati'!$O:$O,"&lt;&gt;Won’t change")</f>
        <v/>
      </c>
    </row>
    <row r="32">
      <c r="A32" s="24" t="inlineStr">
        <is>
          <t>26 · Quotes on the move</t>
        </is>
      </c>
      <c r="B32" s="24">
        <f>COUNTIF('UAT · Dane'!$A:$A,26)</f>
        <v/>
      </c>
      <c r="C32" s="25">
        <f>COUNTIFS('UAT · Dane'!$A:$A,26,'UAT · Dane'!$J:$J,"&lt;&gt;")</f>
        <v/>
      </c>
      <c r="D32" s="25">
        <f>COUNTIFS('UAT · Dane'!$A:$A,26,'UAT · Dane'!$J:$J,"✅ Works")</f>
        <v/>
      </c>
      <c r="E32" s="25">
        <f>COUNTIFS('UAT · Dane'!$A:$A,26,'UAT · Dane'!$J:$J,"🟡 Works, but…")</f>
        <v/>
      </c>
      <c r="F32" s="25">
        <f>COUNTIFS('UAT · Dane'!$A:$A,26,'UAT · Dane'!$J:$J,"❌ Doesn’t work")</f>
        <v/>
      </c>
      <c r="G32" s="25">
        <f>COUNTIFS('UAT · Dane'!$A:$A,26,'UAT · Dane'!$J:$J,"🔍 Couldn’t find it")</f>
        <v/>
      </c>
      <c r="H32" s="25">
        <f>COUNTIFS('UAT · Dane'!$A:$A,26,'UAT · Dane'!$J:$J,"❌ Doesn’t work",'UAT · Dane'!$O:$O,"&lt;&gt;Fixed – please re-test",'UAT · Dane'!$O:$O,"&lt;&gt;Won’t change")+COUNTIFS('UAT · Dane'!$A:$A,26,'UAT · Dane'!$J:$J,"🔍 Couldn’t find it",'UAT · Dane'!$O:$O,"&lt;&gt;Fixed – please re-test",'UAT · Dane'!$O:$O,"&lt;&gt;Won’t change")</f>
        <v/>
      </c>
      <c r="I32" s="25">
        <f>COUNTIFS('UAT · Oliva'!$A:$A,26,'UAT · Oliva'!$J:$J,"&lt;&gt;")</f>
        <v/>
      </c>
      <c r="J32" s="25">
        <f>COUNTIFS('UAT · Oliva'!$A:$A,26,'UAT · Oliva'!$J:$J,"✅ Works")</f>
        <v/>
      </c>
      <c r="K32" s="25">
        <f>COUNTIFS('UAT · Oliva'!$A:$A,26,'UAT · Oliva'!$J:$J,"🟡 Works, but…")</f>
        <v/>
      </c>
      <c r="L32" s="25">
        <f>COUNTIFS('UAT · Oliva'!$A:$A,26,'UAT · Oliva'!$J:$J,"❌ Doesn’t work")</f>
        <v/>
      </c>
      <c r="M32" s="25">
        <f>COUNTIFS('UAT · Oliva'!$A:$A,26,'UAT · Oliva'!$J:$J,"🔍 Couldn’t find it")</f>
        <v/>
      </c>
      <c r="N32" s="25">
        <f>COUNTIFS('UAT · Oliva'!$A:$A,26,'UAT · Oliva'!$J:$J,"❌ Doesn’t work",'UAT · Oliva'!$O:$O,"&lt;&gt;Fixed – please re-test",'UAT · Oliva'!$O:$O,"&lt;&gt;Won’t change")+COUNTIFS('UAT · Oliva'!$A:$A,26,'UAT · Oliva'!$J:$J,"🔍 Couldn’t find it",'UAT · Oliva'!$O:$O,"&lt;&gt;Fixed – please re-test",'UAT · Oliva'!$O:$O,"&lt;&gt;Won’t change")</f>
        <v/>
      </c>
      <c r="O32" s="25">
        <f>COUNTIFS('UAT · Swati'!$A:$A,26,'UAT · Swati'!$J:$J,"&lt;&gt;")</f>
        <v/>
      </c>
      <c r="P32" s="25">
        <f>COUNTIFS('UAT · Swati'!$A:$A,26,'UAT · Swati'!$J:$J,"✅ Works")</f>
        <v/>
      </c>
      <c r="Q32" s="25">
        <f>COUNTIFS('UAT · Swati'!$A:$A,26,'UAT · Swati'!$J:$J,"🟡 Works, but…")</f>
        <v/>
      </c>
      <c r="R32" s="25">
        <f>COUNTIFS('UAT · Swati'!$A:$A,26,'UAT · Swati'!$J:$J,"❌ Doesn’t work")</f>
        <v/>
      </c>
      <c r="S32" s="25">
        <f>COUNTIFS('UAT · Swati'!$A:$A,26,'UAT · Swati'!$J:$J,"🔍 Couldn’t find it")</f>
        <v/>
      </c>
      <c r="T32" s="25">
        <f>COUNTIFS('UAT · Swati'!$A:$A,26,'UAT · Swati'!$J:$J,"❌ Doesn’t work",'UAT · Swati'!$O:$O,"&lt;&gt;Fixed – please re-test",'UAT · Swati'!$O:$O,"&lt;&gt;Won’t change")+COUNTIFS('UAT · Swati'!$A:$A,26,'UAT · Swati'!$J:$J,"🔍 Couldn’t find it",'UAT · Swati'!$O:$O,"&lt;&gt;Fixed – please re-test",'UAT · Swati'!$O:$O,"&lt;&gt;Won’t change")</f>
        <v/>
      </c>
    </row>
    <row r="33">
      <c r="A33" s="24" t="inlineStr">
        <is>
          <t>27 · Contracts on the move</t>
        </is>
      </c>
      <c r="B33" s="24">
        <f>COUNTIF('UAT · Dane'!$A:$A,27)</f>
        <v/>
      </c>
      <c r="C33" s="25">
        <f>COUNTIFS('UAT · Dane'!$A:$A,27,'UAT · Dane'!$J:$J,"&lt;&gt;")</f>
        <v/>
      </c>
      <c r="D33" s="25">
        <f>COUNTIFS('UAT · Dane'!$A:$A,27,'UAT · Dane'!$J:$J,"✅ Works")</f>
        <v/>
      </c>
      <c r="E33" s="25">
        <f>COUNTIFS('UAT · Dane'!$A:$A,27,'UAT · Dane'!$J:$J,"🟡 Works, but…")</f>
        <v/>
      </c>
      <c r="F33" s="25">
        <f>COUNTIFS('UAT · Dane'!$A:$A,27,'UAT · Dane'!$J:$J,"❌ Doesn’t work")</f>
        <v/>
      </c>
      <c r="G33" s="25">
        <f>COUNTIFS('UAT · Dane'!$A:$A,27,'UAT · Dane'!$J:$J,"🔍 Couldn’t find it")</f>
        <v/>
      </c>
      <c r="H33" s="25">
        <f>COUNTIFS('UAT · Dane'!$A:$A,27,'UAT · Dane'!$J:$J,"❌ Doesn’t work",'UAT · Dane'!$O:$O,"&lt;&gt;Fixed – please re-test",'UAT · Dane'!$O:$O,"&lt;&gt;Won’t change")+COUNTIFS('UAT · Dane'!$A:$A,27,'UAT · Dane'!$J:$J,"🔍 Couldn’t find it",'UAT · Dane'!$O:$O,"&lt;&gt;Fixed – please re-test",'UAT · Dane'!$O:$O,"&lt;&gt;Won’t change")</f>
        <v/>
      </c>
      <c r="I33" s="25">
        <f>COUNTIFS('UAT · Oliva'!$A:$A,27,'UAT · Oliva'!$J:$J,"&lt;&gt;")</f>
        <v/>
      </c>
      <c r="J33" s="25">
        <f>COUNTIFS('UAT · Oliva'!$A:$A,27,'UAT · Oliva'!$J:$J,"✅ Works")</f>
        <v/>
      </c>
      <c r="K33" s="25">
        <f>COUNTIFS('UAT · Oliva'!$A:$A,27,'UAT · Oliva'!$J:$J,"🟡 Works, but…")</f>
        <v/>
      </c>
      <c r="L33" s="25">
        <f>COUNTIFS('UAT · Oliva'!$A:$A,27,'UAT · Oliva'!$J:$J,"❌ Doesn’t work")</f>
        <v/>
      </c>
      <c r="M33" s="25">
        <f>COUNTIFS('UAT · Oliva'!$A:$A,27,'UAT · Oliva'!$J:$J,"🔍 Couldn’t find it")</f>
        <v/>
      </c>
      <c r="N33" s="25">
        <f>COUNTIFS('UAT · Oliva'!$A:$A,27,'UAT · Oliva'!$J:$J,"❌ Doesn’t work",'UAT · Oliva'!$O:$O,"&lt;&gt;Fixed – please re-test",'UAT · Oliva'!$O:$O,"&lt;&gt;Won’t change")+COUNTIFS('UAT · Oliva'!$A:$A,27,'UAT · Oliva'!$J:$J,"🔍 Couldn’t find it",'UAT · Oliva'!$O:$O,"&lt;&gt;Fixed – please re-test",'UAT · Oliva'!$O:$O,"&lt;&gt;Won’t change")</f>
        <v/>
      </c>
      <c r="O33" s="25">
        <f>COUNTIFS('UAT · Swati'!$A:$A,27,'UAT · Swati'!$J:$J,"&lt;&gt;")</f>
        <v/>
      </c>
      <c r="P33" s="25">
        <f>COUNTIFS('UAT · Swati'!$A:$A,27,'UAT · Swati'!$J:$J,"✅ Works")</f>
        <v/>
      </c>
      <c r="Q33" s="25">
        <f>COUNTIFS('UAT · Swati'!$A:$A,27,'UAT · Swati'!$J:$J,"🟡 Works, but…")</f>
        <v/>
      </c>
      <c r="R33" s="25">
        <f>COUNTIFS('UAT · Swati'!$A:$A,27,'UAT · Swati'!$J:$J,"❌ Doesn’t work")</f>
        <v/>
      </c>
      <c r="S33" s="25">
        <f>COUNTIFS('UAT · Swati'!$A:$A,27,'UAT · Swati'!$J:$J,"🔍 Couldn’t find it")</f>
        <v/>
      </c>
      <c r="T33" s="25">
        <f>COUNTIFS('UAT · Swati'!$A:$A,27,'UAT · Swati'!$J:$J,"❌ Doesn’t work",'UAT · Swati'!$O:$O,"&lt;&gt;Fixed – please re-test",'UAT · Swati'!$O:$O,"&lt;&gt;Won’t change")+COUNTIFS('UAT · Swati'!$A:$A,27,'UAT · Swati'!$J:$J,"🔍 Couldn’t find it",'UAT · Swati'!$O:$O,"&lt;&gt;Fixed – please re-test",'UAT · Swati'!$O:$O,"&lt;&gt;Won’t change")</f>
        <v/>
      </c>
    </row>
    <row r="34">
      <c r="A34" s="24" t="inlineStr">
        <is>
          <t>28 · Leads on the move</t>
        </is>
      </c>
      <c r="B34" s="24">
        <f>COUNTIF('UAT · Dane'!$A:$A,28)</f>
        <v/>
      </c>
      <c r="C34" s="25">
        <f>COUNTIFS('UAT · Dane'!$A:$A,28,'UAT · Dane'!$J:$J,"&lt;&gt;")</f>
        <v/>
      </c>
      <c r="D34" s="25">
        <f>COUNTIFS('UAT · Dane'!$A:$A,28,'UAT · Dane'!$J:$J,"✅ Works")</f>
        <v/>
      </c>
      <c r="E34" s="25">
        <f>COUNTIFS('UAT · Dane'!$A:$A,28,'UAT · Dane'!$J:$J,"🟡 Works, but…")</f>
        <v/>
      </c>
      <c r="F34" s="25">
        <f>COUNTIFS('UAT · Dane'!$A:$A,28,'UAT · Dane'!$J:$J,"❌ Doesn’t work")</f>
        <v/>
      </c>
      <c r="G34" s="25">
        <f>COUNTIFS('UAT · Dane'!$A:$A,28,'UAT · Dane'!$J:$J,"🔍 Couldn’t find it")</f>
        <v/>
      </c>
      <c r="H34" s="25">
        <f>COUNTIFS('UAT · Dane'!$A:$A,28,'UAT · Dane'!$J:$J,"❌ Doesn’t work",'UAT · Dane'!$O:$O,"&lt;&gt;Fixed – please re-test",'UAT · Dane'!$O:$O,"&lt;&gt;Won’t change")+COUNTIFS('UAT · Dane'!$A:$A,28,'UAT · Dane'!$J:$J,"🔍 Couldn’t find it",'UAT · Dane'!$O:$O,"&lt;&gt;Fixed – please re-test",'UAT · Dane'!$O:$O,"&lt;&gt;Won’t change")</f>
        <v/>
      </c>
      <c r="I34" s="25">
        <f>COUNTIFS('UAT · Oliva'!$A:$A,28,'UAT · Oliva'!$J:$J,"&lt;&gt;")</f>
        <v/>
      </c>
      <c r="J34" s="25">
        <f>COUNTIFS('UAT · Oliva'!$A:$A,28,'UAT · Oliva'!$J:$J,"✅ Works")</f>
        <v/>
      </c>
      <c r="K34" s="25">
        <f>COUNTIFS('UAT · Oliva'!$A:$A,28,'UAT · Oliva'!$J:$J,"🟡 Works, but…")</f>
        <v/>
      </c>
      <c r="L34" s="25">
        <f>COUNTIFS('UAT · Oliva'!$A:$A,28,'UAT · Oliva'!$J:$J,"❌ Doesn’t work")</f>
        <v/>
      </c>
      <c r="M34" s="25">
        <f>COUNTIFS('UAT · Oliva'!$A:$A,28,'UAT · Oliva'!$J:$J,"🔍 Couldn’t find it")</f>
        <v/>
      </c>
      <c r="N34" s="25">
        <f>COUNTIFS('UAT · Oliva'!$A:$A,28,'UAT · Oliva'!$J:$J,"❌ Doesn’t work",'UAT · Oliva'!$O:$O,"&lt;&gt;Fixed – please re-test",'UAT · Oliva'!$O:$O,"&lt;&gt;Won’t change")+COUNTIFS('UAT · Oliva'!$A:$A,28,'UAT · Oliva'!$J:$J,"🔍 Couldn’t find it",'UAT · Oliva'!$O:$O,"&lt;&gt;Fixed – please re-test",'UAT · Oliva'!$O:$O,"&lt;&gt;Won’t change")</f>
        <v/>
      </c>
      <c r="O34" s="25">
        <f>COUNTIFS('UAT · Swati'!$A:$A,28,'UAT · Swati'!$J:$J,"&lt;&gt;")</f>
        <v/>
      </c>
      <c r="P34" s="25">
        <f>COUNTIFS('UAT · Swati'!$A:$A,28,'UAT · Swati'!$J:$J,"✅ Works")</f>
        <v/>
      </c>
      <c r="Q34" s="25">
        <f>COUNTIFS('UAT · Swati'!$A:$A,28,'UAT · Swati'!$J:$J,"🟡 Works, but…")</f>
        <v/>
      </c>
      <c r="R34" s="25">
        <f>COUNTIFS('UAT · Swati'!$A:$A,28,'UAT · Swati'!$J:$J,"❌ Doesn’t work")</f>
        <v/>
      </c>
      <c r="S34" s="25">
        <f>COUNTIFS('UAT · Swati'!$A:$A,28,'UAT · Swati'!$J:$J,"🔍 Couldn’t find it")</f>
        <v/>
      </c>
      <c r="T34" s="25">
        <f>COUNTIFS('UAT · Swati'!$A:$A,28,'UAT · Swati'!$J:$J,"❌ Doesn’t work",'UAT · Swati'!$O:$O,"&lt;&gt;Fixed – please re-test",'UAT · Swati'!$O:$O,"&lt;&gt;Won’t change")+COUNTIFS('UAT · Swati'!$A:$A,28,'UAT · Swati'!$J:$J,"🔍 Couldn’t find it",'UAT · Swati'!$O:$O,"&lt;&gt;Fixed – please re-test",'UAT · Swati'!$O:$O,"&lt;&gt;Won’t change")</f>
        <v/>
      </c>
    </row>
    <row r="35">
      <c r="A35" s="22" t="inlineStr">
        <is>
          <t>Total</t>
        </is>
      </c>
      <c r="B35" s="26">
        <f>SUM(B7:B34)</f>
        <v/>
      </c>
      <c r="C35" s="26">
        <f>SUM(C7:C34)</f>
        <v/>
      </c>
      <c r="D35" s="26">
        <f>SUM(D7:D34)</f>
        <v/>
      </c>
      <c r="E35" s="26">
        <f>SUM(E7:E34)</f>
        <v/>
      </c>
      <c r="F35" s="26">
        <f>SUM(F7:F34)</f>
        <v/>
      </c>
      <c r="G35" s="26">
        <f>SUM(G7:G34)</f>
        <v/>
      </c>
      <c r="H35" s="26">
        <f>SUM(H7:H34)</f>
        <v/>
      </c>
      <c r="I35" s="26">
        <f>SUM(I7:I34)</f>
        <v/>
      </c>
      <c r="J35" s="26">
        <f>SUM(J7:J34)</f>
        <v/>
      </c>
      <c r="K35" s="26">
        <f>SUM(K7:K34)</f>
        <v/>
      </c>
      <c r="L35" s="26">
        <f>SUM(L7:L34)</f>
        <v/>
      </c>
      <c r="M35" s="26">
        <f>SUM(M7:M34)</f>
        <v/>
      </c>
      <c r="N35" s="26">
        <f>SUM(N7:N34)</f>
        <v/>
      </c>
      <c r="O35" s="26">
        <f>SUM(O7:O34)</f>
        <v/>
      </c>
      <c r="P35" s="26">
        <f>SUM(P7:P34)</f>
        <v/>
      </c>
      <c r="Q35" s="26">
        <f>SUM(Q7:Q34)</f>
        <v/>
      </c>
      <c r="R35" s="26">
        <f>SUM(R7:R34)</f>
        <v/>
      </c>
      <c r="S35" s="26">
        <f>SUM(S7:S34)</f>
        <v/>
      </c>
      <c r="T35" s="26">
        <f>SUM(T7:T34)</f>
        <v/>
      </c>
    </row>
    <row r="37">
      <c r="A37" s="20" t="inlineStr">
        <is>
          <t>By module</t>
        </is>
      </c>
    </row>
    <row r="38">
      <c r="C38" s="21" t="inlineStr">
        <is>
          <t>Dane</t>
        </is>
      </c>
      <c r="I38" s="21" t="inlineStr">
        <is>
          <t>Oliva</t>
        </is>
      </c>
      <c r="O38" s="21" t="inlineStr">
        <is>
          <t>Swati</t>
        </is>
      </c>
    </row>
    <row r="39">
      <c r="A39" s="22" t="inlineStr">
        <is>
          <t>Module</t>
        </is>
      </c>
      <c r="B39" s="22" t="inlineStr">
        <is>
          <t>Steps</t>
        </is>
      </c>
      <c r="C39" s="23" t="inlineStr">
        <is>
          <t>Done</t>
        </is>
      </c>
      <c r="D39" s="23" t="inlineStr">
        <is>
          <t>✅</t>
        </is>
      </c>
      <c r="E39" s="23" t="inlineStr">
        <is>
          <t>🟡</t>
        </is>
      </c>
      <c r="F39" s="23" t="inlineStr">
        <is>
          <t>❌</t>
        </is>
      </c>
      <c r="G39" s="23" t="inlineStr">
        <is>
          <t>🔍</t>
        </is>
      </c>
      <c r="H39" s="23" t="inlineStr">
        <is>
          <t>Open</t>
        </is>
      </c>
      <c r="I39" s="23" t="inlineStr">
        <is>
          <t>Done</t>
        </is>
      </c>
      <c r="J39" s="23" t="inlineStr">
        <is>
          <t>✅</t>
        </is>
      </c>
      <c r="K39" s="23" t="inlineStr">
        <is>
          <t>🟡</t>
        </is>
      </c>
      <c r="L39" s="23" t="inlineStr">
        <is>
          <t>❌</t>
        </is>
      </c>
      <c r="M39" s="23" t="inlineStr">
        <is>
          <t>🔍</t>
        </is>
      </c>
      <c r="N39" s="23" t="inlineStr">
        <is>
          <t>Open</t>
        </is>
      </c>
      <c r="O39" s="23" t="inlineStr">
        <is>
          <t>Done</t>
        </is>
      </c>
      <c r="P39" s="23" t="inlineStr">
        <is>
          <t>✅</t>
        </is>
      </c>
      <c r="Q39" s="23" t="inlineStr">
        <is>
          <t>🟡</t>
        </is>
      </c>
      <c r="R39" s="23" t="inlineStr">
        <is>
          <t>❌</t>
        </is>
      </c>
      <c r="S39" s="23" t="inlineStr">
        <is>
          <t>🔍</t>
        </is>
      </c>
      <c r="T39" s="23" t="inlineStr">
        <is>
          <t>Open</t>
        </is>
      </c>
    </row>
    <row r="40">
      <c r="A40" s="24" t="inlineStr">
        <is>
          <t>Shell</t>
        </is>
      </c>
      <c r="B40" s="24">
        <f>COUNTIF('UAT · Dane'!$D:$D,"Shell")</f>
        <v/>
      </c>
      <c r="C40" s="25">
        <f>COUNTIFS('UAT · Dane'!$D:$D,"Shell",'UAT · Dane'!$J:$J,"&lt;&gt;")</f>
        <v/>
      </c>
      <c r="D40" s="25">
        <f>COUNTIFS('UAT · Dane'!$D:$D,"Shell",'UAT · Dane'!$J:$J,"✅ Works")</f>
        <v/>
      </c>
      <c r="E40" s="25">
        <f>COUNTIFS('UAT · Dane'!$D:$D,"Shell",'UAT · Dane'!$J:$J,"🟡 Works, but…")</f>
        <v/>
      </c>
      <c r="F40" s="25">
        <f>COUNTIFS('UAT · Dane'!$D:$D,"Shell",'UAT · Dane'!$J:$J,"❌ Doesn’t work")</f>
        <v/>
      </c>
      <c r="G40" s="25">
        <f>COUNTIFS('UAT · Dane'!$D:$D,"Shell",'UAT · Dane'!$J:$J,"🔍 Couldn’t find it")</f>
        <v/>
      </c>
      <c r="H40" s="25">
        <f>COUNTIFS('UAT · Dane'!$D:$D,"Shell",'UAT · Dane'!$J:$J,"❌ Doesn’t work",'UAT · Dane'!$O:$O,"&lt;&gt;Fixed – please re-test",'UAT · Dane'!$O:$O,"&lt;&gt;Won’t change")+COUNTIFS('UAT · Dane'!$D:$D,"Shell",'UAT · Dane'!$J:$J,"🔍 Couldn’t find it",'UAT · Dane'!$O:$O,"&lt;&gt;Fixed – please re-test",'UAT · Dane'!$O:$O,"&lt;&gt;Won’t change")</f>
        <v/>
      </c>
      <c r="I40" s="25">
        <f>COUNTIFS('UAT · Oliva'!$D:$D,"Shell",'UAT · Oliva'!$J:$J,"&lt;&gt;")</f>
        <v/>
      </c>
      <c r="J40" s="25">
        <f>COUNTIFS('UAT · Oliva'!$D:$D,"Shell",'UAT · Oliva'!$J:$J,"✅ Works")</f>
        <v/>
      </c>
      <c r="K40" s="25">
        <f>COUNTIFS('UAT · Oliva'!$D:$D,"Shell",'UAT · Oliva'!$J:$J,"🟡 Works, but…")</f>
        <v/>
      </c>
      <c r="L40" s="25">
        <f>COUNTIFS('UAT · Oliva'!$D:$D,"Shell",'UAT · Oliva'!$J:$J,"❌ Doesn’t work")</f>
        <v/>
      </c>
      <c r="M40" s="25">
        <f>COUNTIFS('UAT · Oliva'!$D:$D,"Shell",'UAT · Oliva'!$J:$J,"🔍 Couldn’t find it")</f>
        <v/>
      </c>
      <c r="N40" s="25">
        <f>COUNTIFS('UAT · Oliva'!$D:$D,"Shell",'UAT · Oliva'!$J:$J,"❌ Doesn’t work",'UAT · Oliva'!$O:$O,"&lt;&gt;Fixed – please re-test",'UAT · Oliva'!$O:$O,"&lt;&gt;Won’t change")+COUNTIFS('UAT · Oliva'!$D:$D,"Shell",'UAT · Oliva'!$J:$J,"🔍 Couldn’t find it",'UAT · Oliva'!$O:$O,"&lt;&gt;Fixed – please re-test",'UAT · Oliva'!$O:$O,"&lt;&gt;Won’t change")</f>
        <v/>
      </c>
      <c r="O40" s="25">
        <f>COUNTIFS('UAT · Swati'!$D:$D,"Shell",'UAT · Swati'!$J:$J,"&lt;&gt;")</f>
        <v/>
      </c>
      <c r="P40" s="25">
        <f>COUNTIFS('UAT · Swati'!$D:$D,"Shell",'UAT · Swati'!$J:$J,"✅ Works")</f>
        <v/>
      </c>
      <c r="Q40" s="25">
        <f>COUNTIFS('UAT · Swati'!$D:$D,"Shell",'UAT · Swati'!$J:$J,"🟡 Works, but…")</f>
        <v/>
      </c>
      <c r="R40" s="25">
        <f>COUNTIFS('UAT · Swati'!$D:$D,"Shell",'UAT · Swati'!$J:$J,"❌ Doesn’t work")</f>
        <v/>
      </c>
      <c r="S40" s="25">
        <f>COUNTIFS('UAT · Swati'!$D:$D,"Shell",'UAT · Swati'!$J:$J,"🔍 Couldn’t find it")</f>
        <v/>
      </c>
      <c r="T40" s="25">
        <f>COUNTIFS('UAT · Swati'!$D:$D,"Shell",'UAT · Swati'!$J:$J,"❌ Doesn’t work",'UAT · Swati'!$O:$O,"&lt;&gt;Fixed – please re-test",'UAT · Swati'!$O:$O,"&lt;&gt;Won’t change")+COUNTIFS('UAT · Swati'!$D:$D,"Shell",'UAT · Swati'!$J:$J,"🔍 Couldn’t find it",'UAT · Swati'!$O:$O,"&lt;&gt;Fixed – please re-test",'UAT · Swati'!$O:$O,"&lt;&gt;Won’t change")</f>
        <v/>
      </c>
    </row>
    <row r="41">
      <c r="A41" s="24" t="inlineStr">
        <is>
          <t>Company</t>
        </is>
      </c>
      <c r="B41" s="24">
        <f>COUNTIF('UAT · Dane'!$D:$D,"Company")</f>
        <v/>
      </c>
      <c r="C41" s="25">
        <f>COUNTIFS('UAT · Dane'!$D:$D,"Company",'UAT · Dane'!$J:$J,"&lt;&gt;")</f>
        <v/>
      </c>
      <c r="D41" s="25">
        <f>COUNTIFS('UAT · Dane'!$D:$D,"Company",'UAT · Dane'!$J:$J,"✅ Works")</f>
        <v/>
      </c>
      <c r="E41" s="25">
        <f>COUNTIFS('UAT · Dane'!$D:$D,"Company",'UAT · Dane'!$J:$J,"🟡 Works, but…")</f>
        <v/>
      </c>
      <c r="F41" s="25">
        <f>COUNTIFS('UAT · Dane'!$D:$D,"Company",'UAT · Dane'!$J:$J,"❌ Doesn’t work")</f>
        <v/>
      </c>
      <c r="G41" s="25">
        <f>COUNTIFS('UAT · Dane'!$D:$D,"Company",'UAT · Dane'!$J:$J,"🔍 Couldn’t find it")</f>
        <v/>
      </c>
      <c r="H41" s="25">
        <f>COUNTIFS('UAT · Dane'!$D:$D,"Company",'UAT · Dane'!$J:$J,"❌ Doesn’t work",'UAT · Dane'!$O:$O,"&lt;&gt;Fixed – please re-test",'UAT · Dane'!$O:$O,"&lt;&gt;Won’t change")+COUNTIFS('UAT · Dane'!$D:$D,"Company",'UAT · Dane'!$J:$J,"🔍 Couldn’t find it",'UAT · Dane'!$O:$O,"&lt;&gt;Fixed – please re-test",'UAT · Dane'!$O:$O,"&lt;&gt;Won’t change")</f>
        <v/>
      </c>
      <c r="I41" s="25">
        <f>COUNTIFS('UAT · Oliva'!$D:$D,"Company",'UAT · Oliva'!$J:$J,"&lt;&gt;")</f>
        <v/>
      </c>
      <c r="J41" s="25">
        <f>COUNTIFS('UAT · Oliva'!$D:$D,"Company",'UAT · Oliva'!$J:$J,"✅ Works")</f>
        <v/>
      </c>
      <c r="K41" s="25">
        <f>COUNTIFS('UAT · Oliva'!$D:$D,"Company",'UAT · Oliva'!$J:$J,"🟡 Works, but…")</f>
        <v/>
      </c>
      <c r="L41" s="25">
        <f>COUNTIFS('UAT · Oliva'!$D:$D,"Company",'UAT · Oliva'!$J:$J,"❌ Doesn’t work")</f>
        <v/>
      </c>
      <c r="M41" s="25">
        <f>COUNTIFS('UAT · Oliva'!$D:$D,"Company",'UAT · Oliva'!$J:$J,"🔍 Couldn’t find it")</f>
        <v/>
      </c>
      <c r="N41" s="25">
        <f>COUNTIFS('UAT · Oliva'!$D:$D,"Company",'UAT · Oliva'!$J:$J,"❌ Doesn’t work",'UAT · Oliva'!$O:$O,"&lt;&gt;Fixed – please re-test",'UAT · Oliva'!$O:$O,"&lt;&gt;Won’t change")+COUNTIFS('UAT · Oliva'!$D:$D,"Company",'UAT · Oliva'!$J:$J,"🔍 Couldn’t find it",'UAT · Oliva'!$O:$O,"&lt;&gt;Fixed – please re-test",'UAT · Oliva'!$O:$O,"&lt;&gt;Won’t change")</f>
        <v/>
      </c>
      <c r="O41" s="25">
        <f>COUNTIFS('UAT · Swati'!$D:$D,"Company",'UAT · Swati'!$J:$J,"&lt;&gt;")</f>
        <v/>
      </c>
      <c r="P41" s="25">
        <f>COUNTIFS('UAT · Swati'!$D:$D,"Company",'UAT · Swati'!$J:$J,"✅ Works")</f>
        <v/>
      </c>
      <c r="Q41" s="25">
        <f>COUNTIFS('UAT · Swati'!$D:$D,"Company",'UAT · Swati'!$J:$J,"🟡 Works, but…")</f>
        <v/>
      </c>
      <c r="R41" s="25">
        <f>COUNTIFS('UAT · Swati'!$D:$D,"Company",'UAT · Swati'!$J:$J,"❌ Doesn’t work")</f>
        <v/>
      </c>
      <c r="S41" s="25">
        <f>COUNTIFS('UAT · Swati'!$D:$D,"Company",'UAT · Swati'!$J:$J,"🔍 Couldn’t find it")</f>
        <v/>
      </c>
      <c r="T41" s="25">
        <f>COUNTIFS('UAT · Swati'!$D:$D,"Company",'UAT · Swati'!$J:$J,"❌ Doesn’t work",'UAT · Swati'!$O:$O,"&lt;&gt;Fixed – please re-test",'UAT · Swati'!$O:$O,"&lt;&gt;Won’t change")+COUNTIFS('UAT · Swati'!$D:$D,"Company",'UAT · Swati'!$J:$J,"🔍 Couldn’t find it",'UAT · Swati'!$O:$O,"&lt;&gt;Fixed – please re-test",'UAT · Swati'!$O:$O,"&lt;&gt;Won’t change")</f>
        <v/>
      </c>
    </row>
    <row r="42">
      <c r="A42" s="24" t="inlineStr">
        <is>
          <t>Settings</t>
        </is>
      </c>
      <c r="B42" s="24">
        <f>COUNTIF('UAT · Dane'!$D:$D,"Settings")</f>
        <v/>
      </c>
      <c r="C42" s="25">
        <f>COUNTIFS('UAT · Dane'!$D:$D,"Settings",'UAT · Dane'!$J:$J,"&lt;&gt;")</f>
        <v/>
      </c>
      <c r="D42" s="25">
        <f>COUNTIFS('UAT · Dane'!$D:$D,"Settings",'UAT · Dane'!$J:$J,"✅ Works")</f>
        <v/>
      </c>
      <c r="E42" s="25">
        <f>COUNTIFS('UAT · Dane'!$D:$D,"Settings",'UAT · Dane'!$J:$J,"🟡 Works, but…")</f>
        <v/>
      </c>
      <c r="F42" s="25">
        <f>COUNTIFS('UAT · Dane'!$D:$D,"Settings",'UAT · Dane'!$J:$J,"❌ Doesn’t work")</f>
        <v/>
      </c>
      <c r="G42" s="25">
        <f>COUNTIFS('UAT · Dane'!$D:$D,"Settings",'UAT · Dane'!$J:$J,"🔍 Couldn’t find it")</f>
        <v/>
      </c>
      <c r="H42" s="25">
        <f>COUNTIFS('UAT · Dane'!$D:$D,"Settings",'UAT · Dane'!$J:$J,"❌ Doesn’t work",'UAT · Dane'!$O:$O,"&lt;&gt;Fixed – please re-test",'UAT · Dane'!$O:$O,"&lt;&gt;Won’t change")+COUNTIFS('UAT · Dane'!$D:$D,"Settings",'UAT · Dane'!$J:$J,"🔍 Couldn’t find it",'UAT · Dane'!$O:$O,"&lt;&gt;Fixed – please re-test",'UAT · Dane'!$O:$O,"&lt;&gt;Won’t change")</f>
        <v/>
      </c>
      <c r="I42" s="25">
        <f>COUNTIFS('UAT · Oliva'!$D:$D,"Settings",'UAT · Oliva'!$J:$J,"&lt;&gt;")</f>
        <v/>
      </c>
      <c r="J42" s="25">
        <f>COUNTIFS('UAT · Oliva'!$D:$D,"Settings",'UAT · Oliva'!$J:$J,"✅ Works")</f>
        <v/>
      </c>
      <c r="K42" s="25">
        <f>COUNTIFS('UAT · Oliva'!$D:$D,"Settings",'UAT · Oliva'!$J:$J,"🟡 Works, but…")</f>
        <v/>
      </c>
      <c r="L42" s="25">
        <f>COUNTIFS('UAT · Oliva'!$D:$D,"Settings",'UAT · Oliva'!$J:$J,"❌ Doesn’t work")</f>
        <v/>
      </c>
      <c r="M42" s="25">
        <f>COUNTIFS('UAT · Oliva'!$D:$D,"Settings",'UAT · Oliva'!$J:$J,"🔍 Couldn’t find it")</f>
        <v/>
      </c>
      <c r="N42" s="25">
        <f>COUNTIFS('UAT · Oliva'!$D:$D,"Settings",'UAT · Oliva'!$J:$J,"❌ Doesn’t work",'UAT · Oliva'!$O:$O,"&lt;&gt;Fixed – please re-test",'UAT · Oliva'!$O:$O,"&lt;&gt;Won’t change")+COUNTIFS('UAT · Oliva'!$D:$D,"Settings",'UAT · Oliva'!$J:$J,"🔍 Couldn’t find it",'UAT · Oliva'!$O:$O,"&lt;&gt;Fixed – please re-test",'UAT · Oliva'!$O:$O,"&lt;&gt;Won’t change")</f>
        <v/>
      </c>
      <c r="O42" s="25">
        <f>COUNTIFS('UAT · Swati'!$D:$D,"Settings",'UAT · Swati'!$J:$J,"&lt;&gt;")</f>
        <v/>
      </c>
      <c r="P42" s="25">
        <f>COUNTIFS('UAT · Swati'!$D:$D,"Settings",'UAT · Swati'!$J:$J,"✅ Works")</f>
        <v/>
      </c>
      <c r="Q42" s="25">
        <f>COUNTIFS('UAT · Swati'!$D:$D,"Settings",'UAT · Swati'!$J:$J,"🟡 Works, but…")</f>
        <v/>
      </c>
      <c r="R42" s="25">
        <f>COUNTIFS('UAT · Swati'!$D:$D,"Settings",'UAT · Swati'!$J:$J,"❌ Doesn’t work")</f>
        <v/>
      </c>
      <c r="S42" s="25">
        <f>COUNTIFS('UAT · Swati'!$D:$D,"Settings",'UAT · Swati'!$J:$J,"🔍 Couldn’t find it")</f>
        <v/>
      </c>
      <c r="T42" s="25">
        <f>COUNTIFS('UAT · Swati'!$D:$D,"Settings",'UAT · Swati'!$J:$J,"❌ Doesn’t work",'UAT · Swati'!$O:$O,"&lt;&gt;Fixed – please re-test",'UAT · Swati'!$O:$O,"&lt;&gt;Won’t change")+COUNTIFS('UAT · Swati'!$D:$D,"Settings",'UAT · Swati'!$J:$J,"🔍 Couldn’t find it",'UAT · Swati'!$O:$O,"&lt;&gt;Fixed – please re-test",'UAT · Swati'!$O:$O,"&lt;&gt;Won’t change")</f>
        <v/>
      </c>
    </row>
    <row r="43">
      <c r="A43" s="24" t="inlineStr">
        <is>
          <t>Price book</t>
        </is>
      </c>
      <c r="B43" s="24">
        <f>COUNTIF('UAT · Dane'!$D:$D,"Price book")</f>
        <v/>
      </c>
      <c r="C43" s="25">
        <f>COUNTIFS('UAT · Dane'!$D:$D,"Price book",'UAT · Dane'!$J:$J,"&lt;&gt;")</f>
        <v/>
      </c>
      <c r="D43" s="25">
        <f>COUNTIFS('UAT · Dane'!$D:$D,"Price book",'UAT · Dane'!$J:$J,"✅ Works")</f>
        <v/>
      </c>
      <c r="E43" s="25">
        <f>COUNTIFS('UAT · Dane'!$D:$D,"Price book",'UAT · Dane'!$J:$J,"🟡 Works, but…")</f>
        <v/>
      </c>
      <c r="F43" s="25">
        <f>COUNTIFS('UAT · Dane'!$D:$D,"Price book",'UAT · Dane'!$J:$J,"❌ Doesn’t work")</f>
        <v/>
      </c>
      <c r="G43" s="25">
        <f>COUNTIFS('UAT · Dane'!$D:$D,"Price book",'UAT · Dane'!$J:$J,"🔍 Couldn’t find it")</f>
        <v/>
      </c>
      <c r="H43" s="25">
        <f>COUNTIFS('UAT · Dane'!$D:$D,"Price book",'UAT · Dane'!$J:$J,"❌ Doesn’t work",'UAT · Dane'!$O:$O,"&lt;&gt;Fixed – please re-test",'UAT · Dane'!$O:$O,"&lt;&gt;Won’t change")+COUNTIFS('UAT · Dane'!$D:$D,"Price book",'UAT · Dane'!$J:$J,"🔍 Couldn’t find it",'UAT · Dane'!$O:$O,"&lt;&gt;Fixed – please re-test",'UAT · Dane'!$O:$O,"&lt;&gt;Won’t change")</f>
        <v/>
      </c>
      <c r="I43" s="25">
        <f>COUNTIFS('UAT · Oliva'!$D:$D,"Price book",'UAT · Oliva'!$J:$J,"&lt;&gt;")</f>
        <v/>
      </c>
      <c r="J43" s="25">
        <f>COUNTIFS('UAT · Oliva'!$D:$D,"Price book",'UAT · Oliva'!$J:$J,"✅ Works")</f>
        <v/>
      </c>
      <c r="K43" s="25">
        <f>COUNTIFS('UAT · Oliva'!$D:$D,"Price book",'UAT · Oliva'!$J:$J,"🟡 Works, but…")</f>
        <v/>
      </c>
      <c r="L43" s="25">
        <f>COUNTIFS('UAT · Oliva'!$D:$D,"Price book",'UAT · Oliva'!$J:$J,"❌ Doesn’t work")</f>
        <v/>
      </c>
      <c r="M43" s="25">
        <f>COUNTIFS('UAT · Oliva'!$D:$D,"Price book",'UAT · Oliva'!$J:$J,"🔍 Couldn’t find it")</f>
        <v/>
      </c>
      <c r="N43" s="25">
        <f>COUNTIFS('UAT · Oliva'!$D:$D,"Price book",'UAT · Oliva'!$J:$J,"❌ Doesn’t work",'UAT · Oliva'!$O:$O,"&lt;&gt;Fixed – please re-test",'UAT · Oliva'!$O:$O,"&lt;&gt;Won’t change")+COUNTIFS('UAT · Oliva'!$D:$D,"Price book",'UAT · Oliva'!$J:$J,"🔍 Couldn’t find it",'UAT · Oliva'!$O:$O,"&lt;&gt;Fixed – please re-test",'UAT · Oliva'!$O:$O,"&lt;&gt;Won’t change")</f>
        <v/>
      </c>
      <c r="O43" s="25">
        <f>COUNTIFS('UAT · Swati'!$D:$D,"Price book",'UAT · Swati'!$J:$J,"&lt;&gt;")</f>
        <v/>
      </c>
      <c r="P43" s="25">
        <f>COUNTIFS('UAT · Swati'!$D:$D,"Price book",'UAT · Swati'!$J:$J,"✅ Works")</f>
        <v/>
      </c>
      <c r="Q43" s="25">
        <f>COUNTIFS('UAT · Swati'!$D:$D,"Price book",'UAT · Swati'!$J:$J,"🟡 Works, but…")</f>
        <v/>
      </c>
      <c r="R43" s="25">
        <f>COUNTIFS('UAT · Swati'!$D:$D,"Price book",'UAT · Swati'!$J:$J,"❌ Doesn’t work")</f>
        <v/>
      </c>
      <c r="S43" s="25">
        <f>COUNTIFS('UAT · Swati'!$D:$D,"Price book",'UAT · Swati'!$J:$J,"🔍 Couldn’t find it")</f>
        <v/>
      </c>
      <c r="T43" s="25">
        <f>COUNTIFS('UAT · Swati'!$D:$D,"Price book",'UAT · Swati'!$J:$J,"❌ Doesn’t work",'UAT · Swati'!$O:$O,"&lt;&gt;Fixed – please re-test",'UAT · Swati'!$O:$O,"&lt;&gt;Won’t change")+COUNTIFS('UAT · Swati'!$D:$D,"Price book",'UAT · Swati'!$J:$J,"🔍 Couldn’t find it",'UAT · Swati'!$O:$O,"&lt;&gt;Fixed – please re-test",'UAT · Swati'!$O:$O,"&lt;&gt;Won’t change")</f>
        <v/>
      </c>
    </row>
    <row r="44">
      <c r="A44" s="24" t="inlineStr">
        <is>
          <t>Templates</t>
        </is>
      </c>
      <c r="B44" s="24">
        <f>COUNTIF('UAT · Dane'!$D:$D,"Templates")</f>
        <v/>
      </c>
      <c r="C44" s="25">
        <f>COUNTIFS('UAT · Dane'!$D:$D,"Templates",'UAT · Dane'!$J:$J,"&lt;&gt;")</f>
        <v/>
      </c>
      <c r="D44" s="25">
        <f>COUNTIFS('UAT · Dane'!$D:$D,"Templates",'UAT · Dane'!$J:$J,"✅ Works")</f>
        <v/>
      </c>
      <c r="E44" s="25">
        <f>COUNTIFS('UAT · Dane'!$D:$D,"Templates",'UAT · Dane'!$J:$J,"🟡 Works, but…")</f>
        <v/>
      </c>
      <c r="F44" s="25">
        <f>COUNTIFS('UAT · Dane'!$D:$D,"Templates",'UAT · Dane'!$J:$J,"❌ Doesn’t work")</f>
        <v/>
      </c>
      <c r="G44" s="25">
        <f>COUNTIFS('UAT · Dane'!$D:$D,"Templates",'UAT · Dane'!$J:$J,"🔍 Couldn’t find it")</f>
        <v/>
      </c>
      <c r="H44" s="25">
        <f>COUNTIFS('UAT · Dane'!$D:$D,"Templates",'UAT · Dane'!$J:$J,"❌ Doesn’t work",'UAT · Dane'!$O:$O,"&lt;&gt;Fixed – please re-test",'UAT · Dane'!$O:$O,"&lt;&gt;Won’t change")+COUNTIFS('UAT · Dane'!$D:$D,"Templates",'UAT · Dane'!$J:$J,"🔍 Couldn’t find it",'UAT · Dane'!$O:$O,"&lt;&gt;Fixed – please re-test",'UAT · Dane'!$O:$O,"&lt;&gt;Won’t change")</f>
        <v/>
      </c>
      <c r="I44" s="25">
        <f>COUNTIFS('UAT · Oliva'!$D:$D,"Templates",'UAT · Oliva'!$J:$J,"&lt;&gt;")</f>
        <v/>
      </c>
      <c r="J44" s="25">
        <f>COUNTIFS('UAT · Oliva'!$D:$D,"Templates",'UAT · Oliva'!$J:$J,"✅ Works")</f>
        <v/>
      </c>
      <c r="K44" s="25">
        <f>COUNTIFS('UAT · Oliva'!$D:$D,"Templates",'UAT · Oliva'!$J:$J,"🟡 Works, but…")</f>
        <v/>
      </c>
      <c r="L44" s="25">
        <f>COUNTIFS('UAT · Oliva'!$D:$D,"Templates",'UAT · Oliva'!$J:$J,"❌ Doesn’t work")</f>
        <v/>
      </c>
      <c r="M44" s="25">
        <f>COUNTIFS('UAT · Oliva'!$D:$D,"Templates",'UAT · Oliva'!$J:$J,"🔍 Couldn’t find it")</f>
        <v/>
      </c>
      <c r="N44" s="25">
        <f>COUNTIFS('UAT · Oliva'!$D:$D,"Templates",'UAT · Oliva'!$J:$J,"❌ Doesn’t work",'UAT · Oliva'!$O:$O,"&lt;&gt;Fixed – please re-test",'UAT · Oliva'!$O:$O,"&lt;&gt;Won’t change")+COUNTIFS('UAT · Oliva'!$D:$D,"Templates",'UAT · Oliva'!$J:$J,"🔍 Couldn’t find it",'UAT · Oliva'!$O:$O,"&lt;&gt;Fixed – please re-test",'UAT · Oliva'!$O:$O,"&lt;&gt;Won’t change")</f>
        <v/>
      </c>
      <c r="O44" s="25">
        <f>COUNTIFS('UAT · Swati'!$D:$D,"Templates",'UAT · Swati'!$J:$J,"&lt;&gt;")</f>
        <v/>
      </c>
      <c r="P44" s="25">
        <f>COUNTIFS('UAT · Swati'!$D:$D,"Templates",'UAT · Swati'!$J:$J,"✅ Works")</f>
        <v/>
      </c>
      <c r="Q44" s="25">
        <f>COUNTIFS('UAT · Swati'!$D:$D,"Templates",'UAT · Swati'!$J:$J,"🟡 Works, but…")</f>
        <v/>
      </c>
      <c r="R44" s="25">
        <f>COUNTIFS('UAT · Swati'!$D:$D,"Templates",'UAT · Swati'!$J:$J,"❌ Doesn’t work")</f>
        <v/>
      </c>
      <c r="S44" s="25">
        <f>COUNTIFS('UAT · Swati'!$D:$D,"Templates",'UAT · Swati'!$J:$J,"🔍 Couldn’t find it")</f>
        <v/>
      </c>
      <c r="T44" s="25">
        <f>COUNTIFS('UAT · Swati'!$D:$D,"Templates",'UAT · Swati'!$J:$J,"❌ Doesn’t work",'UAT · Swati'!$O:$O,"&lt;&gt;Fixed – please re-test",'UAT · Swati'!$O:$O,"&lt;&gt;Won’t change")+COUNTIFS('UAT · Swati'!$D:$D,"Templates",'UAT · Swati'!$J:$J,"🔍 Couldn’t find it",'UAT · Swati'!$O:$O,"&lt;&gt;Fixed – please re-test",'UAT · Swati'!$O:$O,"&lt;&gt;Won’t change")</f>
        <v/>
      </c>
    </row>
    <row r="45">
      <c r="A45" s="24" t="inlineStr">
        <is>
          <t>Leads</t>
        </is>
      </c>
      <c r="B45" s="24">
        <f>COUNTIF('UAT · Dane'!$D:$D,"Leads")</f>
        <v/>
      </c>
      <c r="C45" s="25">
        <f>COUNTIFS('UAT · Dane'!$D:$D,"Leads",'UAT · Dane'!$J:$J,"&lt;&gt;")</f>
        <v/>
      </c>
      <c r="D45" s="25">
        <f>COUNTIFS('UAT · Dane'!$D:$D,"Leads",'UAT · Dane'!$J:$J,"✅ Works")</f>
        <v/>
      </c>
      <c r="E45" s="25">
        <f>COUNTIFS('UAT · Dane'!$D:$D,"Leads",'UAT · Dane'!$J:$J,"🟡 Works, but…")</f>
        <v/>
      </c>
      <c r="F45" s="25">
        <f>COUNTIFS('UAT · Dane'!$D:$D,"Leads",'UAT · Dane'!$J:$J,"❌ Doesn’t work")</f>
        <v/>
      </c>
      <c r="G45" s="25">
        <f>COUNTIFS('UAT · Dane'!$D:$D,"Leads",'UAT · Dane'!$J:$J,"🔍 Couldn’t find it")</f>
        <v/>
      </c>
      <c r="H45" s="25">
        <f>COUNTIFS('UAT · Dane'!$D:$D,"Leads",'UAT · Dane'!$J:$J,"❌ Doesn’t work",'UAT · Dane'!$O:$O,"&lt;&gt;Fixed – please re-test",'UAT · Dane'!$O:$O,"&lt;&gt;Won’t change")+COUNTIFS('UAT · Dane'!$D:$D,"Leads",'UAT · Dane'!$J:$J,"🔍 Couldn’t find it",'UAT · Dane'!$O:$O,"&lt;&gt;Fixed – please re-test",'UAT · Dane'!$O:$O,"&lt;&gt;Won’t change")</f>
        <v/>
      </c>
      <c r="I45" s="25">
        <f>COUNTIFS('UAT · Oliva'!$D:$D,"Leads",'UAT · Oliva'!$J:$J,"&lt;&gt;")</f>
        <v/>
      </c>
      <c r="J45" s="25">
        <f>COUNTIFS('UAT · Oliva'!$D:$D,"Leads",'UAT · Oliva'!$J:$J,"✅ Works")</f>
        <v/>
      </c>
      <c r="K45" s="25">
        <f>COUNTIFS('UAT · Oliva'!$D:$D,"Leads",'UAT · Oliva'!$J:$J,"🟡 Works, but…")</f>
        <v/>
      </c>
      <c r="L45" s="25">
        <f>COUNTIFS('UAT · Oliva'!$D:$D,"Leads",'UAT · Oliva'!$J:$J,"❌ Doesn’t work")</f>
        <v/>
      </c>
      <c r="M45" s="25">
        <f>COUNTIFS('UAT · Oliva'!$D:$D,"Leads",'UAT · Oliva'!$J:$J,"🔍 Couldn’t find it")</f>
        <v/>
      </c>
      <c r="N45" s="25">
        <f>COUNTIFS('UAT · Oliva'!$D:$D,"Leads",'UAT · Oliva'!$J:$J,"❌ Doesn’t work",'UAT · Oliva'!$O:$O,"&lt;&gt;Fixed – please re-test",'UAT · Oliva'!$O:$O,"&lt;&gt;Won’t change")+COUNTIFS('UAT · Oliva'!$D:$D,"Leads",'UAT · Oliva'!$J:$J,"🔍 Couldn’t find it",'UAT · Oliva'!$O:$O,"&lt;&gt;Fixed – please re-test",'UAT · Oliva'!$O:$O,"&lt;&gt;Won’t change")</f>
        <v/>
      </c>
      <c r="O45" s="25">
        <f>COUNTIFS('UAT · Swati'!$D:$D,"Leads",'UAT · Swati'!$J:$J,"&lt;&gt;")</f>
        <v/>
      </c>
      <c r="P45" s="25">
        <f>COUNTIFS('UAT · Swati'!$D:$D,"Leads",'UAT · Swati'!$J:$J,"✅ Works")</f>
        <v/>
      </c>
      <c r="Q45" s="25">
        <f>COUNTIFS('UAT · Swati'!$D:$D,"Leads",'UAT · Swati'!$J:$J,"🟡 Works, but…")</f>
        <v/>
      </c>
      <c r="R45" s="25">
        <f>COUNTIFS('UAT · Swati'!$D:$D,"Leads",'UAT · Swati'!$J:$J,"❌ Doesn’t work")</f>
        <v/>
      </c>
      <c r="S45" s="25">
        <f>COUNTIFS('UAT · Swati'!$D:$D,"Leads",'UAT · Swati'!$J:$J,"🔍 Couldn’t find it")</f>
        <v/>
      </c>
      <c r="T45" s="25">
        <f>COUNTIFS('UAT · Swati'!$D:$D,"Leads",'UAT · Swati'!$J:$J,"❌ Doesn’t work",'UAT · Swati'!$O:$O,"&lt;&gt;Fixed – please re-test",'UAT · Swati'!$O:$O,"&lt;&gt;Won’t change")+COUNTIFS('UAT · Swati'!$D:$D,"Leads",'UAT · Swati'!$J:$J,"🔍 Couldn’t find it",'UAT · Swati'!$O:$O,"&lt;&gt;Fixed – please re-test",'UAT · Swati'!$O:$O,"&lt;&gt;Won’t change")</f>
        <v/>
      </c>
    </row>
    <row r="46">
      <c r="A46" s="24" t="inlineStr">
        <is>
          <t>Lead details</t>
        </is>
      </c>
      <c r="B46" s="24">
        <f>COUNTIF('UAT · Dane'!$D:$D,"Lead details")</f>
        <v/>
      </c>
      <c r="C46" s="25">
        <f>COUNTIFS('UAT · Dane'!$D:$D,"Lead details",'UAT · Dane'!$J:$J,"&lt;&gt;")</f>
        <v/>
      </c>
      <c r="D46" s="25">
        <f>COUNTIFS('UAT · Dane'!$D:$D,"Lead details",'UAT · Dane'!$J:$J,"✅ Works")</f>
        <v/>
      </c>
      <c r="E46" s="25">
        <f>COUNTIFS('UAT · Dane'!$D:$D,"Lead details",'UAT · Dane'!$J:$J,"🟡 Works, but…")</f>
        <v/>
      </c>
      <c r="F46" s="25">
        <f>COUNTIFS('UAT · Dane'!$D:$D,"Lead details",'UAT · Dane'!$J:$J,"❌ Doesn’t work")</f>
        <v/>
      </c>
      <c r="G46" s="25">
        <f>COUNTIFS('UAT · Dane'!$D:$D,"Lead details",'UAT · Dane'!$J:$J,"🔍 Couldn’t find it")</f>
        <v/>
      </c>
      <c r="H46" s="25">
        <f>COUNTIFS('UAT · Dane'!$D:$D,"Lead details",'UAT · Dane'!$J:$J,"❌ Doesn’t work",'UAT · Dane'!$O:$O,"&lt;&gt;Fixed – please re-test",'UAT · Dane'!$O:$O,"&lt;&gt;Won’t change")+COUNTIFS('UAT · Dane'!$D:$D,"Lead details",'UAT · Dane'!$J:$J,"🔍 Couldn’t find it",'UAT · Dane'!$O:$O,"&lt;&gt;Fixed – please re-test",'UAT · Dane'!$O:$O,"&lt;&gt;Won’t change")</f>
        <v/>
      </c>
      <c r="I46" s="25">
        <f>COUNTIFS('UAT · Oliva'!$D:$D,"Lead details",'UAT · Oliva'!$J:$J,"&lt;&gt;")</f>
        <v/>
      </c>
      <c r="J46" s="25">
        <f>COUNTIFS('UAT · Oliva'!$D:$D,"Lead details",'UAT · Oliva'!$J:$J,"✅ Works")</f>
        <v/>
      </c>
      <c r="K46" s="25">
        <f>COUNTIFS('UAT · Oliva'!$D:$D,"Lead details",'UAT · Oliva'!$J:$J,"🟡 Works, but…")</f>
        <v/>
      </c>
      <c r="L46" s="25">
        <f>COUNTIFS('UAT · Oliva'!$D:$D,"Lead details",'UAT · Oliva'!$J:$J,"❌ Doesn’t work")</f>
        <v/>
      </c>
      <c r="M46" s="25">
        <f>COUNTIFS('UAT · Oliva'!$D:$D,"Lead details",'UAT · Oliva'!$J:$J,"🔍 Couldn’t find it")</f>
        <v/>
      </c>
      <c r="N46" s="25">
        <f>COUNTIFS('UAT · Oliva'!$D:$D,"Lead details",'UAT · Oliva'!$J:$J,"❌ Doesn’t work",'UAT · Oliva'!$O:$O,"&lt;&gt;Fixed – please re-test",'UAT · Oliva'!$O:$O,"&lt;&gt;Won’t change")+COUNTIFS('UAT · Oliva'!$D:$D,"Lead details",'UAT · Oliva'!$J:$J,"🔍 Couldn’t find it",'UAT · Oliva'!$O:$O,"&lt;&gt;Fixed – please re-test",'UAT · Oliva'!$O:$O,"&lt;&gt;Won’t change")</f>
        <v/>
      </c>
      <c r="O46" s="25">
        <f>COUNTIFS('UAT · Swati'!$D:$D,"Lead details",'UAT · Swati'!$J:$J,"&lt;&gt;")</f>
        <v/>
      </c>
      <c r="P46" s="25">
        <f>COUNTIFS('UAT · Swati'!$D:$D,"Lead details",'UAT · Swati'!$J:$J,"✅ Works")</f>
        <v/>
      </c>
      <c r="Q46" s="25">
        <f>COUNTIFS('UAT · Swati'!$D:$D,"Lead details",'UAT · Swati'!$J:$J,"🟡 Works, but…")</f>
        <v/>
      </c>
      <c r="R46" s="25">
        <f>COUNTIFS('UAT · Swati'!$D:$D,"Lead details",'UAT · Swati'!$J:$J,"❌ Doesn’t work")</f>
        <v/>
      </c>
      <c r="S46" s="25">
        <f>COUNTIFS('UAT · Swati'!$D:$D,"Lead details",'UAT · Swati'!$J:$J,"🔍 Couldn’t find it")</f>
        <v/>
      </c>
      <c r="T46" s="25">
        <f>COUNTIFS('UAT · Swati'!$D:$D,"Lead details",'UAT · Swati'!$J:$J,"❌ Doesn’t work",'UAT · Swati'!$O:$O,"&lt;&gt;Fixed – please re-test",'UAT · Swati'!$O:$O,"&lt;&gt;Won’t change")+COUNTIFS('UAT · Swati'!$D:$D,"Lead details",'UAT · Swati'!$J:$J,"🔍 Couldn’t find it",'UAT · Swati'!$O:$O,"&lt;&gt;Fixed – please re-test",'UAT · Swati'!$O:$O,"&lt;&gt;Won’t change")</f>
        <v/>
      </c>
    </row>
    <row r="47">
      <c r="A47" s="24" t="inlineStr">
        <is>
          <t>Tasks</t>
        </is>
      </c>
      <c r="B47" s="24">
        <f>COUNTIF('UAT · Dane'!$D:$D,"Tasks")</f>
        <v/>
      </c>
      <c r="C47" s="25">
        <f>COUNTIFS('UAT · Dane'!$D:$D,"Tasks",'UAT · Dane'!$J:$J,"&lt;&gt;")</f>
        <v/>
      </c>
      <c r="D47" s="25">
        <f>COUNTIFS('UAT · Dane'!$D:$D,"Tasks",'UAT · Dane'!$J:$J,"✅ Works")</f>
        <v/>
      </c>
      <c r="E47" s="25">
        <f>COUNTIFS('UAT · Dane'!$D:$D,"Tasks",'UAT · Dane'!$J:$J,"🟡 Works, but…")</f>
        <v/>
      </c>
      <c r="F47" s="25">
        <f>COUNTIFS('UAT · Dane'!$D:$D,"Tasks",'UAT · Dane'!$J:$J,"❌ Doesn’t work")</f>
        <v/>
      </c>
      <c r="G47" s="25">
        <f>COUNTIFS('UAT · Dane'!$D:$D,"Tasks",'UAT · Dane'!$J:$J,"🔍 Couldn’t find it")</f>
        <v/>
      </c>
      <c r="H47" s="25">
        <f>COUNTIFS('UAT · Dane'!$D:$D,"Tasks",'UAT · Dane'!$J:$J,"❌ Doesn’t work",'UAT · Dane'!$O:$O,"&lt;&gt;Fixed – please re-test",'UAT · Dane'!$O:$O,"&lt;&gt;Won’t change")+COUNTIFS('UAT · Dane'!$D:$D,"Tasks",'UAT · Dane'!$J:$J,"🔍 Couldn’t find it",'UAT · Dane'!$O:$O,"&lt;&gt;Fixed – please re-test",'UAT · Dane'!$O:$O,"&lt;&gt;Won’t change")</f>
        <v/>
      </c>
      <c r="I47" s="25">
        <f>COUNTIFS('UAT · Oliva'!$D:$D,"Tasks",'UAT · Oliva'!$J:$J,"&lt;&gt;")</f>
        <v/>
      </c>
      <c r="J47" s="25">
        <f>COUNTIFS('UAT · Oliva'!$D:$D,"Tasks",'UAT · Oliva'!$J:$J,"✅ Works")</f>
        <v/>
      </c>
      <c r="K47" s="25">
        <f>COUNTIFS('UAT · Oliva'!$D:$D,"Tasks",'UAT · Oliva'!$J:$J,"🟡 Works, but…")</f>
        <v/>
      </c>
      <c r="L47" s="25">
        <f>COUNTIFS('UAT · Oliva'!$D:$D,"Tasks",'UAT · Oliva'!$J:$J,"❌ Doesn’t work")</f>
        <v/>
      </c>
      <c r="M47" s="25">
        <f>COUNTIFS('UAT · Oliva'!$D:$D,"Tasks",'UAT · Oliva'!$J:$J,"🔍 Couldn’t find it")</f>
        <v/>
      </c>
      <c r="N47" s="25">
        <f>COUNTIFS('UAT · Oliva'!$D:$D,"Tasks",'UAT · Oliva'!$J:$J,"❌ Doesn’t work",'UAT · Oliva'!$O:$O,"&lt;&gt;Fixed – please re-test",'UAT · Oliva'!$O:$O,"&lt;&gt;Won’t change")+COUNTIFS('UAT · Oliva'!$D:$D,"Tasks",'UAT · Oliva'!$J:$J,"🔍 Couldn’t find it",'UAT · Oliva'!$O:$O,"&lt;&gt;Fixed – please re-test",'UAT · Oliva'!$O:$O,"&lt;&gt;Won’t change")</f>
        <v/>
      </c>
      <c r="O47" s="25">
        <f>COUNTIFS('UAT · Swati'!$D:$D,"Tasks",'UAT · Swati'!$J:$J,"&lt;&gt;")</f>
        <v/>
      </c>
      <c r="P47" s="25">
        <f>COUNTIFS('UAT · Swati'!$D:$D,"Tasks",'UAT · Swati'!$J:$J,"✅ Works")</f>
        <v/>
      </c>
      <c r="Q47" s="25">
        <f>COUNTIFS('UAT · Swati'!$D:$D,"Tasks",'UAT · Swati'!$J:$J,"🟡 Works, but…")</f>
        <v/>
      </c>
      <c r="R47" s="25">
        <f>COUNTIFS('UAT · Swati'!$D:$D,"Tasks",'UAT · Swati'!$J:$J,"❌ Doesn’t work")</f>
        <v/>
      </c>
      <c r="S47" s="25">
        <f>COUNTIFS('UAT · Swati'!$D:$D,"Tasks",'UAT · Swati'!$J:$J,"🔍 Couldn’t find it")</f>
        <v/>
      </c>
      <c r="T47" s="25">
        <f>COUNTIFS('UAT · Swati'!$D:$D,"Tasks",'UAT · Swati'!$J:$J,"❌ Doesn’t work",'UAT · Swati'!$O:$O,"&lt;&gt;Fixed – please re-test",'UAT · Swati'!$O:$O,"&lt;&gt;Won’t change")+COUNTIFS('UAT · Swati'!$D:$D,"Tasks",'UAT · Swati'!$J:$J,"🔍 Couldn’t find it",'UAT · Swati'!$O:$O,"&lt;&gt;Fixed – please re-test",'UAT · Swati'!$O:$O,"&lt;&gt;Won’t change")</f>
        <v/>
      </c>
    </row>
    <row r="48">
      <c r="A48" s="24" t="inlineStr">
        <is>
          <t>Quotes</t>
        </is>
      </c>
      <c r="B48" s="24">
        <f>COUNTIF('UAT · Dane'!$D:$D,"Quotes")</f>
        <v/>
      </c>
      <c r="C48" s="25">
        <f>COUNTIFS('UAT · Dane'!$D:$D,"Quotes",'UAT · Dane'!$J:$J,"&lt;&gt;")</f>
        <v/>
      </c>
      <c r="D48" s="25">
        <f>COUNTIFS('UAT · Dane'!$D:$D,"Quotes",'UAT · Dane'!$J:$J,"✅ Works")</f>
        <v/>
      </c>
      <c r="E48" s="25">
        <f>COUNTIFS('UAT · Dane'!$D:$D,"Quotes",'UAT · Dane'!$J:$J,"🟡 Works, but…")</f>
        <v/>
      </c>
      <c r="F48" s="25">
        <f>COUNTIFS('UAT · Dane'!$D:$D,"Quotes",'UAT · Dane'!$J:$J,"❌ Doesn’t work")</f>
        <v/>
      </c>
      <c r="G48" s="25">
        <f>COUNTIFS('UAT · Dane'!$D:$D,"Quotes",'UAT · Dane'!$J:$J,"🔍 Couldn’t find it")</f>
        <v/>
      </c>
      <c r="H48" s="25">
        <f>COUNTIFS('UAT · Dane'!$D:$D,"Quotes",'UAT · Dane'!$J:$J,"❌ Doesn’t work",'UAT · Dane'!$O:$O,"&lt;&gt;Fixed – please re-test",'UAT · Dane'!$O:$O,"&lt;&gt;Won’t change")+COUNTIFS('UAT · Dane'!$D:$D,"Quotes",'UAT · Dane'!$J:$J,"🔍 Couldn’t find it",'UAT · Dane'!$O:$O,"&lt;&gt;Fixed – please re-test",'UAT · Dane'!$O:$O,"&lt;&gt;Won’t change")</f>
        <v/>
      </c>
      <c r="I48" s="25">
        <f>COUNTIFS('UAT · Oliva'!$D:$D,"Quotes",'UAT · Oliva'!$J:$J,"&lt;&gt;")</f>
        <v/>
      </c>
      <c r="J48" s="25">
        <f>COUNTIFS('UAT · Oliva'!$D:$D,"Quotes",'UAT · Oliva'!$J:$J,"✅ Works")</f>
        <v/>
      </c>
      <c r="K48" s="25">
        <f>COUNTIFS('UAT · Oliva'!$D:$D,"Quotes",'UAT · Oliva'!$J:$J,"🟡 Works, but…")</f>
        <v/>
      </c>
      <c r="L48" s="25">
        <f>COUNTIFS('UAT · Oliva'!$D:$D,"Quotes",'UAT · Oliva'!$J:$J,"❌ Doesn’t work")</f>
        <v/>
      </c>
      <c r="M48" s="25">
        <f>COUNTIFS('UAT · Oliva'!$D:$D,"Quotes",'UAT · Oliva'!$J:$J,"🔍 Couldn’t find it")</f>
        <v/>
      </c>
      <c r="N48" s="25">
        <f>COUNTIFS('UAT · Oliva'!$D:$D,"Quotes",'UAT · Oliva'!$J:$J,"❌ Doesn’t work",'UAT · Oliva'!$O:$O,"&lt;&gt;Fixed – please re-test",'UAT · Oliva'!$O:$O,"&lt;&gt;Won’t change")+COUNTIFS('UAT · Oliva'!$D:$D,"Quotes",'UAT · Oliva'!$J:$J,"🔍 Couldn’t find it",'UAT · Oliva'!$O:$O,"&lt;&gt;Fixed – please re-test",'UAT · Oliva'!$O:$O,"&lt;&gt;Won’t change")</f>
        <v/>
      </c>
      <c r="O48" s="25">
        <f>COUNTIFS('UAT · Swati'!$D:$D,"Quotes",'UAT · Swati'!$J:$J,"&lt;&gt;")</f>
        <v/>
      </c>
      <c r="P48" s="25">
        <f>COUNTIFS('UAT · Swati'!$D:$D,"Quotes",'UAT · Swati'!$J:$J,"✅ Works")</f>
        <v/>
      </c>
      <c r="Q48" s="25">
        <f>COUNTIFS('UAT · Swati'!$D:$D,"Quotes",'UAT · Swati'!$J:$J,"🟡 Works, but…")</f>
        <v/>
      </c>
      <c r="R48" s="25">
        <f>COUNTIFS('UAT · Swati'!$D:$D,"Quotes",'UAT · Swati'!$J:$J,"❌ Doesn’t work")</f>
        <v/>
      </c>
      <c r="S48" s="25">
        <f>COUNTIFS('UAT · Swati'!$D:$D,"Quotes",'UAT · Swati'!$J:$J,"🔍 Couldn’t find it")</f>
        <v/>
      </c>
      <c r="T48" s="25">
        <f>COUNTIFS('UAT · Swati'!$D:$D,"Quotes",'UAT · Swati'!$J:$J,"❌ Doesn’t work",'UAT · Swati'!$O:$O,"&lt;&gt;Fixed – please re-test",'UAT · Swati'!$O:$O,"&lt;&gt;Won’t change")+COUNTIFS('UAT · Swati'!$D:$D,"Quotes",'UAT · Swati'!$J:$J,"🔍 Couldn’t find it",'UAT · Swati'!$O:$O,"&lt;&gt;Fixed – please re-test",'UAT · Swati'!$O:$O,"&lt;&gt;Won’t change")</f>
        <v/>
      </c>
    </row>
    <row r="49">
      <c r="A49" s="24" t="inlineStr">
        <is>
          <t>Quote X-Ray</t>
        </is>
      </c>
      <c r="B49" s="24">
        <f>COUNTIF('UAT · Dane'!$D:$D,"Quote X-Ray")</f>
        <v/>
      </c>
      <c r="C49" s="25">
        <f>COUNTIFS('UAT · Dane'!$D:$D,"Quote X-Ray",'UAT · Dane'!$J:$J,"&lt;&gt;")</f>
        <v/>
      </c>
      <c r="D49" s="25">
        <f>COUNTIFS('UAT · Dane'!$D:$D,"Quote X-Ray",'UAT · Dane'!$J:$J,"✅ Works")</f>
        <v/>
      </c>
      <c r="E49" s="25">
        <f>COUNTIFS('UAT · Dane'!$D:$D,"Quote X-Ray",'UAT · Dane'!$J:$J,"🟡 Works, but…")</f>
        <v/>
      </c>
      <c r="F49" s="25">
        <f>COUNTIFS('UAT · Dane'!$D:$D,"Quote X-Ray",'UAT · Dane'!$J:$J,"❌ Doesn’t work")</f>
        <v/>
      </c>
      <c r="G49" s="25">
        <f>COUNTIFS('UAT · Dane'!$D:$D,"Quote X-Ray",'UAT · Dane'!$J:$J,"🔍 Couldn’t find it")</f>
        <v/>
      </c>
      <c r="H49" s="25">
        <f>COUNTIFS('UAT · Dane'!$D:$D,"Quote X-Ray",'UAT · Dane'!$J:$J,"❌ Doesn’t work",'UAT · Dane'!$O:$O,"&lt;&gt;Fixed – please re-test",'UAT · Dane'!$O:$O,"&lt;&gt;Won’t change")+COUNTIFS('UAT · Dane'!$D:$D,"Quote X-Ray",'UAT · Dane'!$J:$J,"🔍 Couldn’t find it",'UAT · Dane'!$O:$O,"&lt;&gt;Fixed – please re-test",'UAT · Dane'!$O:$O,"&lt;&gt;Won’t change")</f>
        <v/>
      </c>
      <c r="I49" s="25">
        <f>COUNTIFS('UAT · Oliva'!$D:$D,"Quote X-Ray",'UAT · Oliva'!$J:$J,"&lt;&gt;")</f>
        <v/>
      </c>
      <c r="J49" s="25">
        <f>COUNTIFS('UAT · Oliva'!$D:$D,"Quote X-Ray",'UAT · Oliva'!$J:$J,"✅ Works")</f>
        <v/>
      </c>
      <c r="K49" s="25">
        <f>COUNTIFS('UAT · Oliva'!$D:$D,"Quote X-Ray",'UAT · Oliva'!$J:$J,"🟡 Works, but…")</f>
        <v/>
      </c>
      <c r="L49" s="25">
        <f>COUNTIFS('UAT · Oliva'!$D:$D,"Quote X-Ray",'UAT · Oliva'!$J:$J,"❌ Doesn’t work")</f>
        <v/>
      </c>
      <c r="M49" s="25">
        <f>COUNTIFS('UAT · Oliva'!$D:$D,"Quote X-Ray",'UAT · Oliva'!$J:$J,"🔍 Couldn’t find it")</f>
        <v/>
      </c>
      <c r="N49" s="25">
        <f>COUNTIFS('UAT · Oliva'!$D:$D,"Quote X-Ray",'UAT · Oliva'!$J:$J,"❌ Doesn’t work",'UAT · Oliva'!$O:$O,"&lt;&gt;Fixed – please re-test",'UAT · Oliva'!$O:$O,"&lt;&gt;Won’t change")+COUNTIFS('UAT · Oliva'!$D:$D,"Quote X-Ray",'UAT · Oliva'!$J:$J,"🔍 Couldn’t find it",'UAT · Oliva'!$O:$O,"&lt;&gt;Fixed – please re-test",'UAT · Oliva'!$O:$O,"&lt;&gt;Won’t change")</f>
        <v/>
      </c>
      <c r="O49" s="25">
        <f>COUNTIFS('UAT · Swati'!$D:$D,"Quote X-Ray",'UAT · Swati'!$J:$J,"&lt;&gt;")</f>
        <v/>
      </c>
      <c r="P49" s="25">
        <f>COUNTIFS('UAT · Swati'!$D:$D,"Quote X-Ray",'UAT · Swati'!$J:$J,"✅ Works")</f>
        <v/>
      </c>
      <c r="Q49" s="25">
        <f>COUNTIFS('UAT · Swati'!$D:$D,"Quote X-Ray",'UAT · Swati'!$J:$J,"🟡 Works, but…")</f>
        <v/>
      </c>
      <c r="R49" s="25">
        <f>COUNTIFS('UAT · Swati'!$D:$D,"Quote X-Ray",'UAT · Swati'!$J:$J,"❌ Doesn’t work")</f>
        <v/>
      </c>
      <c r="S49" s="25">
        <f>COUNTIFS('UAT · Swati'!$D:$D,"Quote X-Ray",'UAT · Swati'!$J:$J,"🔍 Couldn’t find it")</f>
        <v/>
      </c>
      <c r="T49" s="25">
        <f>COUNTIFS('UAT · Swati'!$D:$D,"Quote X-Ray",'UAT · Swati'!$J:$J,"❌ Doesn’t work",'UAT · Swati'!$O:$O,"&lt;&gt;Fixed – please re-test",'UAT · Swati'!$O:$O,"&lt;&gt;Won’t change")+COUNTIFS('UAT · Swati'!$D:$D,"Quote X-Ray",'UAT · Swati'!$J:$J,"🔍 Couldn’t find it",'UAT · Swati'!$O:$O,"&lt;&gt;Fixed – please re-test",'UAT · Swati'!$O:$O,"&lt;&gt;Won’t change")</f>
        <v/>
      </c>
    </row>
    <row r="50">
      <c r="A50" s="24" t="inlineStr">
        <is>
          <t>Contracts</t>
        </is>
      </c>
      <c r="B50" s="24">
        <f>COUNTIF('UAT · Dane'!$D:$D,"Contracts")</f>
        <v/>
      </c>
      <c r="C50" s="25">
        <f>COUNTIFS('UAT · Dane'!$D:$D,"Contracts",'UAT · Dane'!$J:$J,"&lt;&gt;")</f>
        <v/>
      </c>
      <c r="D50" s="25">
        <f>COUNTIFS('UAT · Dane'!$D:$D,"Contracts",'UAT · Dane'!$J:$J,"✅ Works")</f>
        <v/>
      </c>
      <c r="E50" s="25">
        <f>COUNTIFS('UAT · Dane'!$D:$D,"Contracts",'UAT · Dane'!$J:$J,"🟡 Works, but…")</f>
        <v/>
      </c>
      <c r="F50" s="25">
        <f>COUNTIFS('UAT · Dane'!$D:$D,"Contracts",'UAT · Dane'!$J:$J,"❌ Doesn’t work")</f>
        <v/>
      </c>
      <c r="G50" s="25">
        <f>COUNTIFS('UAT · Dane'!$D:$D,"Contracts",'UAT · Dane'!$J:$J,"🔍 Couldn’t find it")</f>
        <v/>
      </c>
      <c r="H50" s="25">
        <f>COUNTIFS('UAT · Dane'!$D:$D,"Contracts",'UAT · Dane'!$J:$J,"❌ Doesn’t work",'UAT · Dane'!$O:$O,"&lt;&gt;Fixed – please re-test",'UAT · Dane'!$O:$O,"&lt;&gt;Won’t change")+COUNTIFS('UAT · Dane'!$D:$D,"Contracts",'UAT · Dane'!$J:$J,"🔍 Couldn’t find it",'UAT · Dane'!$O:$O,"&lt;&gt;Fixed – please re-test",'UAT · Dane'!$O:$O,"&lt;&gt;Won’t change")</f>
        <v/>
      </c>
      <c r="I50" s="25">
        <f>COUNTIFS('UAT · Oliva'!$D:$D,"Contracts",'UAT · Oliva'!$J:$J,"&lt;&gt;")</f>
        <v/>
      </c>
      <c r="J50" s="25">
        <f>COUNTIFS('UAT · Oliva'!$D:$D,"Contracts",'UAT · Oliva'!$J:$J,"✅ Works")</f>
        <v/>
      </c>
      <c r="K50" s="25">
        <f>COUNTIFS('UAT · Oliva'!$D:$D,"Contracts",'UAT · Oliva'!$J:$J,"🟡 Works, but…")</f>
        <v/>
      </c>
      <c r="L50" s="25">
        <f>COUNTIFS('UAT · Oliva'!$D:$D,"Contracts",'UAT · Oliva'!$J:$J,"❌ Doesn’t work")</f>
        <v/>
      </c>
      <c r="M50" s="25">
        <f>COUNTIFS('UAT · Oliva'!$D:$D,"Contracts",'UAT · Oliva'!$J:$J,"🔍 Couldn’t find it")</f>
        <v/>
      </c>
      <c r="N50" s="25">
        <f>COUNTIFS('UAT · Oliva'!$D:$D,"Contracts",'UAT · Oliva'!$J:$J,"❌ Doesn’t work",'UAT · Oliva'!$O:$O,"&lt;&gt;Fixed – please re-test",'UAT · Oliva'!$O:$O,"&lt;&gt;Won’t change")+COUNTIFS('UAT · Oliva'!$D:$D,"Contracts",'UAT · Oliva'!$J:$J,"🔍 Couldn’t find it",'UAT · Oliva'!$O:$O,"&lt;&gt;Fixed – please re-test",'UAT · Oliva'!$O:$O,"&lt;&gt;Won’t change")</f>
        <v/>
      </c>
      <c r="O50" s="25">
        <f>COUNTIFS('UAT · Swati'!$D:$D,"Contracts",'UAT · Swati'!$J:$J,"&lt;&gt;")</f>
        <v/>
      </c>
      <c r="P50" s="25">
        <f>COUNTIFS('UAT · Swati'!$D:$D,"Contracts",'UAT · Swati'!$J:$J,"✅ Works")</f>
        <v/>
      </c>
      <c r="Q50" s="25">
        <f>COUNTIFS('UAT · Swati'!$D:$D,"Contracts",'UAT · Swati'!$J:$J,"🟡 Works, but…")</f>
        <v/>
      </c>
      <c r="R50" s="25">
        <f>COUNTIFS('UAT · Swati'!$D:$D,"Contracts",'UAT · Swati'!$J:$J,"❌ Doesn’t work")</f>
        <v/>
      </c>
      <c r="S50" s="25">
        <f>COUNTIFS('UAT · Swati'!$D:$D,"Contracts",'UAT · Swati'!$J:$J,"🔍 Couldn’t find it")</f>
        <v/>
      </c>
      <c r="T50" s="25">
        <f>COUNTIFS('UAT · Swati'!$D:$D,"Contracts",'UAT · Swati'!$J:$J,"❌ Doesn’t work",'UAT · Swati'!$O:$O,"&lt;&gt;Fixed – please re-test",'UAT · Swati'!$O:$O,"&lt;&gt;Won’t change")+COUNTIFS('UAT · Swati'!$D:$D,"Contracts",'UAT · Swati'!$J:$J,"🔍 Couldn’t find it",'UAT · Swati'!$O:$O,"&lt;&gt;Fixed – please re-test",'UAT · Swati'!$O:$O,"&lt;&gt;Won’t change")</f>
        <v/>
      </c>
    </row>
    <row r="51">
      <c r="A51" s="24" t="inlineStr">
        <is>
          <t>Notifications</t>
        </is>
      </c>
      <c r="B51" s="24">
        <f>COUNTIF('UAT · Dane'!$D:$D,"Notifications")</f>
        <v/>
      </c>
      <c r="C51" s="25">
        <f>COUNTIFS('UAT · Dane'!$D:$D,"Notifications",'UAT · Dane'!$J:$J,"&lt;&gt;")</f>
        <v/>
      </c>
      <c r="D51" s="25">
        <f>COUNTIFS('UAT · Dane'!$D:$D,"Notifications",'UAT · Dane'!$J:$J,"✅ Works")</f>
        <v/>
      </c>
      <c r="E51" s="25">
        <f>COUNTIFS('UAT · Dane'!$D:$D,"Notifications",'UAT · Dane'!$J:$J,"🟡 Works, but…")</f>
        <v/>
      </c>
      <c r="F51" s="25">
        <f>COUNTIFS('UAT · Dane'!$D:$D,"Notifications",'UAT · Dane'!$J:$J,"❌ Doesn’t work")</f>
        <v/>
      </c>
      <c r="G51" s="25">
        <f>COUNTIFS('UAT · Dane'!$D:$D,"Notifications",'UAT · Dane'!$J:$J,"🔍 Couldn’t find it")</f>
        <v/>
      </c>
      <c r="H51" s="25">
        <f>COUNTIFS('UAT · Dane'!$D:$D,"Notifications",'UAT · Dane'!$J:$J,"❌ Doesn’t work",'UAT · Dane'!$O:$O,"&lt;&gt;Fixed – please re-test",'UAT · Dane'!$O:$O,"&lt;&gt;Won’t change")+COUNTIFS('UAT · Dane'!$D:$D,"Notifications",'UAT · Dane'!$J:$J,"🔍 Couldn’t find it",'UAT · Dane'!$O:$O,"&lt;&gt;Fixed – please re-test",'UAT · Dane'!$O:$O,"&lt;&gt;Won’t change")</f>
        <v/>
      </c>
      <c r="I51" s="25">
        <f>COUNTIFS('UAT · Oliva'!$D:$D,"Notifications",'UAT · Oliva'!$J:$J,"&lt;&gt;")</f>
        <v/>
      </c>
      <c r="J51" s="25">
        <f>COUNTIFS('UAT · Oliva'!$D:$D,"Notifications",'UAT · Oliva'!$J:$J,"✅ Works")</f>
        <v/>
      </c>
      <c r="K51" s="25">
        <f>COUNTIFS('UAT · Oliva'!$D:$D,"Notifications",'UAT · Oliva'!$J:$J,"🟡 Works, but…")</f>
        <v/>
      </c>
      <c r="L51" s="25">
        <f>COUNTIFS('UAT · Oliva'!$D:$D,"Notifications",'UAT · Oliva'!$J:$J,"❌ Doesn’t work")</f>
        <v/>
      </c>
      <c r="M51" s="25">
        <f>COUNTIFS('UAT · Oliva'!$D:$D,"Notifications",'UAT · Oliva'!$J:$J,"🔍 Couldn’t find it")</f>
        <v/>
      </c>
      <c r="N51" s="25">
        <f>COUNTIFS('UAT · Oliva'!$D:$D,"Notifications",'UAT · Oliva'!$J:$J,"❌ Doesn’t work",'UAT · Oliva'!$O:$O,"&lt;&gt;Fixed – please re-test",'UAT · Oliva'!$O:$O,"&lt;&gt;Won’t change")+COUNTIFS('UAT · Oliva'!$D:$D,"Notifications",'UAT · Oliva'!$J:$J,"🔍 Couldn’t find it",'UAT · Oliva'!$O:$O,"&lt;&gt;Fixed – please re-test",'UAT · Oliva'!$O:$O,"&lt;&gt;Won’t change")</f>
        <v/>
      </c>
      <c r="O51" s="25">
        <f>COUNTIFS('UAT · Swati'!$D:$D,"Notifications",'UAT · Swati'!$J:$J,"&lt;&gt;")</f>
        <v/>
      </c>
      <c r="P51" s="25">
        <f>COUNTIFS('UAT · Swati'!$D:$D,"Notifications",'UAT · Swati'!$J:$J,"✅ Works")</f>
        <v/>
      </c>
      <c r="Q51" s="25">
        <f>COUNTIFS('UAT · Swati'!$D:$D,"Notifications",'UAT · Swati'!$J:$J,"🟡 Works, but…")</f>
        <v/>
      </c>
      <c r="R51" s="25">
        <f>COUNTIFS('UAT · Swati'!$D:$D,"Notifications",'UAT · Swati'!$J:$J,"❌ Doesn’t work")</f>
        <v/>
      </c>
      <c r="S51" s="25">
        <f>COUNTIFS('UAT · Swati'!$D:$D,"Notifications",'UAT · Swati'!$J:$J,"🔍 Couldn’t find it")</f>
        <v/>
      </c>
      <c r="T51" s="25">
        <f>COUNTIFS('UAT · Swati'!$D:$D,"Notifications",'UAT · Swati'!$J:$J,"❌ Doesn’t work",'UAT · Swati'!$O:$O,"&lt;&gt;Fixed – please re-test",'UAT · Swati'!$O:$O,"&lt;&gt;Won’t change")+COUNTIFS('UAT · Swati'!$D:$D,"Notifications",'UAT · Swati'!$J:$J,"🔍 Couldn’t find it",'UAT · Swati'!$O:$O,"&lt;&gt;Fixed – please re-test",'UAT · Swati'!$O:$O,"&lt;&gt;Won’t change")</f>
        <v/>
      </c>
    </row>
    <row r="52">
      <c r="A52" s="24" t="inlineStr">
        <is>
          <t>Insights</t>
        </is>
      </c>
      <c r="B52" s="24">
        <f>COUNTIF('UAT · Dane'!$D:$D,"Insights")</f>
        <v/>
      </c>
      <c r="C52" s="25">
        <f>COUNTIFS('UAT · Dane'!$D:$D,"Insights",'UAT · Dane'!$J:$J,"&lt;&gt;")</f>
        <v/>
      </c>
      <c r="D52" s="25">
        <f>COUNTIFS('UAT · Dane'!$D:$D,"Insights",'UAT · Dane'!$J:$J,"✅ Works")</f>
        <v/>
      </c>
      <c r="E52" s="25">
        <f>COUNTIFS('UAT · Dane'!$D:$D,"Insights",'UAT · Dane'!$J:$J,"🟡 Works, but…")</f>
        <v/>
      </c>
      <c r="F52" s="25">
        <f>COUNTIFS('UAT · Dane'!$D:$D,"Insights",'UAT · Dane'!$J:$J,"❌ Doesn’t work")</f>
        <v/>
      </c>
      <c r="G52" s="25">
        <f>COUNTIFS('UAT · Dane'!$D:$D,"Insights",'UAT · Dane'!$J:$J,"🔍 Couldn’t find it")</f>
        <v/>
      </c>
      <c r="H52" s="25">
        <f>COUNTIFS('UAT · Dane'!$D:$D,"Insights",'UAT · Dane'!$J:$J,"❌ Doesn’t work",'UAT · Dane'!$O:$O,"&lt;&gt;Fixed – please re-test",'UAT · Dane'!$O:$O,"&lt;&gt;Won’t change")+COUNTIFS('UAT · Dane'!$D:$D,"Insights",'UAT · Dane'!$J:$J,"🔍 Couldn’t find it",'UAT · Dane'!$O:$O,"&lt;&gt;Fixed – please re-test",'UAT · Dane'!$O:$O,"&lt;&gt;Won’t change")</f>
        <v/>
      </c>
      <c r="I52" s="25">
        <f>COUNTIFS('UAT · Oliva'!$D:$D,"Insights",'UAT · Oliva'!$J:$J,"&lt;&gt;")</f>
        <v/>
      </c>
      <c r="J52" s="25">
        <f>COUNTIFS('UAT · Oliva'!$D:$D,"Insights",'UAT · Oliva'!$J:$J,"✅ Works")</f>
        <v/>
      </c>
      <c r="K52" s="25">
        <f>COUNTIFS('UAT · Oliva'!$D:$D,"Insights",'UAT · Oliva'!$J:$J,"🟡 Works, but…")</f>
        <v/>
      </c>
      <c r="L52" s="25">
        <f>COUNTIFS('UAT · Oliva'!$D:$D,"Insights",'UAT · Oliva'!$J:$J,"❌ Doesn’t work")</f>
        <v/>
      </c>
      <c r="M52" s="25">
        <f>COUNTIFS('UAT · Oliva'!$D:$D,"Insights",'UAT · Oliva'!$J:$J,"🔍 Couldn’t find it")</f>
        <v/>
      </c>
      <c r="N52" s="25">
        <f>COUNTIFS('UAT · Oliva'!$D:$D,"Insights",'UAT · Oliva'!$J:$J,"❌ Doesn’t work",'UAT · Oliva'!$O:$O,"&lt;&gt;Fixed – please re-test",'UAT · Oliva'!$O:$O,"&lt;&gt;Won’t change")+COUNTIFS('UAT · Oliva'!$D:$D,"Insights",'UAT · Oliva'!$J:$J,"🔍 Couldn’t find it",'UAT · Oliva'!$O:$O,"&lt;&gt;Fixed – please re-test",'UAT · Oliva'!$O:$O,"&lt;&gt;Won’t change")</f>
        <v/>
      </c>
      <c r="O52" s="25">
        <f>COUNTIFS('UAT · Swati'!$D:$D,"Insights",'UAT · Swati'!$J:$J,"&lt;&gt;")</f>
        <v/>
      </c>
      <c r="P52" s="25">
        <f>COUNTIFS('UAT · Swati'!$D:$D,"Insights",'UAT · Swati'!$J:$J,"✅ Works")</f>
        <v/>
      </c>
      <c r="Q52" s="25">
        <f>COUNTIFS('UAT · Swati'!$D:$D,"Insights",'UAT · Swati'!$J:$J,"🟡 Works, but…")</f>
        <v/>
      </c>
      <c r="R52" s="25">
        <f>COUNTIFS('UAT · Swati'!$D:$D,"Insights",'UAT · Swati'!$J:$J,"❌ Doesn’t work")</f>
        <v/>
      </c>
      <c r="S52" s="25">
        <f>COUNTIFS('UAT · Swati'!$D:$D,"Insights",'UAT · Swati'!$J:$J,"🔍 Couldn’t find it")</f>
        <v/>
      </c>
      <c r="T52" s="25">
        <f>COUNTIFS('UAT · Swati'!$D:$D,"Insights",'UAT · Swati'!$J:$J,"❌ Doesn’t work",'UAT · Swati'!$O:$O,"&lt;&gt;Fixed – please re-test",'UAT · Swati'!$O:$O,"&lt;&gt;Won’t change")+COUNTIFS('UAT · Swati'!$D:$D,"Insights",'UAT · Swati'!$J:$J,"🔍 Couldn’t find it",'UAT · Swati'!$O:$O,"&lt;&gt;Fixed – please re-test",'UAT · Swati'!$O:$O,"&lt;&gt;Won’t change")</f>
        <v/>
      </c>
    </row>
    <row r="53">
      <c r="A53" s="24" t="inlineStr">
        <is>
          <t>AI Visualizer</t>
        </is>
      </c>
      <c r="B53" s="24">
        <f>COUNTIF('UAT · Dane'!$D:$D,"AI Visualizer")</f>
        <v/>
      </c>
      <c r="C53" s="25">
        <f>COUNTIFS('UAT · Dane'!$D:$D,"AI Visualizer",'UAT · Dane'!$J:$J,"&lt;&gt;")</f>
        <v/>
      </c>
      <c r="D53" s="25">
        <f>COUNTIFS('UAT · Dane'!$D:$D,"AI Visualizer",'UAT · Dane'!$J:$J,"✅ Works")</f>
        <v/>
      </c>
      <c r="E53" s="25">
        <f>COUNTIFS('UAT · Dane'!$D:$D,"AI Visualizer",'UAT · Dane'!$J:$J,"🟡 Works, but…")</f>
        <v/>
      </c>
      <c r="F53" s="25">
        <f>COUNTIFS('UAT · Dane'!$D:$D,"AI Visualizer",'UAT · Dane'!$J:$J,"❌ Doesn’t work")</f>
        <v/>
      </c>
      <c r="G53" s="25">
        <f>COUNTIFS('UAT · Dane'!$D:$D,"AI Visualizer",'UAT · Dane'!$J:$J,"🔍 Couldn’t find it")</f>
        <v/>
      </c>
      <c r="H53" s="25">
        <f>COUNTIFS('UAT · Dane'!$D:$D,"AI Visualizer",'UAT · Dane'!$J:$J,"❌ Doesn’t work",'UAT · Dane'!$O:$O,"&lt;&gt;Fixed – please re-test",'UAT · Dane'!$O:$O,"&lt;&gt;Won’t change")+COUNTIFS('UAT · Dane'!$D:$D,"AI Visualizer",'UAT · Dane'!$J:$J,"🔍 Couldn’t find it",'UAT · Dane'!$O:$O,"&lt;&gt;Fixed – please re-test",'UAT · Dane'!$O:$O,"&lt;&gt;Won’t change")</f>
        <v/>
      </c>
      <c r="I53" s="25">
        <f>COUNTIFS('UAT · Oliva'!$D:$D,"AI Visualizer",'UAT · Oliva'!$J:$J,"&lt;&gt;")</f>
        <v/>
      </c>
      <c r="J53" s="25">
        <f>COUNTIFS('UAT · Oliva'!$D:$D,"AI Visualizer",'UAT · Oliva'!$J:$J,"✅ Works")</f>
        <v/>
      </c>
      <c r="K53" s="25">
        <f>COUNTIFS('UAT · Oliva'!$D:$D,"AI Visualizer",'UAT · Oliva'!$J:$J,"🟡 Works, but…")</f>
        <v/>
      </c>
      <c r="L53" s="25">
        <f>COUNTIFS('UAT · Oliva'!$D:$D,"AI Visualizer",'UAT · Oliva'!$J:$J,"❌ Doesn’t work")</f>
        <v/>
      </c>
      <c r="M53" s="25">
        <f>COUNTIFS('UAT · Oliva'!$D:$D,"AI Visualizer",'UAT · Oliva'!$J:$J,"🔍 Couldn’t find it")</f>
        <v/>
      </c>
      <c r="N53" s="25">
        <f>COUNTIFS('UAT · Oliva'!$D:$D,"AI Visualizer",'UAT · Oliva'!$J:$J,"❌ Doesn’t work",'UAT · Oliva'!$O:$O,"&lt;&gt;Fixed – please re-test",'UAT · Oliva'!$O:$O,"&lt;&gt;Won’t change")+COUNTIFS('UAT · Oliva'!$D:$D,"AI Visualizer",'UAT · Oliva'!$J:$J,"🔍 Couldn’t find it",'UAT · Oliva'!$O:$O,"&lt;&gt;Fixed – please re-test",'UAT · Oliva'!$O:$O,"&lt;&gt;Won’t change")</f>
        <v/>
      </c>
      <c r="O53" s="25">
        <f>COUNTIFS('UAT · Swati'!$D:$D,"AI Visualizer",'UAT · Swati'!$J:$J,"&lt;&gt;")</f>
        <v/>
      </c>
      <c r="P53" s="25">
        <f>COUNTIFS('UAT · Swati'!$D:$D,"AI Visualizer",'UAT · Swati'!$J:$J,"✅ Works")</f>
        <v/>
      </c>
      <c r="Q53" s="25">
        <f>COUNTIFS('UAT · Swati'!$D:$D,"AI Visualizer",'UAT · Swati'!$J:$J,"🟡 Works, but…")</f>
        <v/>
      </c>
      <c r="R53" s="25">
        <f>COUNTIFS('UAT · Swati'!$D:$D,"AI Visualizer",'UAT · Swati'!$J:$J,"❌ Doesn’t work")</f>
        <v/>
      </c>
      <c r="S53" s="25">
        <f>COUNTIFS('UAT · Swati'!$D:$D,"AI Visualizer",'UAT · Swati'!$J:$J,"🔍 Couldn’t find it")</f>
        <v/>
      </c>
      <c r="T53" s="25">
        <f>COUNTIFS('UAT · Swati'!$D:$D,"AI Visualizer",'UAT · Swati'!$J:$J,"❌ Doesn’t work",'UAT · Swati'!$O:$O,"&lt;&gt;Fixed – please re-test",'UAT · Swati'!$O:$O,"&lt;&gt;Won’t change")+COUNTIFS('UAT · Swati'!$D:$D,"AI Visualizer",'UAT · Swati'!$J:$J,"🔍 Couldn’t find it",'UAT · Swati'!$O:$O,"&lt;&gt;Fixed – please re-test",'UAT · Swati'!$O:$O,"&lt;&gt;Won’t change")</f>
        <v/>
      </c>
    </row>
    <row r="54">
      <c r="A54" s="24" t="inlineStr">
        <is>
          <t>AI credits</t>
        </is>
      </c>
      <c r="B54" s="24">
        <f>COUNTIF('UAT · Dane'!$D:$D,"AI credits")</f>
        <v/>
      </c>
      <c r="C54" s="25">
        <f>COUNTIFS('UAT · Dane'!$D:$D,"AI credits",'UAT · Dane'!$J:$J,"&lt;&gt;")</f>
        <v/>
      </c>
      <c r="D54" s="25">
        <f>COUNTIFS('UAT · Dane'!$D:$D,"AI credits",'UAT · Dane'!$J:$J,"✅ Works")</f>
        <v/>
      </c>
      <c r="E54" s="25">
        <f>COUNTIFS('UAT · Dane'!$D:$D,"AI credits",'UAT · Dane'!$J:$J,"🟡 Works, but…")</f>
        <v/>
      </c>
      <c r="F54" s="25">
        <f>COUNTIFS('UAT · Dane'!$D:$D,"AI credits",'UAT · Dane'!$J:$J,"❌ Doesn’t work")</f>
        <v/>
      </c>
      <c r="G54" s="25">
        <f>COUNTIFS('UAT · Dane'!$D:$D,"AI credits",'UAT · Dane'!$J:$J,"🔍 Couldn’t find it")</f>
        <v/>
      </c>
      <c r="H54" s="25">
        <f>COUNTIFS('UAT · Dane'!$D:$D,"AI credits",'UAT · Dane'!$J:$J,"❌ Doesn’t work",'UAT · Dane'!$O:$O,"&lt;&gt;Fixed – please re-test",'UAT · Dane'!$O:$O,"&lt;&gt;Won’t change")+COUNTIFS('UAT · Dane'!$D:$D,"AI credits",'UAT · Dane'!$J:$J,"🔍 Couldn’t find it",'UAT · Dane'!$O:$O,"&lt;&gt;Fixed – please re-test",'UAT · Dane'!$O:$O,"&lt;&gt;Won’t change")</f>
        <v/>
      </c>
      <c r="I54" s="25">
        <f>COUNTIFS('UAT · Oliva'!$D:$D,"AI credits",'UAT · Oliva'!$J:$J,"&lt;&gt;")</f>
        <v/>
      </c>
      <c r="J54" s="25">
        <f>COUNTIFS('UAT · Oliva'!$D:$D,"AI credits",'UAT · Oliva'!$J:$J,"✅ Works")</f>
        <v/>
      </c>
      <c r="K54" s="25">
        <f>COUNTIFS('UAT · Oliva'!$D:$D,"AI credits",'UAT · Oliva'!$J:$J,"🟡 Works, but…")</f>
        <v/>
      </c>
      <c r="L54" s="25">
        <f>COUNTIFS('UAT · Oliva'!$D:$D,"AI credits",'UAT · Oliva'!$J:$J,"❌ Doesn’t work")</f>
        <v/>
      </c>
      <c r="M54" s="25">
        <f>COUNTIFS('UAT · Oliva'!$D:$D,"AI credits",'UAT · Oliva'!$J:$J,"🔍 Couldn’t find it")</f>
        <v/>
      </c>
      <c r="N54" s="25">
        <f>COUNTIFS('UAT · Oliva'!$D:$D,"AI credits",'UAT · Oliva'!$J:$J,"❌ Doesn’t work",'UAT · Oliva'!$O:$O,"&lt;&gt;Fixed – please re-test",'UAT · Oliva'!$O:$O,"&lt;&gt;Won’t change")+COUNTIFS('UAT · Oliva'!$D:$D,"AI credits",'UAT · Oliva'!$J:$J,"🔍 Couldn’t find it",'UAT · Oliva'!$O:$O,"&lt;&gt;Fixed – please re-test",'UAT · Oliva'!$O:$O,"&lt;&gt;Won’t change")</f>
        <v/>
      </c>
      <c r="O54" s="25">
        <f>COUNTIFS('UAT · Swati'!$D:$D,"AI credits",'UAT · Swati'!$J:$J,"&lt;&gt;")</f>
        <v/>
      </c>
      <c r="P54" s="25">
        <f>COUNTIFS('UAT · Swati'!$D:$D,"AI credits",'UAT · Swati'!$J:$J,"✅ Works")</f>
        <v/>
      </c>
      <c r="Q54" s="25">
        <f>COUNTIFS('UAT · Swati'!$D:$D,"AI credits",'UAT · Swati'!$J:$J,"🟡 Works, but…")</f>
        <v/>
      </c>
      <c r="R54" s="25">
        <f>COUNTIFS('UAT · Swati'!$D:$D,"AI credits",'UAT · Swati'!$J:$J,"❌ Doesn’t work")</f>
        <v/>
      </c>
      <c r="S54" s="25">
        <f>COUNTIFS('UAT · Swati'!$D:$D,"AI credits",'UAT · Swati'!$J:$J,"🔍 Couldn’t find it")</f>
        <v/>
      </c>
      <c r="T54" s="25">
        <f>COUNTIFS('UAT · Swati'!$D:$D,"AI credits",'UAT · Swati'!$J:$J,"❌ Doesn’t work",'UAT · Swati'!$O:$O,"&lt;&gt;Fixed – please re-test",'UAT · Swati'!$O:$O,"&lt;&gt;Won’t change")+COUNTIFS('UAT · Swati'!$D:$D,"AI credits",'UAT · Swati'!$J:$J,"🔍 Couldn’t find it",'UAT · Swati'!$O:$O,"&lt;&gt;Fixed – please re-test",'UAT · Swati'!$O:$O,"&lt;&gt;Won’t change")</f>
        <v/>
      </c>
    </row>
    <row r="55">
      <c r="A55" s="24" t="inlineStr">
        <is>
          <t>Projects</t>
        </is>
      </c>
      <c r="B55" s="24">
        <f>COUNTIF('UAT · Dane'!$D:$D,"Projects")</f>
        <v/>
      </c>
      <c r="C55" s="25">
        <f>COUNTIFS('UAT · Dane'!$D:$D,"Projects",'UAT · Dane'!$J:$J,"&lt;&gt;")</f>
        <v/>
      </c>
      <c r="D55" s="25">
        <f>COUNTIFS('UAT · Dane'!$D:$D,"Projects",'UAT · Dane'!$J:$J,"✅ Works")</f>
        <v/>
      </c>
      <c r="E55" s="25">
        <f>COUNTIFS('UAT · Dane'!$D:$D,"Projects",'UAT · Dane'!$J:$J,"🟡 Works, but…")</f>
        <v/>
      </c>
      <c r="F55" s="25">
        <f>COUNTIFS('UAT · Dane'!$D:$D,"Projects",'UAT · Dane'!$J:$J,"❌ Doesn’t work")</f>
        <v/>
      </c>
      <c r="G55" s="25">
        <f>COUNTIFS('UAT · Dane'!$D:$D,"Projects",'UAT · Dane'!$J:$J,"🔍 Couldn’t find it")</f>
        <v/>
      </c>
      <c r="H55" s="25">
        <f>COUNTIFS('UAT · Dane'!$D:$D,"Projects",'UAT · Dane'!$J:$J,"❌ Doesn’t work",'UAT · Dane'!$O:$O,"&lt;&gt;Fixed – please re-test",'UAT · Dane'!$O:$O,"&lt;&gt;Won’t change")+COUNTIFS('UAT · Dane'!$D:$D,"Projects",'UAT · Dane'!$J:$J,"🔍 Couldn’t find it",'UAT · Dane'!$O:$O,"&lt;&gt;Fixed – please re-test",'UAT · Dane'!$O:$O,"&lt;&gt;Won’t change")</f>
        <v/>
      </c>
      <c r="I55" s="25">
        <f>COUNTIFS('UAT · Oliva'!$D:$D,"Projects",'UAT · Oliva'!$J:$J,"&lt;&gt;")</f>
        <v/>
      </c>
      <c r="J55" s="25">
        <f>COUNTIFS('UAT · Oliva'!$D:$D,"Projects",'UAT · Oliva'!$J:$J,"✅ Works")</f>
        <v/>
      </c>
      <c r="K55" s="25">
        <f>COUNTIFS('UAT · Oliva'!$D:$D,"Projects",'UAT · Oliva'!$J:$J,"🟡 Works, but…")</f>
        <v/>
      </c>
      <c r="L55" s="25">
        <f>COUNTIFS('UAT · Oliva'!$D:$D,"Projects",'UAT · Oliva'!$J:$J,"❌ Doesn’t work")</f>
        <v/>
      </c>
      <c r="M55" s="25">
        <f>COUNTIFS('UAT · Oliva'!$D:$D,"Projects",'UAT · Oliva'!$J:$J,"🔍 Couldn’t find it")</f>
        <v/>
      </c>
      <c r="N55" s="25">
        <f>COUNTIFS('UAT · Oliva'!$D:$D,"Projects",'UAT · Oliva'!$J:$J,"❌ Doesn’t work",'UAT · Oliva'!$O:$O,"&lt;&gt;Fixed – please re-test",'UAT · Oliva'!$O:$O,"&lt;&gt;Won’t change")+COUNTIFS('UAT · Oliva'!$D:$D,"Projects",'UAT · Oliva'!$J:$J,"🔍 Couldn’t find it",'UAT · Oliva'!$O:$O,"&lt;&gt;Fixed – please re-test",'UAT · Oliva'!$O:$O,"&lt;&gt;Won’t change")</f>
        <v/>
      </c>
      <c r="O55" s="25">
        <f>COUNTIFS('UAT · Swati'!$D:$D,"Projects",'UAT · Swati'!$J:$J,"&lt;&gt;")</f>
        <v/>
      </c>
      <c r="P55" s="25">
        <f>COUNTIFS('UAT · Swati'!$D:$D,"Projects",'UAT · Swati'!$J:$J,"✅ Works")</f>
        <v/>
      </c>
      <c r="Q55" s="25">
        <f>COUNTIFS('UAT · Swati'!$D:$D,"Projects",'UAT · Swati'!$J:$J,"🟡 Works, but…")</f>
        <v/>
      </c>
      <c r="R55" s="25">
        <f>COUNTIFS('UAT · Swati'!$D:$D,"Projects",'UAT · Swati'!$J:$J,"❌ Doesn’t work")</f>
        <v/>
      </c>
      <c r="S55" s="25">
        <f>COUNTIFS('UAT · Swati'!$D:$D,"Projects",'UAT · Swati'!$J:$J,"🔍 Couldn’t find it")</f>
        <v/>
      </c>
      <c r="T55" s="25">
        <f>COUNTIFS('UAT · Swati'!$D:$D,"Projects",'UAT · Swati'!$J:$J,"❌ Doesn’t work",'UAT · Swati'!$O:$O,"&lt;&gt;Fixed – please re-test",'UAT · Swati'!$O:$O,"&lt;&gt;Won’t change")+COUNTIFS('UAT · Swati'!$D:$D,"Projects",'UAT · Swati'!$J:$J,"🔍 Couldn’t find it",'UAT · Swati'!$O:$O,"&lt;&gt;Fixed – please re-test",'UAT · Swati'!$O:$O,"&lt;&gt;Won’t change")</f>
        <v/>
      </c>
    </row>
    <row r="56">
      <c r="A56" s="24" t="inlineStr">
        <is>
          <t>Money</t>
        </is>
      </c>
      <c r="B56" s="24">
        <f>COUNTIF('UAT · Dane'!$D:$D,"Money")</f>
        <v/>
      </c>
      <c r="C56" s="25">
        <f>COUNTIFS('UAT · Dane'!$D:$D,"Money",'UAT · Dane'!$J:$J,"&lt;&gt;")</f>
        <v/>
      </c>
      <c r="D56" s="25">
        <f>COUNTIFS('UAT · Dane'!$D:$D,"Money",'UAT · Dane'!$J:$J,"✅ Works")</f>
        <v/>
      </c>
      <c r="E56" s="25">
        <f>COUNTIFS('UAT · Dane'!$D:$D,"Money",'UAT · Dane'!$J:$J,"🟡 Works, but…")</f>
        <v/>
      </c>
      <c r="F56" s="25">
        <f>COUNTIFS('UAT · Dane'!$D:$D,"Money",'UAT · Dane'!$J:$J,"❌ Doesn’t work")</f>
        <v/>
      </c>
      <c r="G56" s="25">
        <f>COUNTIFS('UAT · Dane'!$D:$D,"Money",'UAT · Dane'!$J:$J,"🔍 Couldn’t find it")</f>
        <v/>
      </c>
      <c r="H56" s="25">
        <f>COUNTIFS('UAT · Dane'!$D:$D,"Money",'UAT · Dane'!$J:$J,"❌ Doesn’t work",'UAT · Dane'!$O:$O,"&lt;&gt;Fixed – please re-test",'UAT · Dane'!$O:$O,"&lt;&gt;Won’t change")+COUNTIFS('UAT · Dane'!$D:$D,"Money",'UAT · Dane'!$J:$J,"🔍 Couldn’t find it",'UAT · Dane'!$O:$O,"&lt;&gt;Fixed – please re-test",'UAT · Dane'!$O:$O,"&lt;&gt;Won’t change")</f>
        <v/>
      </c>
      <c r="I56" s="25">
        <f>COUNTIFS('UAT · Oliva'!$D:$D,"Money",'UAT · Oliva'!$J:$J,"&lt;&gt;")</f>
        <v/>
      </c>
      <c r="J56" s="25">
        <f>COUNTIFS('UAT · Oliva'!$D:$D,"Money",'UAT · Oliva'!$J:$J,"✅ Works")</f>
        <v/>
      </c>
      <c r="K56" s="25">
        <f>COUNTIFS('UAT · Oliva'!$D:$D,"Money",'UAT · Oliva'!$J:$J,"🟡 Works, but…")</f>
        <v/>
      </c>
      <c r="L56" s="25">
        <f>COUNTIFS('UAT · Oliva'!$D:$D,"Money",'UAT · Oliva'!$J:$J,"❌ Doesn’t work")</f>
        <v/>
      </c>
      <c r="M56" s="25">
        <f>COUNTIFS('UAT · Oliva'!$D:$D,"Money",'UAT · Oliva'!$J:$J,"🔍 Couldn’t find it")</f>
        <v/>
      </c>
      <c r="N56" s="25">
        <f>COUNTIFS('UAT · Oliva'!$D:$D,"Money",'UAT · Oliva'!$J:$J,"❌ Doesn’t work",'UAT · Oliva'!$O:$O,"&lt;&gt;Fixed – please re-test",'UAT · Oliva'!$O:$O,"&lt;&gt;Won’t change")+COUNTIFS('UAT · Oliva'!$D:$D,"Money",'UAT · Oliva'!$J:$J,"🔍 Couldn’t find it",'UAT · Oliva'!$O:$O,"&lt;&gt;Fixed – please re-test",'UAT · Oliva'!$O:$O,"&lt;&gt;Won’t change")</f>
        <v/>
      </c>
      <c r="O56" s="25">
        <f>COUNTIFS('UAT · Swati'!$D:$D,"Money",'UAT · Swati'!$J:$J,"&lt;&gt;")</f>
        <v/>
      </c>
      <c r="P56" s="25">
        <f>COUNTIFS('UAT · Swati'!$D:$D,"Money",'UAT · Swati'!$J:$J,"✅ Works")</f>
        <v/>
      </c>
      <c r="Q56" s="25">
        <f>COUNTIFS('UAT · Swati'!$D:$D,"Money",'UAT · Swati'!$J:$J,"🟡 Works, but…")</f>
        <v/>
      </c>
      <c r="R56" s="25">
        <f>COUNTIFS('UAT · Swati'!$D:$D,"Money",'UAT · Swati'!$J:$J,"❌ Doesn’t work")</f>
        <v/>
      </c>
      <c r="S56" s="25">
        <f>COUNTIFS('UAT · Swati'!$D:$D,"Money",'UAT · Swati'!$J:$J,"🔍 Couldn’t find it")</f>
        <v/>
      </c>
      <c r="T56" s="25">
        <f>COUNTIFS('UAT · Swati'!$D:$D,"Money",'UAT · Swati'!$J:$J,"❌ Doesn’t work",'UAT · Swati'!$O:$O,"&lt;&gt;Fixed – please re-test",'UAT · Swati'!$O:$O,"&lt;&gt;Won’t change")+COUNTIFS('UAT · Swati'!$D:$D,"Money",'UAT · Swati'!$J:$J,"🔍 Couldn’t find it",'UAT · Swati'!$O:$O,"&lt;&gt;Fixed – please re-test",'UAT · Swati'!$O:$O,"&lt;&gt;Won’t change")</f>
        <v/>
      </c>
    </row>
    <row r="57">
      <c r="A57" s="24" t="inlineStr">
        <is>
          <t>Client portal</t>
        </is>
      </c>
      <c r="B57" s="24">
        <f>COUNTIF('UAT · Dane'!$D:$D,"Client portal")</f>
        <v/>
      </c>
      <c r="C57" s="25">
        <f>COUNTIFS('UAT · Dane'!$D:$D,"Client portal",'UAT · Dane'!$J:$J,"&lt;&gt;")</f>
        <v/>
      </c>
      <c r="D57" s="25">
        <f>COUNTIFS('UAT · Dane'!$D:$D,"Client portal",'UAT · Dane'!$J:$J,"✅ Works")</f>
        <v/>
      </c>
      <c r="E57" s="25">
        <f>COUNTIFS('UAT · Dane'!$D:$D,"Client portal",'UAT · Dane'!$J:$J,"🟡 Works, but…")</f>
        <v/>
      </c>
      <c r="F57" s="25">
        <f>COUNTIFS('UAT · Dane'!$D:$D,"Client portal",'UAT · Dane'!$J:$J,"❌ Doesn’t work")</f>
        <v/>
      </c>
      <c r="G57" s="25">
        <f>COUNTIFS('UAT · Dane'!$D:$D,"Client portal",'UAT · Dane'!$J:$J,"🔍 Couldn’t find it")</f>
        <v/>
      </c>
      <c r="H57" s="25">
        <f>COUNTIFS('UAT · Dane'!$D:$D,"Client portal",'UAT · Dane'!$J:$J,"❌ Doesn’t work",'UAT · Dane'!$O:$O,"&lt;&gt;Fixed – please re-test",'UAT · Dane'!$O:$O,"&lt;&gt;Won’t change")+COUNTIFS('UAT · Dane'!$D:$D,"Client portal",'UAT · Dane'!$J:$J,"🔍 Couldn’t find it",'UAT · Dane'!$O:$O,"&lt;&gt;Fixed – please re-test",'UAT · Dane'!$O:$O,"&lt;&gt;Won’t change")</f>
        <v/>
      </c>
      <c r="I57" s="25">
        <f>COUNTIFS('UAT · Oliva'!$D:$D,"Client portal",'UAT · Oliva'!$J:$J,"&lt;&gt;")</f>
        <v/>
      </c>
      <c r="J57" s="25">
        <f>COUNTIFS('UAT · Oliva'!$D:$D,"Client portal",'UAT · Oliva'!$J:$J,"✅ Works")</f>
        <v/>
      </c>
      <c r="K57" s="25">
        <f>COUNTIFS('UAT · Oliva'!$D:$D,"Client portal",'UAT · Oliva'!$J:$J,"🟡 Works, but…")</f>
        <v/>
      </c>
      <c r="L57" s="25">
        <f>COUNTIFS('UAT · Oliva'!$D:$D,"Client portal",'UAT · Oliva'!$J:$J,"❌ Doesn’t work")</f>
        <v/>
      </c>
      <c r="M57" s="25">
        <f>COUNTIFS('UAT · Oliva'!$D:$D,"Client portal",'UAT · Oliva'!$J:$J,"🔍 Couldn’t find it")</f>
        <v/>
      </c>
      <c r="N57" s="25">
        <f>COUNTIFS('UAT · Oliva'!$D:$D,"Client portal",'UAT · Oliva'!$J:$J,"❌ Doesn’t work",'UAT · Oliva'!$O:$O,"&lt;&gt;Fixed – please re-test",'UAT · Oliva'!$O:$O,"&lt;&gt;Won’t change")+COUNTIFS('UAT · Oliva'!$D:$D,"Client portal",'UAT · Oliva'!$J:$J,"🔍 Couldn’t find it",'UAT · Oliva'!$O:$O,"&lt;&gt;Fixed – please re-test",'UAT · Oliva'!$O:$O,"&lt;&gt;Won’t change")</f>
        <v/>
      </c>
      <c r="O57" s="25">
        <f>COUNTIFS('UAT · Swati'!$D:$D,"Client portal",'UAT · Swati'!$J:$J,"&lt;&gt;")</f>
        <v/>
      </c>
      <c r="P57" s="25">
        <f>COUNTIFS('UAT · Swati'!$D:$D,"Client portal",'UAT · Swati'!$J:$J,"✅ Works")</f>
        <v/>
      </c>
      <c r="Q57" s="25">
        <f>COUNTIFS('UAT · Swati'!$D:$D,"Client portal",'UAT · Swati'!$J:$J,"🟡 Works, but…")</f>
        <v/>
      </c>
      <c r="R57" s="25">
        <f>COUNTIFS('UAT · Swati'!$D:$D,"Client portal",'UAT · Swati'!$J:$J,"❌ Doesn’t work")</f>
        <v/>
      </c>
      <c r="S57" s="25">
        <f>COUNTIFS('UAT · Swati'!$D:$D,"Client portal",'UAT · Swati'!$J:$J,"🔍 Couldn’t find it")</f>
        <v/>
      </c>
      <c r="T57" s="25">
        <f>COUNTIFS('UAT · Swati'!$D:$D,"Client portal",'UAT · Swati'!$J:$J,"❌ Doesn’t work",'UAT · Swati'!$O:$O,"&lt;&gt;Fixed – please re-test",'UAT · Swati'!$O:$O,"&lt;&gt;Won’t change")+COUNTIFS('UAT · Swati'!$D:$D,"Client portal",'UAT · Swati'!$J:$J,"🔍 Couldn’t find it",'UAT · Swati'!$O:$O,"&lt;&gt;Fixed – please re-test",'UAT · Swati'!$O:$O,"&lt;&gt;Won’t change")</f>
        <v/>
      </c>
    </row>
    <row r="58">
      <c r="A58" s="24" t="inlineStr">
        <is>
          <t>Meetings</t>
        </is>
      </c>
      <c r="B58" s="24">
        <f>COUNTIF('UAT · Dane'!$D:$D,"Meetings")</f>
        <v/>
      </c>
      <c r="C58" s="25">
        <f>COUNTIFS('UAT · Dane'!$D:$D,"Meetings",'UAT · Dane'!$J:$J,"&lt;&gt;")</f>
        <v/>
      </c>
      <c r="D58" s="25">
        <f>COUNTIFS('UAT · Dane'!$D:$D,"Meetings",'UAT · Dane'!$J:$J,"✅ Works")</f>
        <v/>
      </c>
      <c r="E58" s="25">
        <f>COUNTIFS('UAT · Dane'!$D:$D,"Meetings",'UAT · Dane'!$J:$J,"🟡 Works, but…")</f>
        <v/>
      </c>
      <c r="F58" s="25">
        <f>COUNTIFS('UAT · Dane'!$D:$D,"Meetings",'UAT · Dane'!$J:$J,"❌ Doesn’t work")</f>
        <v/>
      </c>
      <c r="G58" s="25">
        <f>COUNTIFS('UAT · Dane'!$D:$D,"Meetings",'UAT · Dane'!$J:$J,"🔍 Couldn’t find it")</f>
        <v/>
      </c>
      <c r="H58" s="25">
        <f>COUNTIFS('UAT · Dane'!$D:$D,"Meetings",'UAT · Dane'!$J:$J,"❌ Doesn’t work",'UAT · Dane'!$O:$O,"&lt;&gt;Fixed – please re-test",'UAT · Dane'!$O:$O,"&lt;&gt;Won’t change")+COUNTIFS('UAT · Dane'!$D:$D,"Meetings",'UAT · Dane'!$J:$J,"🔍 Couldn’t find it",'UAT · Dane'!$O:$O,"&lt;&gt;Fixed – please re-test",'UAT · Dane'!$O:$O,"&lt;&gt;Won’t change")</f>
        <v/>
      </c>
      <c r="I58" s="25">
        <f>COUNTIFS('UAT · Oliva'!$D:$D,"Meetings",'UAT · Oliva'!$J:$J,"&lt;&gt;")</f>
        <v/>
      </c>
      <c r="J58" s="25">
        <f>COUNTIFS('UAT · Oliva'!$D:$D,"Meetings",'UAT · Oliva'!$J:$J,"✅ Works")</f>
        <v/>
      </c>
      <c r="K58" s="25">
        <f>COUNTIFS('UAT · Oliva'!$D:$D,"Meetings",'UAT · Oliva'!$J:$J,"🟡 Works, but…")</f>
        <v/>
      </c>
      <c r="L58" s="25">
        <f>COUNTIFS('UAT · Oliva'!$D:$D,"Meetings",'UAT · Oliva'!$J:$J,"❌ Doesn’t work")</f>
        <v/>
      </c>
      <c r="M58" s="25">
        <f>COUNTIFS('UAT · Oliva'!$D:$D,"Meetings",'UAT · Oliva'!$J:$J,"🔍 Couldn’t find it")</f>
        <v/>
      </c>
      <c r="N58" s="25">
        <f>COUNTIFS('UAT · Oliva'!$D:$D,"Meetings",'UAT · Oliva'!$J:$J,"❌ Doesn’t work",'UAT · Oliva'!$O:$O,"&lt;&gt;Fixed – please re-test",'UAT · Oliva'!$O:$O,"&lt;&gt;Won’t change")+COUNTIFS('UAT · Oliva'!$D:$D,"Meetings",'UAT · Oliva'!$J:$J,"🔍 Couldn’t find it",'UAT · Oliva'!$O:$O,"&lt;&gt;Fixed – please re-test",'UAT · Oliva'!$O:$O,"&lt;&gt;Won’t change")</f>
        <v/>
      </c>
      <c r="O58" s="25">
        <f>COUNTIFS('UAT · Swati'!$D:$D,"Meetings",'UAT · Swati'!$J:$J,"&lt;&gt;")</f>
        <v/>
      </c>
      <c r="P58" s="25">
        <f>COUNTIFS('UAT · Swati'!$D:$D,"Meetings",'UAT · Swati'!$J:$J,"✅ Works")</f>
        <v/>
      </c>
      <c r="Q58" s="25">
        <f>COUNTIFS('UAT · Swati'!$D:$D,"Meetings",'UAT · Swati'!$J:$J,"🟡 Works, but…")</f>
        <v/>
      </c>
      <c r="R58" s="25">
        <f>COUNTIFS('UAT · Swati'!$D:$D,"Meetings",'UAT · Swati'!$J:$J,"❌ Doesn’t work")</f>
        <v/>
      </c>
      <c r="S58" s="25">
        <f>COUNTIFS('UAT · Swati'!$D:$D,"Meetings",'UAT · Swati'!$J:$J,"🔍 Couldn’t find it")</f>
        <v/>
      </c>
      <c r="T58" s="25">
        <f>COUNTIFS('UAT · Swati'!$D:$D,"Meetings",'UAT · Swati'!$J:$J,"❌ Doesn’t work",'UAT · Swati'!$O:$O,"&lt;&gt;Fixed – please re-test",'UAT · Swati'!$O:$O,"&lt;&gt;Won’t change")+COUNTIFS('UAT · Swati'!$D:$D,"Meetings",'UAT · Swati'!$J:$J,"🔍 Couldn’t find it",'UAT · Swati'!$O:$O,"&lt;&gt;Fixed – please re-test",'UAT · Swati'!$O:$O,"&lt;&gt;Won’t change")</f>
        <v/>
      </c>
    </row>
    <row r="59">
      <c r="A59" s="24" t="inlineStr">
        <is>
          <t>Messages</t>
        </is>
      </c>
      <c r="B59" s="24">
        <f>COUNTIF('UAT · Dane'!$D:$D,"Messages")</f>
        <v/>
      </c>
      <c r="C59" s="25">
        <f>COUNTIFS('UAT · Dane'!$D:$D,"Messages",'UAT · Dane'!$J:$J,"&lt;&gt;")</f>
        <v/>
      </c>
      <c r="D59" s="25">
        <f>COUNTIFS('UAT · Dane'!$D:$D,"Messages",'UAT · Dane'!$J:$J,"✅ Works")</f>
        <v/>
      </c>
      <c r="E59" s="25">
        <f>COUNTIFS('UAT · Dane'!$D:$D,"Messages",'UAT · Dane'!$J:$J,"🟡 Works, but…")</f>
        <v/>
      </c>
      <c r="F59" s="25">
        <f>COUNTIFS('UAT · Dane'!$D:$D,"Messages",'UAT · Dane'!$J:$J,"❌ Doesn’t work")</f>
        <v/>
      </c>
      <c r="G59" s="25">
        <f>COUNTIFS('UAT · Dane'!$D:$D,"Messages",'UAT · Dane'!$J:$J,"🔍 Couldn’t find it")</f>
        <v/>
      </c>
      <c r="H59" s="25">
        <f>COUNTIFS('UAT · Dane'!$D:$D,"Messages",'UAT · Dane'!$J:$J,"❌ Doesn’t work",'UAT · Dane'!$O:$O,"&lt;&gt;Fixed – please re-test",'UAT · Dane'!$O:$O,"&lt;&gt;Won’t change")+COUNTIFS('UAT · Dane'!$D:$D,"Messages",'UAT · Dane'!$J:$J,"🔍 Couldn’t find it",'UAT · Dane'!$O:$O,"&lt;&gt;Fixed – please re-test",'UAT · Dane'!$O:$O,"&lt;&gt;Won’t change")</f>
        <v/>
      </c>
      <c r="I59" s="25">
        <f>COUNTIFS('UAT · Oliva'!$D:$D,"Messages",'UAT · Oliva'!$J:$J,"&lt;&gt;")</f>
        <v/>
      </c>
      <c r="J59" s="25">
        <f>COUNTIFS('UAT · Oliva'!$D:$D,"Messages",'UAT · Oliva'!$J:$J,"✅ Works")</f>
        <v/>
      </c>
      <c r="K59" s="25">
        <f>COUNTIFS('UAT · Oliva'!$D:$D,"Messages",'UAT · Oliva'!$J:$J,"🟡 Works, but…")</f>
        <v/>
      </c>
      <c r="L59" s="25">
        <f>COUNTIFS('UAT · Oliva'!$D:$D,"Messages",'UAT · Oliva'!$J:$J,"❌ Doesn’t work")</f>
        <v/>
      </c>
      <c r="M59" s="25">
        <f>COUNTIFS('UAT · Oliva'!$D:$D,"Messages",'UAT · Oliva'!$J:$J,"🔍 Couldn’t find it")</f>
        <v/>
      </c>
      <c r="N59" s="25">
        <f>COUNTIFS('UAT · Oliva'!$D:$D,"Messages",'UAT · Oliva'!$J:$J,"❌ Doesn’t work",'UAT · Oliva'!$O:$O,"&lt;&gt;Fixed – please re-test",'UAT · Oliva'!$O:$O,"&lt;&gt;Won’t change")+COUNTIFS('UAT · Oliva'!$D:$D,"Messages",'UAT · Oliva'!$J:$J,"🔍 Couldn’t find it",'UAT · Oliva'!$O:$O,"&lt;&gt;Fixed – please re-test",'UAT · Oliva'!$O:$O,"&lt;&gt;Won’t change")</f>
        <v/>
      </c>
      <c r="O59" s="25">
        <f>COUNTIFS('UAT · Swati'!$D:$D,"Messages",'UAT · Swati'!$J:$J,"&lt;&gt;")</f>
        <v/>
      </c>
      <c r="P59" s="25">
        <f>COUNTIFS('UAT · Swati'!$D:$D,"Messages",'UAT · Swati'!$J:$J,"✅ Works")</f>
        <v/>
      </c>
      <c r="Q59" s="25">
        <f>COUNTIFS('UAT · Swati'!$D:$D,"Messages",'UAT · Swati'!$J:$J,"🟡 Works, but…")</f>
        <v/>
      </c>
      <c r="R59" s="25">
        <f>COUNTIFS('UAT · Swati'!$D:$D,"Messages",'UAT · Swati'!$J:$J,"❌ Doesn’t work")</f>
        <v/>
      </c>
      <c r="S59" s="25">
        <f>COUNTIFS('UAT · Swati'!$D:$D,"Messages",'UAT · Swati'!$J:$J,"🔍 Couldn’t find it")</f>
        <v/>
      </c>
      <c r="T59" s="25">
        <f>COUNTIFS('UAT · Swati'!$D:$D,"Messages",'UAT · Swati'!$J:$J,"❌ Doesn’t work",'UAT · Swati'!$O:$O,"&lt;&gt;Fixed – please re-test",'UAT · Swati'!$O:$O,"&lt;&gt;Won’t change")+COUNTIFS('UAT · Swati'!$D:$D,"Messages",'UAT · Swati'!$J:$J,"🔍 Couldn’t find it",'UAT · Swati'!$O:$O,"&lt;&gt;Fixed – please re-test",'UAT · Swati'!$O:$O,"&lt;&gt;Won’t change")</f>
        <v/>
      </c>
    </row>
    <row r="60">
      <c r="A60" s="24" t="inlineStr">
        <is>
          <t>3D Space Planner</t>
        </is>
      </c>
      <c r="B60" s="24">
        <f>COUNTIF('UAT · Dane'!$D:$D,"3D Space Planner")</f>
        <v/>
      </c>
      <c r="C60" s="25">
        <f>COUNTIFS('UAT · Dane'!$D:$D,"3D Space Planner",'UAT · Dane'!$J:$J,"&lt;&gt;")</f>
        <v/>
      </c>
      <c r="D60" s="25">
        <f>COUNTIFS('UAT · Dane'!$D:$D,"3D Space Planner",'UAT · Dane'!$J:$J,"✅ Works")</f>
        <v/>
      </c>
      <c r="E60" s="25">
        <f>COUNTIFS('UAT · Dane'!$D:$D,"3D Space Planner",'UAT · Dane'!$J:$J,"🟡 Works, but…")</f>
        <v/>
      </c>
      <c r="F60" s="25">
        <f>COUNTIFS('UAT · Dane'!$D:$D,"3D Space Planner",'UAT · Dane'!$J:$J,"❌ Doesn’t work")</f>
        <v/>
      </c>
      <c r="G60" s="25">
        <f>COUNTIFS('UAT · Dane'!$D:$D,"3D Space Planner",'UAT · Dane'!$J:$J,"🔍 Couldn’t find it")</f>
        <v/>
      </c>
      <c r="H60" s="25">
        <f>COUNTIFS('UAT · Dane'!$D:$D,"3D Space Planner",'UAT · Dane'!$J:$J,"❌ Doesn’t work",'UAT · Dane'!$O:$O,"&lt;&gt;Fixed – please re-test",'UAT · Dane'!$O:$O,"&lt;&gt;Won’t change")+COUNTIFS('UAT · Dane'!$D:$D,"3D Space Planner",'UAT · Dane'!$J:$J,"🔍 Couldn’t find it",'UAT · Dane'!$O:$O,"&lt;&gt;Fixed – please re-test",'UAT · Dane'!$O:$O,"&lt;&gt;Won’t change")</f>
        <v/>
      </c>
      <c r="I60" s="25">
        <f>COUNTIFS('UAT · Oliva'!$D:$D,"3D Space Planner",'UAT · Oliva'!$J:$J,"&lt;&gt;")</f>
        <v/>
      </c>
      <c r="J60" s="25">
        <f>COUNTIFS('UAT · Oliva'!$D:$D,"3D Space Planner",'UAT · Oliva'!$J:$J,"✅ Works")</f>
        <v/>
      </c>
      <c r="K60" s="25">
        <f>COUNTIFS('UAT · Oliva'!$D:$D,"3D Space Planner",'UAT · Oliva'!$J:$J,"🟡 Works, but…")</f>
        <v/>
      </c>
      <c r="L60" s="25">
        <f>COUNTIFS('UAT · Oliva'!$D:$D,"3D Space Planner",'UAT · Oliva'!$J:$J,"❌ Doesn’t work")</f>
        <v/>
      </c>
      <c r="M60" s="25">
        <f>COUNTIFS('UAT · Oliva'!$D:$D,"3D Space Planner",'UAT · Oliva'!$J:$J,"🔍 Couldn’t find it")</f>
        <v/>
      </c>
      <c r="N60" s="25">
        <f>COUNTIFS('UAT · Oliva'!$D:$D,"3D Space Planner",'UAT · Oliva'!$J:$J,"❌ Doesn’t work",'UAT · Oliva'!$O:$O,"&lt;&gt;Fixed – please re-test",'UAT · Oliva'!$O:$O,"&lt;&gt;Won’t change")+COUNTIFS('UAT · Oliva'!$D:$D,"3D Space Planner",'UAT · Oliva'!$J:$J,"🔍 Couldn’t find it",'UAT · Oliva'!$O:$O,"&lt;&gt;Fixed – please re-test",'UAT · Oliva'!$O:$O,"&lt;&gt;Won’t change")</f>
        <v/>
      </c>
      <c r="O60" s="25">
        <f>COUNTIFS('UAT · Swati'!$D:$D,"3D Space Planner",'UAT · Swati'!$J:$J,"&lt;&gt;")</f>
        <v/>
      </c>
      <c r="P60" s="25">
        <f>COUNTIFS('UAT · Swati'!$D:$D,"3D Space Planner",'UAT · Swati'!$J:$J,"✅ Works")</f>
        <v/>
      </c>
      <c r="Q60" s="25">
        <f>COUNTIFS('UAT · Swati'!$D:$D,"3D Space Planner",'UAT · Swati'!$J:$J,"🟡 Works, but…")</f>
        <v/>
      </c>
      <c r="R60" s="25">
        <f>COUNTIFS('UAT · Swati'!$D:$D,"3D Space Planner",'UAT · Swati'!$J:$J,"❌ Doesn’t work")</f>
        <v/>
      </c>
      <c r="S60" s="25">
        <f>COUNTIFS('UAT · Swati'!$D:$D,"3D Space Planner",'UAT · Swati'!$J:$J,"🔍 Couldn’t find it")</f>
        <v/>
      </c>
      <c r="T60" s="25">
        <f>COUNTIFS('UAT · Swati'!$D:$D,"3D Space Planner",'UAT · Swati'!$J:$J,"❌ Doesn’t work",'UAT · Swati'!$O:$O,"&lt;&gt;Fixed – please re-test",'UAT · Swati'!$O:$O,"&lt;&gt;Won’t change")+COUNTIFS('UAT · Swati'!$D:$D,"3D Space Planner",'UAT · Swati'!$J:$J,"🔍 Couldn’t find it",'UAT · Swati'!$O:$O,"&lt;&gt;Fixed – please re-test",'UAT · Swati'!$O:$O,"&lt;&gt;Won’t change")</f>
        <v/>
      </c>
    </row>
    <row r="61">
      <c r="A61" s="24" t="inlineStr">
        <is>
          <t>Market Insights</t>
        </is>
      </c>
      <c r="B61" s="24">
        <f>COUNTIF('UAT · Dane'!$D:$D,"Market Insights")</f>
        <v/>
      </c>
      <c r="C61" s="25">
        <f>COUNTIFS('UAT · Dane'!$D:$D,"Market Insights",'UAT · Dane'!$J:$J,"&lt;&gt;")</f>
        <v/>
      </c>
      <c r="D61" s="25">
        <f>COUNTIFS('UAT · Dane'!$D:$D,"Market Insights",'UAT · Dane'!$J:$J,"✅ Works")</f>
        <v/>
      </c>
      <c r="E61" s="25">
        <f>COUNTIFS('UAT · Dane'!$D:$D,"Market Insights",'UAT · Dane'!$J:$J,"🟡 Works, but…")</f>
        <v/>
      </c>
      <c r="F61" s="25">
        <f>COUNTIFS('UAT · Dane'!$D:$D,"Market Insights",'UAT · Dane'!$J:$J,"❌ Doesn’t work")</f>
        <v/>
      </c>
      <c r="G61" s="25">
        <f>COUNTIFS('UAT · Dane'!$D:$D,"Market Insights",'UAT · Dane'!$J:$J,"🔍 Couldn’t find it")</f>
        <v/>
      </c>
      <c r="H61" s="25">
        <f>COUNTIFS('UAT · Dane'!$D:$D,"Market Insights",'UAT · Dane'!$J:$J,"❌ Doesn’t work",'UAT · Dane'!$O:$O,"&lt;&gt;Fixed – please re-test",'UAT · Dane'!$O:$O,"&lt;&gt;Won’t change")+COUNTIFS('UAT · Dane'!$D:$D,"Market Insights",'UAT · Dane'!$J:$J,"🔍 Couldn’t find it",'UAT · Dane'!$O:$O,"&lt;&gt;Fixed – please re-test",'UAT · Dane'!$O:$O,"&lt;&gt;Won’t change")</f>
        <v/>
      </c>
      <c r="I61" s="25">
        <f>COUNTIFS('UAT · Oliva'!$D:$D,"Market Insights",'UAT · Oliva'!$J:$J,"&lt;&gt;")</f>
        <v/>
      </c>
      <c r="J61" s="25">
        <f>COUNTIFS('UAT · Oliva'!$D:$D,"Market Insights",'UAT · Oliva'!$J:$J,"✅ Works")</f>
        <v/>
      </c>
      <c r="K61" s="25">
        <f>COUNTIFS('UAT · Oliva'!$D:$D,"Market Insights",'UAT · Oliva'!$J:$J,"🟡 Works, but…")</f>
        <v/>
      </c>
      <c r="L61" s="25">
        <f>COUNTIFS('UAT · Oliva'!$D:$D,"Market Insights",'UAT · Oliva'!$J:$J,"❌ Doesn’t work")</f>
        <v/>
      </c>
      <c r="M61" s="25">
        <f>COUNTIFS('UAT · Oliva'!$D:$D,"Market Insights",'UAT · Oliva'!$J:$J,"🔍 Couldn’t find it")</f>
        <v/>
      </c>
      <c r="N61" s="25">
        <f>COUNTIFS('UAT · Oliva'!$D:$D,"Market Insights",'UAT · Oliva'!$J:$J,"❌ Doesn’t work",'UAT · Oliva'!$O:$O,"&lt;&gt;Fixed – please re-test",'UAT · Oliva'!$O:$O,"&lt;&gt;Won’t change")+COUNTIFS('UAT · Oliva'!$D:$D,"Market Insights",'UAT · Oliva'!$J:$J,"🔍 Couldn’t find it",'UAT · Oliva'!$O:$O,"&lt;&gt;Fixed – please re-test",'UAT · Oliva'!$O:$O,"&lt;&gt;Won’t change")</f>
        <v/>
      </c>
      <c r="O61" s="25">
        <f>COUNTIFS('UAT · Swati'!$D:$D,"Market Insights",'UAT · Swati'!$J:$J,"&lt;&gt;")</f>
        <v/>
      </c>
      <c r="P61" s="25">
        <f>COUNTIFS('UAT · Swati'!$D:$D,"Market Insights",'UAT · Swati'!$J:$J,"✅ Works")</f>
        <v/>
      </c>
      <c r="Q61" s="25">
        <f>COUNTIFS('UAT · Swati'!$D:$D,"Market Insights",'UAT · Swati'!$J:$J,"🟡 Works, but…")</f>
        <v/>
      </c>
      <c r="R61" s="25">
        <f>COUNTIFS('UAT · Swati'!$D:$D,"Market Insights",'UAT · Swati'!$J:$J,"❌ Doesn’t work")</f>
        <v/>
      </c>
      <c r="S61" s="25">
        <f>COUNTIFS('UAT · Swati'!$D:$D,"Market Insights",'UAT · Swati'!$J:$J,"🔍 Couldn’t find it")</f>
        <v/>
      </c>
      <c r="T61" s="25">
        <f>COUNTIFS('UAT · Swati'!$D:$D,"Market Insights",'UAT · Swati'!$J:$J,"❌ Doesn’t work",'UAT · Swati'!$O:$O,"&lt;&gt;Fixed – please re-test",'UAT · Swati'!$O:$O,"&lt;&gt;Won’t change")+COUNTIFS('UAT · Swati'!$D:$D,"Market Insights",'UAT · Swati'!$J:$J,"🔍 Couldn’t find it",'UAT · Swati'!$O:$O,"&lt;&gt;Fixed – please re-test",'UAT · Swati'!$O:$O,"&lt;&gt;Won’t change")</f>
        <v/>
      </c>
    </row>
    <row r="62">
      <c r="A62" s="24" t="inlineStr">
        <is>
          <t>Qanvast Ops</t>
        </is>
      </c>
      <c r="B62" s="24">
        <f>COUNTIF('UAT · Dane'!$D:$D,"Qanvast Ops")</f>
        <v/>
      </c>
      <c r="C62" s="25">
        <f>COUNTIFS('UAT · Dane'!$D:$D,"Qanvast Ops",'UAT · Dane'!$J:$J,"&lt;&gt;")</f>
        <v/>
      </c>
      <c r="D62" s="25">
        <f>COUNTIFS('UAT · Dane'!$D:$D,"Qanvast Ops",'UAT · Dane'!$J:$J,"✅ Works")</f>
        <v/>
      </c>
      <c r="E62" s="25">
        <f>COUNTIFS('UAT · Dane'!$D:$D,"Qanvast Ops",'UAT · Dane'!$J:$J,"🟡 Works, but…")</f>
        <v/>
      </c>
      <c r="F62" s="25">
        <f>COUNTIFS('UAT · Dane'!$D:$D,"Qanvast Ops",'UAT · Dane'!$J:$J,"❌ Doesn’t work")</f>
        <v/>
      </c>
      <c r="G62" s="25">
        <f>COUNTIFS('UAT · Dane'!$D:$D,"Qanvast Ops",'UAT · Dane'!$J:$J,"🔍 Couldn’t find it")</f>
        <v/>
      </c>
      <c r="H62" s="25">
        <f>COUNTIFS('UAT · Dane'!$D:$D,"Qanvast Ops",'UAT · Dane'!$J:$J,"❌ Doesn’t work",'UAT · Dane'!$O:$O,"&lt;&gt;Fixed – please re-test",'UAT · Dane'!$O:$O,"&lt;&gt;Won’t change")+COUNTIFS('UAT · Dane'!$D:$D,"Qanvast Ops",'UAT · Dane'!$J:$J,"🔍 Couldn’t find it",'UAT · Dane'!$O:$O,"&lt;&gt;Fixed – please re-test",'UAT · Dane'!$O:$O,"&lt;&gt;Won’t change")</f>
        <v/>
      </c>
      <c r="I62" s="25">
        <f>COUNTIFS('UAT · Oliva'!$D:$D,"Qanvast Ops",'UAT · Oliva'!$J:$J,"&lt;&gt;")</f>
        <v/>
      </c>
      <c r="J62" s="25">
        <f>COUNTIFS('UAT · Oliva'!$D:$D,"Qanvast Ops",'UAT · Oliva'!$J:$J,"✅ Works")</f>
        <v/>
      </c>
      <c r="K62" s="25">
        <f>COUNTIFS('UAT · Oliva'!$D:$D,"Qanvast Ops",'UAT · Oliva'!$J:$J,"🟡 Works, but…")</f>
        <v/>
      </c>
      <c r="L62" s="25">
        <f>COUNTIFS('UAT · Oliva'!$D:$D,"Qanvast Ops",'UAT · Oliva'!$J:$J,"❌ Doesn’t work")</f>
        <v/>
      </c>
      <c r="M62" s="25">
        <f>COUNTIFS('UAT · Oliva'!$D:$D,"Qanvast Ops",'UAT · Oliva'!$J:$J,"🔍 Couldn’t find it")</f>
        <v/>
      </c>
      <c r="N62" s="25">
        <f>COUNTIFS('UAT · Oliva'!$D:$D,"Qanvast Ops",'UAT · Oliva'!$J:$J,"❌ Doesn’t work",'UAT · Oliva'!$O:$O,"&lt;&gt;Fixed – please re-test",'UAT · Oliva'!$O:$O,"&lt;&gt;Won’t change")+COUNTIFS('UAT · Oliva'!$D:$D,"Qanvast Ops",'UAT · Oliva'!$J:$J,"🔍 Couldn’t find it",'UAT · Oliva'!$O:$O,"&lt;&gt;Fixed – please re-test",'UAT · Oliva'!$O:$O,"&lt;&gt;Won’t change")</f>
        <v/>
      </c>
      <c r="O62" s="25">
        <f>COUNTIFS('UAT · Swati'!$D:$D,"Qanvast Ops",'UAT · Swati'!$J:$J,"&lt;&gt;")</f>
        <v/>
      </c>
      <c r="P62" s="25">
        <f>COUNTIFS('UAT · Swati'!$D:$D,"Qanvast Ops",'UAT · Swati'!$J:$J,"✅ Works")</f>
        <v/>
      </c>
      <c r="Q62" s="25">
        <f>COUNTIFS('UAT · Swati'!$D:$D,"Qanvast Ops",'UAT · Swati'!$J:$J,"🟡 Works, but…")</f>
        <v/>
      </c>
      <c r="R62" s="25">
        <f>COUNTIFS('UAT · Swati'!$D:$D,"Qanvast Ops",'UAT · Swati'!$J:$J,"❌ Doesn’t work")</f>
        <v/>
      </c>
      <c r="S62" s="25">
        <f>COUNTIFS('UAT · Swati'!$D:$D,"Qanvast Ops",'UAT · Swati'!$J:$J,"🔍 Couldn’t find it")</f>
        <v/>
      </c>
      <c r="T62" s="25">
        <f>COUNTIFS('UAT · Swati'!$D:$D,"Qanvast Ops",'UAT · Swati'!$J:$J,"❌ Doesn’t work",'UAT · Swati'!$O:$O,"&lt;&gt;Fixed – please re-test",'UAT · Swati'!$O:$O,"&lt;&gt;Won’t change")+COUNTIFS('UAT · Swati'!$D:$D,"Qanvast Ops",'UAT · Swati'!$J:$J,"🔍 Couldn’t find it",'UAT · Swati'!$O:$O,"&lt;&gt;Fixed – please re-test",'UAT · Swati'!$O:$O,"&lt;&gt;Won’t change")</f>
        <v/>
      </c>
    </row>
    <row r="63">
      <c r="A63" s="24" t="inlineStr">
        <is>
          <t>Phone</t>
        </is>
      </c>
      <c r="B63" s="24">
        <f>COUNTIF('UAT · Dane'!$D:$D,"Phone")</f>
        <v/>
      </c>
      <c r="C63" s="25">
        <f>COUNTIFS('UAT · Dane'!$D:$D,"Phone",'UAT · Dane'!$J:$J,"&lt;&gt;")</f>
        <v/>
      </c>
      <c r="D63" s="25">
        <f>COUNTIFS('UAT · Dane'!$D:$D,"Phone",'UAT · Dane'!$J:$J,"✅ Works")</f>
        <v/>
      </c>
      <c r="E63" s="25">
        <f>COUNTIFS('UAT · Dane'!$D:$D,"Phone",'UAT · Dane'!$J:$J,"🟡 Works, but…")</f>
        <v/>
      </c>
      <c r="F63" s="25">
        <f>COUNTIFS('UAT · Dane'!$D:$D,"Phone",'UAT · Dane'!$J:$J,"❌ Doesn’t work")</f>
        <v/>
      </c>
      <c r="G63" s="25">
        <f>COUNTIFS('UAT · Dane'!$D:$D,"Phone",'UAT · Dane'!$J:$J,"🔍 Couldn’t find it")</f>
        <v/>
      </c>
      <c r="H63" s="25">
        <f>COUNTIFS('UAT · Dane'!$D:$D,"Phone",'UAT · Dane'!$J:$J,"❌ Doesn’t work",'UAT · Dane'!$O:$O,"&lt;&gt;Fixed – please re-test",'UAT · Dane'!$O:$O,"&lt;&gt;Won’t change")+COUNTIFS('UAT · Dane'!$D:$D,"Phone",'UAT · Dane'!$J:$J,"🔍 Couldn’t find it",'UAT · Dane'!$O:$O,"&lt;&gt;Fixed – please re-test",'UAT · Dane'!$O:$O,"&lt;&gt;Won’t change")</f>
        <v/>
      </c>
      <c r="I63" s="25">
        <f>COUNTIFS('UAT · Oliva'!$D:$D,"Phone",'UAT · Oliva'!$J:$J,"&lt;&gt;")</f>
        <v/>
      </c>
      <c r="J63" s="25">
        <f>COUNTIFS('UAT · Oliva'!$D:$D,"Phone",'UAT · Oliva'!$J:$J,"✅ Works")</f>
        <v/>
      </c>
      <c r="K63" s="25">
        <f>COUNTIFS('UAT · Oliva'!$D:$D,"Phone",'UAT · Oliva'!$J:$J,"🟡 Works, but…")</f>
        <v/>
      </c>
      <c r="L63" s="25">
        <f>COUNTIFS('UAT · Oliva'!$D:$D,"Phone",'UAT · Oliva'!$J:$J,"❌ Doesn’t work")</f>
        <v/>
      </c>
      <c r="M63" s="25">
        <f>COUNTIFS('UAT · Oliva'!$D:$D,"Phone",'UAT · Oliva'!$J:$J,"🔍 Couldn’t find it")</f>
        <v/>
      </c>
      <c r="N63" s="25">
        <f>COUNTIFS('UAT · Oliva'!$D:$D,"Phone",'UAT · Oliva'!$J:$J,"❌ Doesn’t work",'UAT · Oliva'!$O:$O,"&lt;&gt;Fixed – please re-test",'UAT · Oliva'!$O:$O,"&lt;&gt;Won’t change")+COUNTIFS('UAT · Oliva'!$D:$D,"Phone",'UAT · Oliva'!$J:$J,"🔍 Couldn’t find it",'UAT · Oliva'!$O:$O,"&lt;&gt;Fixed – please re-test",'UAT · Oliva'!$O:$O,"&lt;&gt;Won’t change")</f>
        <v/>
      </c>
      <c r="O63" s="25">
        <f>COUNTIFS('UAT · Swati'!$D:$D,"Phone",'UAT · Swati'!$J:$J,"&lt;&gt;")</f>
        <v/>
      </c>
      <c r="P63" s="25">
        <f>COUNTIFS('UAT · Swati'!$D:$D,"Phone",'UAT · Swati'!$J:$J,"✅ Works")</f>
        <v/>
      </c>
      <c r="Q63" s="25">
        <f>COUNTIFS('UAT · Swati'!$D:$D,"Phone",'UAT · Swati'!$J:$J,"🟡 Works, but…")</f>
        <v/>
      </c>
      <c r="R63" s="25">
        <f>COUNTIFS('UAT · Swati'!$D:$D,"Phone",'UAT · Swati'!$J:$J,"❌ Doesn’t work")</f>
        <v/>
      </c>
      <c r="S63" s="25">
        <f>COUNTIFS('UAT · Swati'!$D:$D,"Phone",'UAT · Swati'!$J:$J,"🔍 Couldn’t find it")</f>
        <v/>
      </c>
      <c r="T63" s="25">
        <f>COUNTIFS('UAT · Swati'!$D:$D,"Phone",'UAT · Swati'!$J:$J,"❌ Doesn’t work",'UAT · Swati'!$O:$O,"&lt;&gt;Fixed – please re-test",'UAT · Swati'!$O:$O,"&lt;&gt;Won’t change")+COUNTIFS('UAT · Swati'!$D:$D,"Phone",'UAT · Swati'!$J:$J,"🔍 Couldn’t find it",'UAT · Swati'!$O:$O,"&lt;&gt;Fixed – please re-test",'UAT · Swati'!$O:$O,"&lt;&gt;Won’t change")</f>
        <v/>
      </c>
    </row>
    <row r="64">
      <c r="A64" s="22" t="inlineStr">
        <is>
          <t>Total</t>
        </is>
      </c>
      <c r="B64" s="26">
        <f>SUM(B40:B63)</f>
        <v/>
      </c>
      <c r="C64" s="26">
        <f>SUM(C40:C63)</f>
        <v/>
      </c>
      <c r="D64" s="26">
        <f>SUM(D40:D63)</f>
        <v/>
      </c>
      <c r="E64" s="26">
        <f>SUM(E40:E63)</f>
        <v/>
      </c>
      <c r="F64" s="26">
        <f>SUM(F40:F63)</f>
        <v/>
      </c>
      <c r="G64" s="26">
        <f>SUM(G40:G63)</f>
        <v/>
      </c>
      <c r="H64" s="26">
        <f>SUM(H40:H63)</f>
        <v/>
      </c>
      <c r="I64" s="26">
        <f>SUM(I40:I63)</f>
        <v/>
      </c>
      <c r="J64" s="26">
        <f>SUM(J40:J63)</f>
        <v/>
      </c>
      <c r="K64" s="26">
        <f>SUM(K40:K63)</f>
        <v/>
      </c>
      <c r="L64" s="26">
        <f>SUM(L40:L63)</f>
        <v/>
      </c>
      <c r="M64" s="26">
        <f>SUM(M40:M63)</f>
        <v/>
      </c>
      <c r="N64" s="26">
        <f>SUM(N40:N63)</f>
        <v/>
      </c>
      <c r="O64" s="26">
        <f>SUM(O40:O63)</f>
        <v/>
      </c>
      <c r="P64" s="26">
        <f>SUM(P40:P63)</f>
        <v/>
      </c>
      <c r="Q64" s="26">
        <f>SUM(Q40:Q63)</f>
        <v/>
      </c>
      <c r="R64" s="26">
        <f>SUM(R40:R63)</f>
        <v/>
      </c>
      <c r="S64" s="26">
        <f>SUM(S40:S63)</f>
        <v/>
      </c>
      <c r="T64" s="26">
        <f>SUM(T40:T63)</f>
        <v/>
      </c>
    </row>
  </sheetData>
  <mergeCells count="6">
    <mergeCell ref="C38:H38"/>
    <mergeCell ref="O38:T38"/>
    <mergeCell ref="O5:T5"/>
    <mergeCell ref="I5:N5"/>
    <mergeCell ref="C5:H5"/>
    <mergeCell ref="I38:N38"/>
  </mergeCells>
  <pageMargins left="0.75" right="0.75" top="1" bottom="1" header="0.5" footer="0.5"/>
</worksheet>
</file>

<file path=xl/worksheets/sheet7.xml><?xml version="1.0" encoding="utf-8"?>
<worksheet xmlns="http://schemas.openxmlformats.org/spreadsheetml/2006/main">
  <sheetPr>
    <tabColor rgb="006B6B7B"/>
    <outlinePr summaryBelow="1" summaryRight="1"/>
    <pageSetUpPr/>
  </sheetPr>
  <dimension ref="A1:J1184"/>
  <sheetViews>
    <sheetView workbookViewId="0">
      <pane ySplit="3" topLeftCell="A4" activePane="bottomLeft" state="frozen"/>
      <selection pane="bottomLeft" activeCell="A1" sqref="A1"/>
    </sheetView>
  </sheetViews>
  <sheetFormatPr baseColWidth="8" defaultRowHeight="15"/>
  <cols>
    <col width="16" customWidth="1" min="1" max="1"/>
    <col width="9" customWidth="1" min="2" max="2"/>
    <col width="20" customWidth="1" min="3" max="3"/>
    <col width="44" customWidth="1" min="4" max="4"/>
    <col width="22" customWidth="1" min="5" max="5"/>
    <col width="40" customWidth="1" min="6" max="6"/>
    <col width="18" customWidth="1" min="7" max="7"/>
    <col width="12" customWidth="1" min="8" max="8"/>
    <col width="18" customWidth="1" min="9" max="9"/>
    <col width="30" customWidth="1" min="10" max="10"/>
  </cols>
  <sheetData>
    <row r="1">
      <c r="A1" s="6" t="inlineStr">
        <is>
          <t>Every 1.0 feature, and where the story tests it</t>
        </is>
      </c>
    </row>
    <row r="2" ht="30" customHeight="1">
      <c r="A2" s="2" t="inlineStr">
        <is>
          <t>From the nine 1.0 → 2.0 parity audits (design-source/context/parity/). “Now in 2.0” says what happened to the feature; “Tested in steps” lists the story steps that prove it. Rows marked “Team check” are built but not in the story — Vicky and Dane check those here (Team result). Testers do not need this tab.</t>
        </is>
      </c>
    </row>
    <row r="3">
      <c r="A3" s="27" t="inlineStr">
        <is>
          <t>Module</t>
        </is>
      </c>
      <c r="B3" s="27" t="inlineStr">
        <is>
          <t>ID</t>
        </is>
      </c>
      <c r="C3" s="27" t="inlineStr">
        <is>
          <t>Area</t>
        </is>
      </c>
      <c r="D3" s="27" t="inlineStr">
        <is>
          <t>1.0 feature</t>
        </is>
      </c>
      <c r="E3" s="27" t="inlineStr">
        <is>
          <t>Now in 2.0</t>
        </is>
      </c>
      <c r="F3" s="27" t="inlineStr">
        <is>
          <t>Why (when not built)</t>
        </is>
      </c>
      <c r="G3" s="27" t="inlineStr">
        <is>
          <t>Tested in steps</t>
        </is>
      </c>
      <c r="H3" s="27" t="inlineStr">
        <is>
          <t>Check</t>
        </is>
      </c>
      <c r="I3" s="27" t="inlineStr">
        <is>
          <t>Team result</t>
        </is>
      </c>
      <c r="J3" s="27" t="inlineStr">
        <is>
          <t>Team notes</t>
        </is>
      </c>
    </row>
    <row r="4">
      <c r="A4" s="12" t="inlineStr">
        <is>
          <t>Leads</t>
        </is>
      </c>
      <c r="B4" s="12" t="inlineStr">
        <is>
          <t>DEF-01</t>
        </is>
      </c>
      <c r="C4" s="12" t="inlineStr">
        <is>
          <t>Definitions</t>
        </is>
      </c>
      <c r="D4" s="14" t="inlineStr">
        <is>
          <t>Where a lead stands: bucket, status and sub-status</t>
        </is>
      </c>
      <c r="E4" s="14" t="inlineStr">
        <is>
          <t>Not built — by design</t>
        </is>
      </c>
      <c r="F4" s="12" t="inlineStr">
        <is>
          <t>Owner kept seven fixed stages; no sub-statuses or editable funnel (Q-01, Q-02)</t>
        </is>
      </c>
      <c r="G4" s="12" t="inlineStr">
        <is>
          <t>4.23, 5.19, 5.20, 9.01</t>
        </is>
      </c>
      <c r="H4" s="12" t="inlineStr"/>
      <c r="I4" s="17" t="n"/>
      <c r="J4" s="17" t="n"/>
    </row>
    <row r="5">
      <c r="A5" s="12" t="inlineStr">
        <is>
          <t>Leads</t>
        </is>
      </c>
      <c r="B5" s="12" t="inlineStr">
        <is>
          <t>DEF-02</t>
        </is>
      </c>
      <c r="C5" s="12" t="inlineStr">
        <is>
          <t>Definitions</t>
        </is>
      </c>
      <c r="D5" s="14" t="inlineStr">
        <is>
          <t>Follow-Up as a status with its own sub-statuses</t>
        </is>
      </c>
      <c r="E5" s="14" t="inlineStr">
        <is>
          <t>Built in parity round 2</t>
        </is>
      </c>
      <c r="F5" s="12" t="inlineStr">
        <is>
          <t>Follow-ups are tasks, with a Next follow-up line (Q-03)</t>
        </is>
      </c>
      <c r="G5" s="12" t="inlineStr">
        <is>
          <t>5.05, 11.06</t>
        </is>
      </c>
      <c r="H5" s="12" t="inlineStr"/>
      <c r="I5" s="17" t="n"/>
      <c r="J5" s="17" t="n"/>
    </row>
    <row r="6">
      <c r="A6" s="12" t="inlineStr">
        <is>
          <t>Leads</t>
        </is>
      </c>
      <c r="B6" s="12" t="inlineStr">
        <is>
          <t>DEF-03</t>
        </is>
      </c>
      <c r="C6" s="12" t="inlineStr">
        <is>
          <t>Definitions</t>
        </is>
      </c>
      <c r="D6" s="14" t="inlineStr">
        <is>
          <t>Archive a lead instead of deleting it</t>
        </is>
      </c>
      <c r="E6" s="14" t="inlineStr">
        <is>
          <t>Excluded</t>
        </is>
      </c>
      <c r="F6" s="12" t="inlineStr">
        <is>
          <t>Owner kept Delete; round 1 added the live-link warning (Q-04)</t>
        </is>
      </c>
      <c r="G6" s="12" t="inlineStr">
        <is>
          <t>9.14, 9.15</t>
        </is>
      </c>
      <c r="H6" s="12" t="inlineStr"/>
      <c r="I6" s="17" t="n"/>
      <c r="J6" s="17" t="n"/>
    </row>
    <row r="7">
      <c r="A7" s="12" t="inlineStr">
        <is>
          <t>Leads</t>
        </is>
      </c>
      <c r="B7" s="12" t="inlineStr">
        <is>
          <t>DEF-04</t>
        </is>
      </c>
      <c r="C7" s="12" t="inlineStr">
        <is>
          <t>Definitions</t>
        </is>
      </c>
      <c r="D7" s="14" t="inlineStr">
        <is>
          <t>Journey mode: an eight-step tracker with evidence</t>
        </is>
      </c>
      <c r="E7" s="14" t="inlineStr">
        <is>
          <t>Excluded</t>
        </is>
      </c>
      <c r="F7" s="12" t="inlineStr">
        <is>
          <t>Owner excluded Journey mode; Linear stage movement instead</t>
        </is>
      </c>
      <c r="G7" s="12" t="inlineStr"/>
      <c r="H7" s="12" t="inlineStr"/>
      <c r="I7" s="17" t="n"/>
      <c r="J7" s="17" t="n"/>
    </row>
    <row r="8">
      <c r="A8" s="12" t="inlineStr">
        <is>
          <t>Leads</t>
        </is>
      </c>
      <c r="B8" s="12" t="inlineStr">
        <is>
          <t>DEF-05</t>
        </is>
      </c>
      <c r="C8" s="12" t="inlineStr">
        <is>
          <t>Definitions</t>
        </is>
      </c>
      <c r="D8" s="14" t="inlineStr">
        <is>
          <t>On Hold with durations, reasons and a revisit ping</t>
        </is>
      </c>
      <c r="E8" s="14" t="inlineStr">
        <is>
          <t>Built in parity round 1</t>
        </is>
      </c>
      <c r="F8" s="12" t="inlineStr">
        <is>
          <t>Six reasons in round 1; the date reminder in round 2</t>
        </is>
      </c>
      <c r="G8" s="12" t="inlineStr">
        <is>
          <t>9.05, 9.06</t>
        </is>
      </c>
      <c r="H8" s="12" t="inlineStr"/>
      <c r="I8" s="17" t="n"/>
      <c r="J8" s="17" t="n"/>
    </row>
    <row r="9">
      <c r="A9" s="12" t="inlineStr">
        <is>
          <t>Leads</t>
        </is>
      </c>
      <c r="B9" s="12" t="inlineStr">
        <is>
          <t>DEF-06</t>
        </is>
      </c>
      <c r="C9" s="12" t="inlineStr">
        <is>
          <t>Definitions</t>
        </is>
      </c>
      <c r="D9" s="14" t="inlineStr">
        <is>
          <t>Lost with reasons, competitor and restart details</t>
        </is>
      </c>
      <c r="E9" s="14" t="inlineStr">
        <is>
          <t>Built in parity round 1</t>
        </is>
      </c>
      <c r="F9" s="12" t="inlineStr"/>
      <c r="G9" s="12" t="inlineStr">
        <is>
          <t>9.07, 9.08</t>
        </is>
      </c>
      <c r="H9" s="12" t="inlineStr"/>
      <c r="I9" s="17" t="n"/>
      <c r="J9" s="17" t="n"/>
    </row>
    <row r="10">
      <c r="A10" s="12" t="inlineStr">
        <is>
          <t>Leads</t>
        </is>
      </c>
      <c r="B10" s="12" t="inlineStr">
        <is>
          <t>DEF-07</t>
        </is>
      </c>
      <c r="C10" s="12" t="inlineStr">
        <is>
          <t>Definitions</t>
        </is>
      </c>
      <c r="D10" s="14" t="inlineStr">
        <is>
          <t>Return a Qanvast lead for a refund</t>
        </is>
      </c>
      <c r="E10" s="14" t="inlineStr">
        <is>
          <t>Built in parity round 3</t>
        </is>
      </c>
      <c r="F10" s="12" t="inlineStr">
        <is>
          <t>Seven reasons added; return from any stage kept (Q-08)</t>
        </is>
      </c>
      <c r="G10" s="12" t="inlineStr">
        <is>
          <t>9.10</t>
        </is>
      </c>
      <c r="H10" s="12" t="inlineStr"/>
      <c r="I10" s="17" t="n"/>
      <c r="J10" s="17" t="n"/>
    </row>
    <row r="11">
      <c r="A11" s="12" t="inlineStr">
        <is>
          <t>Leads</t>
        </is>
      </c>
      <c r="B11" s="12" t="inlineStr">
        <is>
          <t>DEF-08</t>
        </is>
      </c>
      <c r="C11" s="12" t="inlineStr">
        <is>
          <t>Definitions</t>
        </is>
      </c>
      <c r="D11" s="14" t="inlineStr">
        <is>
          <t>Many members per lead; removing the last downgrades it</t>
        </is>
      </c>
      <c r="E11" s="14" t="inlineStr">
        <is>
          <t>Not built — by design</t>
        </is>
      </c>
      <c r="F11" s="12" t="inlineStr">
        <is>
          <t>Past New the last member stays (Q-09); commission shares are set per project (F2)</t>
        </is>
      </c>
      <c r="G11" s="12" t="inlineStr">
        <is>
          <t>5.03, 10.04, 10.10</t>
        </is>
      </c>
      <c r="H11" s="12" t="inlineStr"/>
      <c r="I11" s="17" t="n"/>
      <c r="J11" s="17" t="n"/>
    </row>
    <row r="12">
      <c r="A12" s="12" t="inlineStr">
        <is>
          <t>Leads</t>
        </is>
      </c>
      <c r="B12" s="12" t="inlineStr">
        <is>
          <t>DEF-09</t>
        </is>
      </c>
      <c r="C12" s="12" t="inlineStr">
        <is>
          <t>Definitions</t>
        </is>
      </c>
      <c r="D12" s="14" t="inlineStr">
        <is>
          <t>Hot, warm or cold temperature on a lead</t>
        </is>
      </c>
      <c r="E12" s="14" t="inlineStr">
        <is>
          <t>Not built — by design</t>
        </is>
      </c>
      <c r="F12" s="12" t="inlineStr">
        <is>
          <t>Owner declined temperature (Q-10)</t>
        </is>
      </c>
      <c r="G12" s="12" t="inlineStr"/>
      <c r="H12" s="12" t="inlineStr"/>
      <c r="I12" s="17" t="n"/>
      <c r="J12" s="17" t="n"/>
    </row>
    <row r="13">
      <c r="A13" s="12" t="inlineStr">
        <is>
          <t>Leads</t>
        </is>
      </c>
      <c r="B13" s="12" t="inlineStr">
        <is>
          <t>DEF-10</t>
        </is>
      </c>
      <c r="C13" s="12" t="inlineStr">
        <is>
          <t>Definitions</t>
        </is>
      </c>
      <c r="D13" s="14" t="inlineStr">
        <is>
          <t>The studio's own list of lead sources</t>
        </is>
      </c>
      <c r="E13" s="14" t="inlineStr">
        <is>
          <t>Built</t>
        </is>
      </c>
      <c r="F13" s="12" t="inlineStr"/>
      <c r="G13" s="12" t="inlineStr">
        <is>
          <t>2.18, 4.14</t>
        </is>
      </c>
      <c r="H13" s="12" t="inlineStr"/>
      <c r="I13" s="17" t="n"/>
      <c r="J13" s="17" t="n"/>
    </row>
    <row r="14">
      <c r="A14" s="12" t="inlineStr">
        <is>
          <t>Leads</t>
        </is>
      </c>
      <c r="B14" s="12" t="inlineStr">
        <is>
          <t>DEF-11</t>
        </is>
      </c>
      <c r="C14" s="12" t="inlineStr">
        <is>
          <t>Definitions</t>
        </is>
      </c>
      <c r="D14" s="14" t="inlineStr">
        <is>
          <t>Property type, status, style, key collection and district lists</t>
        </is>
      </c>
      <c r="E14" s="14" t="inlineStr">
        <is>
          <t>Built in parity round 1</t>
        </is>
      </c>
      <c r="F14" s="12" t="inlineStr">
        <is>
          <t>Condition keeps New · Resale · Renovated by design (Q-11)</t>
        </is>
      </c>
      <c r="G14" s="12" t="inlineStr">
        <is>
          <t>4.05, 5.02</t>
        </is>
      </c>
      <c r="H14" s="12" t="inlineStr"/>
      <c r="I14" s="17" t="n"/>
      <c r="J14" s="17" t="n"/>
    </row>
    <row r="15">
      <c r="A15" s="12" t="inlineStr">
        <is>
          <t>Leads</t>
        </is>
      </c>
      <c r="B15" s="12" t="inlineStr">
        <is>
          <t>DEF-12</t>
        </is>
      </c>
      <c r="C15" s="12" t="inlineStr">
        <is>
          <t>Definitions</t>
        </is>
      </c>
      <c r="D15" s="14" t="inlineStr">
        <is>
          <t>Separate first-name and last-name fields</t>
        </is>
      </c>
      <c r="E15" s="14" t="inlineStr">
        <is>
          <t>Not built — by design</t>
        </is>
      </c>
      <c r="F15" s="12" t="inlineStr">
        <is>
          <t>One Lead name field kept (Q-13)</t>
        </is>
      </c>
      <c r="G15" s="12" t="inlineStr">
        <is>
          <t>4.04</t>
        </is>
      </c>
      <c r="H15" s="12" t="inlineStr"/>
      <c r="I15" s="17" t="n"/>
      <c r="J15" s="17" t="n"/>
    </row>
    <row r="16">
      <c r="A16" s="12" t="inlineStr">
        <is>
          <t>Leads</t>
        </is>
      </c>
      <c r="B16" s="12" t="inlineStr">
        <is>
          <t>DEF-13</t>
        </is>
      </c>
      <c r="C16" s="12" t="inlineStr">
        <is>
          <t>Definitions</t>
        </is>
      </c>
      <c r="D16" s="14" t="inlineStr">
        <is>
          <t>Budget limited to S$1,000–5,000,000</t>
        </is>
      </c>
      <c r="E16" s="14" t="inlineStr">
        <is>
          <t>Built in parity round 1</t>
        </is>
      </c>
      <c r="F16" s="12" t="inlineStr"/>
      <c r="G16" s="12" t="inlineStr">
        <is>
          <t>4.04</t>
        </is>
      </c>
      <c r="H16" s="12" t="inlineStr"/>
      <c r="I16" s="17" t="n"/>
      <c r="J16" s="17" t="n"/>
    </row>
    <row r="17">
      <c r="A17" s="12" t="inlineStr">
        <is>
          <t>Leads</t>
        </is>
      </c>
      <c r="B17" s="12" t="inlineStr">
        <is>
          <t>DEF-14</t>
        </is>
      </c>
      <c r="C17" s="12" t="inlineStr">
        <is>
          <t>Definitions</t>
        </is>
      </c>
      <c r="D17" s="14" t="inlineStr">
        <is>
          <t>Five required fields on a new lead</t>
        </is>
      </c>
      <c r="E17" s="14" t="inlineStr">
        <is>
          <t>Not built — by design</t>
        </is>
      </c>
      <c r="F17" s="12" t="inlineStr">
        <is>
          <t>Only name and phone are required (Q-15)</t>
        </is>
      </c>
      <c r="G17" s="12" t="inlineStr">
        <is>
          <t>4.04</t>
        </is>
      </c>
      <c r="H17" s="12" t="inlineStr"/>
      <c r="I17" s="17" t="n"/>
      <c r="J17" s="17" t="n"/>
    </row>
    <row r="18">
      <c r="A18" s="12" t="inlineStr">
        <is>
          <t>Leads</t>
        </is>
      </c>
      <c r="B18" s="12" t="inlineStr">
        <is>
          <t>DEF-15</t>
        </is>
      </c>
      <c r="C18" s="12" t="inlineStr">
        <is>
          <t>Definitions</t>
        </is>
      </c>
      <c r="D18" s="14" t="inlineStr">
        <is>
          <t>Remarks plus a second Additional Info box</t>
        </is>
      </c>
      <c r="E18" s="14" t="inlineStr">
        <is>
          <t>Not built — by design</t>
        </is>
      </c>
      <c r="F18" s="12" t="inlineStr">
        <is>
          <t>One Remarks field only (Q-16)</t>
        </is>
      </c>
      <c r="G18" s="12" t="inlineStr">
        <is>
          <t>4.05</t>
        </is>
      </c>
      <c r="H18" s="12" t="inlineStr"/>
      <c r="I18" s="17" t="n"/>
      <c r="J18" s="17" t="n"/>
    </row>
    <row r="19">
      <c r="A19" s="12" t="inlineStr">
        <is>
          <t>Leads</t>
        </is>
      </c>
      <c r="B19" s="12" t="inlineStr">
        <is>
          <t>DEF-16</t>
        </is>
      </c>
      <c r="C19" s="12" t="inlineStr">
        <is>
          <t>Definitions</t>
        </is>
      </c>
      <c r="D19" s="14" t="inlineStr">
        <is>
          <t>Contact attempts with channel and outcome</t>
        </is>
      </c>
      <c r="E19" s="14" t="inlineStr">
        <is>
          <t>Built in parity round 1</t>
        </is>
      </c>
      <c r="F19" s="12" t="inlineStr"/>
      <c r="G19" s="12" t="inlineStr">
        <is>
          <t>5.07, 5.08, 5.11</t>
        </is>
      </c>
      <c r="H19" s="12" t="inlineStr"/>
      <c r="I19" s="17" t="n"/>
      <c r="J19" s="17" t="n"/>
    </row>
    <row r="20">
      <c r="A20" s="12" t="inlineStr">
        <is>
          <t>Leads</t>
        </is>
      </c>
      <c r="B20" s="12" t="inlineStr">
        <is>
          <t>DEF-17</t>
        </is>
      </c>
      <c r="C20" s="12" t="inlineStr">
        <is>
          <t>Definitions</t>
        </is>
      </c>
      <c r="D20" s="14" t="inlineStr">
        <is>
          <t>A next follow-up date on the lead, with a reminder</t>
        </is>
      </c>
      <c r="E20" s="14" t="inlineStr">
        <is>
          <t>Built in parity round 2</t>
        </is>
      </c>
      <c r="F20" s="12" t="inlineStr">
        <is>
          <t>Kept as tasks: Next follow-up line, Follow-up kind, reminder</t>
        </is>
      </c>
      <c r="G20" s="12" t="inlineStr">
        <is>
          <t>5.05, 5.12, 11.06</t>
        </is>
      </c>
      <c r="H20" s="12" t="inlineStr"/>
      <c r="I20" s="17" t="n"/>
      <c r="J20" s="17" t="n"/>
    </row>
    <row r="21">
      <c r="A21" s="12" t="inlineStr">
        <is>
          <t>Leads</t>
        </is>
      </c>
      <c r="B21" s="12" t="inlineStr">
        <is>
          <t>DEF-18</t>
        </is>
      </c>
      <c r="C21" s="12" t="inlineStr">
        <is>
          <t>Definitions</t>
        </is>
      </c>
      <c r="D21" s="14" t="inlineStr">
        <is>
          <t>Duplicate check: 'Create this lead anyway?'</t>
        </is>
      </c>
      <c r="E21" s="14" t="inlineStr">
        <is>
          <t>Built in parity round 3</t>
        </is>
      </c>
      <c r="F21" s="12" t="inlineStr"/>
      <c r="G21" s="12" t="inlineStr">
        <is>
          <t>4.03</t>
        </is>
      </c>
      <c r="H21" s="12" t="inlineStr"/>
      <c r="I21" s="17" t="n"/>
      <c r="J21" s="17" t="n"/>
    </row>
    <row r="22">
      <c r="A22" s="12" t="inlineStr">
        <is>
          <t>Leads</t>
        </is>
      </c>
      <c r="B22" s="12" t="inlineStr">
        <is>
          <t>DEF-19</t>
        </is>
      </c>
      <c r="C22" s="12" t="inlineStr">
        <is>
          <t>Definitions</t>
        </is>
      </c>
      <c r="D22" s="14" t="inlineStr">
        <is>
          <t>Who sees and moves leads, by role</t>
        </is>
      </c>
      <c r="E22" s="14" t="inlineStr">
        <is>
          <t>Built</t>
        </is>
      </c>
      <c r="F22" s="12" t="inlineStr"/>
      <c r="G22" s="12" t="inlineStr">
        <is>
          <t>2.23, 10.01</t>
        </is>
      </c>
      <c r="H22" s="12" t="inlineStr"/>
      <c r="I22" s="17" t="n"/>
      <c r="J22" s="17" t="n"/>
    </row>
    <row r="23">
      <c r="A23" s="12" t="inlineStr">
        <is>
          <t>Leads</t>
        </is>
      </c>
      <c r="B23" s="12" t="inlineStr">
        <is>
          <t>DEF-20</t>
        </is>
      </c>
      <c r="C23" s="12" t="inlineStr">
        <is>
          <t>Definitions</t>
        </is>
      </c>
      <c r="D23" s="14" t="inlineStr">
        <is>
          <t>A saved activity log, including removals and deletions</t>
        </is>
      </c>
      <c r="E23" s="14" t="inlineStr">
        <is>
          <t>Built in parity round 7</t>
        </is>
      </c>
      <c r="F23" s="12" t="inlineStr"/>
      <c r="G23" s="12" t="inlineStr">
        <is>
          <t>5.22, 9.10, 11.10</t>
        </is>
      </c>
      <c r="H23" s="12" t="inlineStr"/>
      <c r="I23" s="17" t="n"/>
      <c r="J23" s="17" t="n"/>
    </row>
    <row r="24">
      <c r="A24" s="12" t="inlineStr">
        <is>
          <t>Leads</t>
        </is>
      </c>
      <c r="B24" s="12" t="inlineStr">
        <is>
          <t>DEF-21</t>
        </is>
      </c>
      <c r="C24" s="12" t="inlineStr">
        <is>
          <t>Definitions</t>
        </is>
      </c>
      <c r="D24" s="14" t="inlineStr">
        <is>
          <t>Files on the lead</t>
        </is>
      </c>
      <c r="E24" s="14" t="inlineStr">
        <is>
          <t>Built</t>
        </is>
      </c>
      <c r="F24" s="12" t="inlineStr"/>
      <c r="G24" s="12" t="inlineStr">
        <is>
          <t>5.14, 5.15, 5.16</t>
        </is>
      </c>
      <c r="H24" s="12" t="inlineStr"/>
      <c r="I24" s="17" t="n"/>
      <c r="J24" s="17" t="n"/>
    </row>
    <row r="25">
      <c r="A25" s="12" t="inlineStr">
        <is>
          <t>Leads</t>
        </is>
      </c>
      <c r="B25" s="12" t="inlineStr">
        <is>
          <t>DEF-22</t>
        </is>
      </c>
      <c r="C25" s="12" t="inlineStr">
        <is>
          <t>Definitions</t>
        </is>
      </c>
      <c r="D25" s="14" t="inlineStr">
        <is>
          <t>A studio question bank the client answers</t>
        </is>
      </c>
      <c r="E25" s="14" t="inlineStr">
        <is>
          <t>Built in parity round 6</t>
        </is>
      </c>
      <c r="F25" s="12" t="inlineStr">
        <is>
          <t>Each question's Answer history added later (Projects gaps D)</t>
        </is>
      </c>
      <c r="G25" s="12" t="inlineStr">
        <is>
          <t>3.37, 3.38, 5.17, 5.18</t>
        </is>
      </c>
      <c r="H25" s="12" t="inlineStr"/>
      <c r="I25" s="17" t="n"/>
      <c r="J25" s="17" t="n"/>
    </row>
    <row r="26">
      <c r="A26" s="12" t="inlineStr">
        <is>
          <t>Leads</t>
        </is>
      </c>
      <c r="B26" s="12" t="inlineStr">
        <is>
          <t>DEF-23</t>
        </is>
      </c>
      <c r="C26" s="12" t="inlineStr">
        <is>
          <t>Definitions</t>
        </is>
      </c>
      <c r="D26" s="14" t="inlineStr">
        <is>
          <t>Invite the homeowner to the portal</t>
        </is>
      </c>
      <c r="E26" s="14" t="inlineStr">
        <is>
          <t>Built in parity round 3</t>
        </is>
      </c>
      <c r="F26" s="12" t="inlineStr"/>
      <c r="G26" s="12" t="inlineStr">
        <is>
          <t>9.13</t>
        </is>
      </c>
      <c r="H26" s="12" t="inlineStr"/>
      <c r="I26" s="17" t="n"/>
      <c r="J26" s="17" t="n"/>
    </row>
    <row r="27">
      <c r="A27" s="12" t="inlineStr">
        <is>
          <t>Leads</t>
        </is>
      </c>
      <c r="B27" s="12" t="inlineStr">
        <is>
          <t>DEF-24</t>
        </is>
      </c>
      <c r="C27" s="12" t="inlineStr">
        <is>
          <t>Definitions</t>
        </is>
      </c>
      <c r="D27" s="14" t="inlineStr">
        <is>
          <t>Notifications for lead events</t>
        </is>
      </c>
      <c r="E27" s="14" t="inlineStr">
        <is>
          <t>Built in parity round 2</t>
        </is>
      </c>
      <c r="F27" s="12" t="inlineStr"/>
      <c r="G27" s="12" t="inlineStr">
        <is>
          <t>1.08, 2.32, 11.04</t>
        </is>
      </c>
      <c r="H27" s="12" t="inlineStr"/>
      <c r="I27" s="17" t="n"/>
      <c r="J27" s="17" t="n"/>
    </row>
    <row r="28">
      <c r="A28" s="12" t="inlineStr">
        <is>
          <t>Leads</t>
        </is>
      </c>
      <c r="B28" s="12" t="inlineStr">
        <is>
          <t>DEF-25</t>
        </is>
      </c>
      <c r="C28" s="12" t="inlineStr">
        <is>
          <t>Definitions</t>
        </is>
      </c>
      <c r="D28" s="14" t="inlineStr">
        <is>
          <t>Performance report and per-lead response time</t>
        </is>
      </c>
      <c r="E28" s="14" t="inlineStr">
        <is>
          <t>Built in parity round 5</t>
        </is>
      </c>
      <c r="F28" s="12" t="inlineStr">
        <is>
          <t>The Dashboard's Leads tile and lead rows in Needs you (S22)</t>
        </is>
      </c>
      <c r="G28" s="12" t="inlineStr">
        <is>
          <t>5.21, 11.08</t>
        </is>
      </c>
      <c r="H28" s="12" t="inlineStr"/>
      <c r="I28" s="17" t="n"/>
      <c r="J28" s="17" t="n"/>
    </row>
    <row r="29">
      <c r="A29" s="12" t="inlineStr">
        <is>
          <t>Leads</t>
        </is>
      </c>
      <c r="B29" s="12" t="inlineStr">
        <is>
          <t>DEF-26</t>
        </is>
      </c>
      <c r="C29" s="12" t="inlineStr">
        <is>
          <t>Definitions</t>
        </is>
      </c>
      <c r="D29" s="14" t="inlineStr">
        <is>
          <t>Custom lead fields, categories and pipeline stages</t>
        </is>
      </c>
      <c r="E29" s="14" t="inlineStr">
        <is>
          <t>Built in parity round 6</t>
        </is>
      </c>
      <c r="F29" s="12" t="inlineStr">
        <is>
          <t>Custom fields built; categories and pipeline stages stay dead</t>
        </is>
      </c>
      <c r="G29" s="12" t="inlineStr">
        <is>
          <t>2.22</t>
        </is>
      </c>
      <c r="H29" s="12" t="inlineStr"/>
      <c r="I29" s="17" t="n"/>
      <c r="J29" s="17" t="n"/>
    </row>
    <row r="30">
      <c r="A30" s="12" t="inlineStr">
        <is>
          <t>Leads</t>
        </is>
      </c>
      <c r="B30" s="12" t="inlineStr">
        <is>
          <t>DEF-27</t>
        </is>
      </c>
      <c r="C30" s="12" t="inlineStr">
        <is>
          <t>Definitions</t>
        </is>
      </c>
      <c r="D30" s="14" t="inlineStr">
        <is>
          <t>Workflow switches for stage requirements</t>
        </is>
      </c>
      <c r="E30" s="14" t="inlineStr">
        <is>
          <t>Built</t>
        </is>
      </c>
      <c r="F30" s="12" t="inlineStr">
        <is>
          <t>Settings › Lead stages: contract and next-call asks as switches; the rest fixed (S05)</t>
        </is>
      </c>
      <c r="G30" s="12" t="inlineStr">
        <is>
          <t>9.03</t>
        </is>
      </c>
      <c r="H30" s="12" t="inlineStr"/>
      <c r="I30" s="17" t="n"/>
      <c r="J30" s="17" t="n"/>
    </row>
    <row r="31">
      <c r="A31" s="12" t="inlineStr">
        <is>
          <t>Leads</t>
        </is>
      </c>
      <c r="B31" s="12" t="inlineStr">
        <is>
          <t>DEF-28</t>
        </is>
      </c>
      <c r="C31" s="12" t="inlineStr">
        <is>
          <t>Definitions</t>
        </is>
      </c>
      <c r="D31" s="14" t="inlineStr">
        <is>
          <t>Designer lead preferences and a recommended assignee</t>
        </is>
      </c>
      <c r="E31" s="14" t="inlineStr">
        <is>
          <t>Built in parity round 6</t>
        </is>
      </c>
      <c r="F31" s="12" t="inlineStr"/>
      <c r="G31" s="12" t="inlineStr">
        <is>
          <t>2.09, 5.04</t>
        </is>
      </c>
      <c r="H31" s="12" t="inlineStr"/>
      <c r="I31" s="17" t="n"/>
      <c r="J31" s="17" t="n"/>
    </row>
    <row r="32">
      <c r="A32" s="12" t="inlineStr">
        <is>
          <t>Leads</t>
        </is>
      </c>
      <c r="B32" s="12" t="inlineStr">
        <is>
          <t>DEF-29</t>
        </is>
      </c>
      <c r="C32" s="12" t="inlineStr">
        <is>
          <t>Definitions</t>
        </is>
      </c>
      <c r="D32" s="14" t="inlineStr">
        <is>
          <t>Fill a new lead from a document by AI</t>
        </is>
      </c>
      <c r="E32" s="14" t="inlineStr">
        <is>
          <t>Built in parity round 3</t>
        </is>
      </c>
      <c r="F32" s="12" t="inlineStr">
        <is>
          <t>Reads the picked file’s own words by rule — PDF, sheet or text; no AI (S42)</t>
        </is>
      </c>
      <c r="G32" s="12" t="inlineStr">
        <is>
          <t>4.02</t>
        </is>
      </c>
      <c r="H32" s="12" t="inlineStr"/>
      <c r="I32" s="17" t="n"/>
      <c r="J32" s="17" t="n"/>
    </row>
    <row r="33">
      <c r="A33" s="12" t="inlineStr">
        <is>
          <t>Leads</t>
        </is>
      </c>
      <c r="B33" s="12" t="inlineStr">
        <is>
          <t>DEF-30</t>
        </is>
      </c>
      <c r="C33" s="12" t="inlineStr">
        <is>
          <t>Definitions</t>
        </is>
      </c>
      <c r="D33" s="14" t="inlineStr">
        <is>
          <t>Country and region per lead</t>
        </is>
      </c>
      <c r="E33" s="14" t="inlineStr">
        <is>
          <t>Platform</t>
        </is>
      </c>
      <c r="F33" s="12" t="inlineStr">
        <is>
          <t>Singapore only in 2.0</t>
        </is>
      </c>
      <c r="G33" s="12" t="inlineStr"/>
      <c r="H33" s="12" t="inlineStr"/>
      <c r="I33" s="17" t="n"/>
      <c r="J33" s="17" t="n"/>
    </row>
    <row r="34">
      <c r="A34" s="12" t="inlineStr">
        <is>
          <t>Leads</t>
        </is>
      </c>
      <c r="B34" s="12" t="inlineStr">
        <is>
          <t>DEF-31</t>
        </is>
      </c>
      <c r="C34" s="12" t="inlineStr">
        <is>
          <t>Definitions</t>
        </is>
      </c>
      <c r="D34" s="14" t="inlineStr">
        <is>
          <t>Signing creates a draft project</t>
        </is>
      </c>
      <c r="E34" s="14" t="inlineStr">
        <is>
          <t>Built</t>
        </is>
      </c>
      <c r="F34" s="12" t="inlineStr">
        <is>
          <t>Won creates the project; signing alone doesn't (Q-37; Projects build)</t>
        </is>
      </c>
      <c r="G34" s="12" t="inlineStr">
        <is>
          <t>9.04</t>
        </is>
      </c>
      <c r="H34" s="12" t="inlineStr"/>
      <c r="I34" s="17" t="n"/>
      <c r="J34" s="17" t="n"/>
    </row>
    <row r="35">
      <c r="A35" s="12" t="inlineStr">
        <is>
          <t>Leads</t>
        </is>
      </c>
      <c r="B35" s="12" t="inlineStr">
        <is>
          <t>DEF-32</t>
        </is>
      </c>
      <c r="C35" s="12" t="inlineStr">
        <is>
          <t>Definitions</t>
        </is>
      </c>
      <c r="D35" s="14" t="inlineStr">
        <is>
          <t>Issuing entity stored on the lead</t>
        </is>
      </c>
      <c r="E35" s="14" t="inlineStr">
        <is>
          <t>Not built — by design</t>
        </is>
      </c>
      <c r="F35" s="12" t="inlineStr">
        <is>
          <t>Entities live on each quote and contract — Issued by (quote editor D-101); the port copies the lead’s entity onto its quotes</t>
        </is>
      </c>
      <c r="G35" s="12" t="inlineStr"/>
      <c r="H35" s="12" t="inlineStr"/>
      <c r="I35" s="17" t="n"/>
      <c r="J35" s="17" t="n"/>
    </row>
    <row r="36">
      <c r="A36" s="12" t="inlineStr">
        <is>
          <t>Leads</t>
        </is>
      </c>
      <c r="B36" s="12" t="inlineStr">
        <is>
          <t>DEF-33</t>
        </is>
      </c>
      <c r="C36" s="12" t="inlineStr">
        <is>
          <t>Definitions</t>
        </is>
      </c>
      <c r="D36" s="14" t="inlineStr">
        <is>
          <t>Meetings, copilot, visualiser and hangouts</t>
        </is>
      </c>
      <c r="E36" s="14" t="inlineStr">
        <is>
          <t>Built</t>
        </is>
      </c>
      <c r="F36" s="12" t="inlineStr">
        <is>
          <t>Meetings and the Co-Pilot (S23), AI Visualizer, Hangouts (S27) are all built</t>
        </is>
      </c>
      <c r="G36" s="12" t="inlineStr"/>
      <c r="H36" s="28" t="inlineStr">
        <is>
          <t>Team check</t>
        </is>
      </c>
      <c r="I36" s="17" t="n"/>
      <c r="J36" s="17" t="n"/>
    </row>
    <row r="37">
      <c r="A37" s="12" t="inlineStr">
        <is>
          <t>Leads</t>
        </is>
      </c>
      <c r="B37" s="12" t="inlineStr">
        <is>
          <t>MM-01</t>
        </is>
      </c>
      <c r="C37" s="12" t="inlineStr">
        <is>
          <t>Mismatches</t>
        </is>
      </c>
      <c r="D37" s="14" t="inlineStr">
        <is>
          <t>Lead position: bucket, status, sub-status, studio-editable</t>
        </is>
      </c>
      <c r="E37" s="14" t="inlineStr">
        <is>
          <t>Not built — by design</t>
        </is>
      </c>
      <c r="F37" s="12" t="inlineStr">
        <is>
          <t>Seven fixed stages kept (Q-01, Q-02)</t>
        </is>
      </c>
      <c r="G37" s="12" t="inlineStr">
        <is>
          <t>5.20, 9.01</t>
        </is>
      </c>
      <c r="H37" s="12" t="inlineStr"/>
      <c r="I37" s="17" t="n"/>
      <c r="J37" s="17" t="n"/>
    </row>
    <row r="38">
      <c r="A38" s="12" t="inlineStr">
        <is>
          <t>Leads</t>
        </is>
      </c>
      <c r="B38" s="12" t="inlineStr">
        <is>
          <t>MM-02</t>
        </is>
      </c>
      <c r="C38" s="12" t="inlineStr">
        <is>
          <t>Mismatches</t>
        </is>
      </c>
      <c r="D38" s="14" t="inlineStr">
        <is>
          <t>On Hold tiers, reasons and a revisit ping</t>
        </is>
      </c>
      <c r="E38" s="14" t="inlineStr">
        <is>
          <t>Built in parity round 2</t>
        </is>
      </c>
      <c r="F38" s="12" t="inlineStr">
        <is>
          <t>Reasons in round 1; the date reminder in round 2</t>
        </is>
      </c>
      <c r="G38" s="12" t="inlineStr">
        <is>
          <t>9.05</t>
        </is>
      </c>
      <c r="H38" s="12" t="inlineStr"/>
      <c r="I38" s="17" t="n"/>
      <c r="J38" s="17" t="n"/>
    </row>
    <row r="39">
      <c r="A39" s="12" t="inlineStr">
        <is>
          <t>Leads</t>
        </is>
      </c>
      <c r="B39" s="12" t="inlineStr">
        <is>
          <t>MM-03</t>
        </is>
      </c>
      <c r="C39" s="12" t="inlineStr">
        <is>
          <t>Mismatches</t>
        </is>
      </c>
      <c r="D39" s="14" t="inlineStr">
        <is>
          <t>Lost reasons with details; closing cancels tasks</t>
        </is>
      </c>
      <c r="E39" s="14" t="inlineStr">
        <is>
          <t>Built in parity round 1</t>
        </is>
      </c>
      <c r="F39" s="12" t="inlineStr">
        <is>
          <t>Tasks stay open after Lost, by design (Q-29)</t>
        </is>
      </c>
      <c r="G39" s="12" t="inlineStr">
        <is>
          <t>9.07, 9.08</t>
        </is>
      </c>
      <c r="H39" s="12" t="inlineStr"/>
      <c r="I39" s="17" t="n"/>
      <c r="J39" s="17" t="n"/>
    </row>
    <row r="40">
      <c r="A40" s="12" t="inlineStr">
        <is>
          <t>Leads</t>
        </is>
      </c>
      <c r="B40" s="12" t="inlineStr">
        <is>
          <t>MM-04</t>
        </is>
      </c>
      <c r="C40" s="12" t="inlineStr">
        <is>
          <t>Mismatches</t>
        </is>
      </c>
      <c r="D40" s="14" t="inlineStr">
        <is>
          <t>Return only a closed, not-signed Qanvast lead</t>
        </is>
      </c>
      <c r="E40" s="14" t="inlineStr">
        <is>
          <t>Not built — by design</t>
        </is>
      </c>
      <c r="F40" s="12" t="inlineStr">
        <is>
          <t>Return from any stage; the wizard parks it Lost (Q-08)</t>
        </is>
      </c>
      <c r="G40" s="12" t="inlineStr">
        <is>
          <t>9.10</t>
        </is>
      </c>
      <c r="H40" s="12" t="inlineStr"/>
      <c r="I40" s="17" t="n"/>
      <c r="J40" s="17" t="n"/>
    </row>
    <row r="41">
      <c r="A41" s="12" t="inlineStr">
        <is>
          <t>Leads</t>
        </is>
      </c>
      <c r="B41" s="12" t="inlineStr">
        <is>
          <t>MM-05</t>
        </is>
      </c>
      <c r="C41" s="12" t="inlineStr">
        <is>
          <t>Mismatches</t>
        </is>
      </c>
      <c r="D41" s="14" t="inlineStr">
        <is>
          <t>Seven return reasons with their own fields</t>
        </is>
      </c>
      <c r="E41" s="14" t="inlineStr">
        <is>
          <t>Built in parity round 3</t>
        </is>
      </c>
      <c r="F41" s="12" t="inlineStr"/>
      <c r="G41" s="12" t="inlineStr">
        <is>
          <t>9.11</t>
        </is>
      </c>
      <c r="H41" s="12" t="inlineStr"/>
      <c r="I41" s="17" t="n"/>
      <c r="J41" s="17" t="n"/>
    </row>
    <row r="42">
      <c r="A42" s="12" t="inlineStr">
        <is>
          <t>Leads</t>
        </is>
      </c>
      <c r="B42" s="12" t="inlineStr">
        <is>
          <t>MM-06</t>
        </is>
      </c>
      <c r="C42" s="12" t="inlineStr">
        <is>
          <t>Mismatches</t>
        </is>
      </c>
      <c r="D42" s="14" t="inlineStr">
        <is>
          <t>Removing the last member drops the lead to Unassigned</t>
        </is>
      </c>
      <c r="E42" s="14" t="inlineStr">
        <is>
          <t>Not built — by design</t>
        </is>
      </c>
      <c r="F42" s="12" t="inlineStr">
        <is>
          <t>Past New the last member cannot be removed (Q-09)</t>
        </is>
      </c>
      <c r="G42" s="12" t="inlineStr"/>
      <c r="H42" s="12" t="inlineStr"/>
      <c r="I42" s="17" t="n"/>
      <c r="J42" s="17" t="n"/>
    </row>
    <row r="43">
      <c r="A43" s="12" t="inlineStr">
        <is>
          <t>Leads</t>
        </is>
      </c>
      <c r="B43" s="12" t="inlineStr">
        <is>
          <t>MM-07</t>
        </is>
      </c>
      <c r="C43" s="12" t="inlineStr">
        <is>
          <t>Mismatches</t>
        </is>
      </c>
      <c r="D43" s="14" t="inlineStr">
        <is>
          <t>Designers may assign leads</t>
        </is>
      </c>
      <c r="E43" s="14" t="inlineStr">
        <is>
          <t>Not built — by design</t>
        </is>
      </c>
      <c r="F43" s="12" t="inlineStr">
        <is>
          <t>Designers never assign — the owner's L6 call (Q-19)</t>
        </is>
      </c>
      <c r="G43" s="12" t="inlineStr">
        <is>
          <t>10.04</t>
        </is>
      </c>
      <c r="H43" s="12" t="inlineStr"/>
      <c r="I43" s="17" t="n"/>
      <c r="J43" s="17" t="n"/>
    </row>
    <row r="44">
      <c r="A44" s="12" t="inlineStr">
        <is>
          <t>Leads</t>
        </is>
      </c>
      <c r="B44" s="12" t="inlineStr">
        <is>
          <t>MM-08</t>
        </is>
      </c>
      <c r="C44" s="12" t="inlineStr">
        <is>
          <t>Mismatches</t>
        </is>
      </c>
      <c r="D44" s="14" t="inlineStr">
        <is>
          <t>Duplicate on manual create: confirm, then hold for review</t>
        </is>
      </c>
      <c r="E44" s="14" t="inlineStr">
        <is>
          <t>Built in parity round 3</t>
        </is>
      </c>
      <c r="F44" s="12" t="inlineStr">
        <is>
          <t>"Create anyway" creates it; nothing is held for review</t>
        </is>
      </c>
      <c r="G44" s="12" t="inlineStr">
        <is>
          <t>4.03</t>
        </is>
      </c>
      <c r="H44" s="12" t="inlineStr"/>
      <c r="I44" s="17" t="n"/>
      <c r="J44" s="17" t="n"/>
    </row>
    <row r="45">
      <c r="A45" s="12" t="inlineStr">
        <is>
          <t>Leads</t>
        </is>
      </c>
      <c r="B45" s="12" t="inlineStr">
        <is>
          <t>MM-09</t>
        </is>
      </c>
      <c r="C45" s="12" t="inlineStr">
        <is>
          <t>Mismatches</t>
        </is>
      </c>
      <c r="D45" s="14" t="inlineStr">
        <is>
          <t>Webhook duplicates dropped</t>
        </is>
      </c>
      <c r="E45" s="14" t="inlineStr">
        <is>
          <t>Not built — by design</t>
        </is>
      </c>
      <c r="F45" s="12" t="inlineStr">
        <is>
          <t>Real receiver (S34) sends a known phone to Review imported leads, never drops it</t>
        </is>
      </c>
      <c r="G45" s="12" t="inlineStr">
        <is>
          <t>4.13</t>
        </is>
      </c>
      <c r="H45" s="12" t="inlineStr"/>
      <c r="I45" s="17" t="n"/>
      <c r="J45" s="17" t="n"/>
    </row>
    <row r="46">
      <c r="A46" s="12" t="inlineStr">
        <is>
          <t>Leads</t>
        </is>
      </c>
      <c r="B46" s="12" t="inlineStr">
        <is>
          <t>MM-10</t>
        </is>
      </c>
      <c r="C46" s="12" t="inlineStr">
        <is>
          <t>Mismatches</t>
        </is>
      </c>
      <c r="D46" s="14" t="inlineStr">
        <is>
          <t>Export the filtered list with 23 columns</t>
        </is>
      </c>
      <c r="E46" s="14" t="inlineStr">
        <is>
          <t>Built in parity round 4</t>
        </is>
      </c>
      <c r="F46" s="12" t="inlineStr"/>
      <c r="G46" s="12" t="inlineStr">
        <is>
          <t>4.20</t>
        </is>
      </c>
      <c r="H46" s="12" t="inlineStr"/>
      <c r="I46" s="17" t="n"/>
      <c r="J46" s="17" t="n"/>
    </row>
    <row r="47">
      <c r="A47" s="12" t="inlineStr">
        <is>
          <t>Leads</t>
        </is>
      </c>
      <c r="B47" s="12" t="inlineStr">
        <is>
          <t>MM-11</t>
        </is>
      </c>
      <c r="C47" s="12" t="inlineStr">
        <is>
          <t>Mismatches</t>
        </is>
      </c>
      <c r="D47" s="14" t="inlineStr">
        <is>
          <t>List opens on the last 30 days</t>
        </is>
      </c>
      <c r="E47" s="14" t="inlineStr">
        <is>
          <t>Not built — by design</t>
        </is>
      </c>
      <c r="F47" s="12" t="inlineStr">
        <is>
          <t>The list opens on every lead (Q-30)</t>
        </is>
      </c>
      <c r="G47" s="12" t="inlineStr"/>
      <c r="H47" s="12" t="inlineStr"/>
      <c r="I47" s="17" t="n"/>
      <c r="J47" s="17" t="n"/>
    </row>
    <row r="48">
      <c r="A48" s="12" t="inlineStr">
        <is>
          <t>Leads</t>
        </is>
      </c>
      <c r="B48" s="12" t="inlineStr">
        <is>
          <t>MM-12</t>
        </is>
      </c>
      <c r="C48" s="12" t="inlineStr">
        <is>
          <t>Mismatches</t>
        </is>
      </c>
      <c r="D48" s="14" t="inlineStr">
        <is>
          <t>Property status: New, Resale, Existing</t>
        </is>
      </c>
      <c r="E48" s="14" t="inlineStr">
        <is>
          <t>Not built — by design</t>
        </is>
      </c>
      <c r="F48" s="12" t="inlineStr">
        <is>
          <t>Condition keeps Renovated; Existing maps to it (Q-11)</t>
        </is>
      </c>
      <c r="G48" s="12" t="inlineStr"/>
      <c r="H48" s="12" t="inlineStr"/>
      <c r="I48" s="17" t="n"/>
      <c r="J48" s="17" t="n"/>
    </row>
    <row r="49">
      <c r="A49" s="12" t="inlineStr">
        <is>
          <t>Leads</t>
        </is>
      </c>
      <c r="B49" s="12" t="inlineStr">
        <is>
          <t>MM-13</t>
        </is>
      </c>
      <c r="C49" s="12" t="inlineStr">
        <is>
          <t>Mismatches</t>
        </is>
      </c>
      <c r="D49" s="14" t="inlineStr">
        <is>
          <t>Style list incl. Vintage, Transitional, No preference</t>
        </is>
      </c>
      <c r="E49" s="14" t="inlineStr">
        <is>
          <t>Built in parity round 1</t>
        </is>
      </c>
      <c r="F49" s="12" t="inlineStr"/>
      <c r="G49" s="12" t="inlineStr"/>
      <c r="H49" s="28" t="inlineStr">
        <is>
          <t>Team check</t>
        </is>
      </c>
      <c r="I49" s="17" t="n"/>
      <c r="J49" s="17" t="n"/>
    </row>
    <row r="50">
      <c r="A50" s="12" t="inlineStr">
        <is>
          <t>Leads</t>
        </is>
      </c>
      <c r="B50" s="12" t="inlineStr">
        <is>
          <t>MM-14</t>
        </is>
      </c>
      <c r="C50" s="12" t="inlineStr">
        <is>
          <t>Mismatches</t>
        </is>
      </c>
      <c r="D50" s="14" t="inlineStr">
        <is>
          <t>Key collection in 3, 6, 9 months or Later</t>
        </is>
      </c>
      <c r="E50" s="14" t="inlineStr">
        <is>
          <t>Built in parity round 1</t>
        </is>
      </c>
      <c r="F50" s="12" t="inlineStr"/>
      <c r="G50" s="12" t="inlineStr">
        <is>
          <t>5.06</t>
        </is>
      </c>
      <c r="H50" s="12" t="inlineStr"/>
      <c r="I50" s="17" t="n"/>
      <c r="J50" s="17" t="n"/>
    </row>
    <row r="51">
      <c r="A51" s="12" t="inlineStr">
        <is>
          <t>Leads</t>
        </is>
      </c>
      <c r="B51" s="12" t="inlineStr">
        <is>
          <t>MM-15</t>
        </is>
      </c>
      <c r="C51" s="12" t="inlineStr">
        <is>
          <t>Mismatches</t>
        </is>
      </c>
      <c r="D51" s="14" t="inlineStr">
        <is>
          <t>Required Area / District field</t>
        </is>
      </c>
      <c r="E51" s="14" t="inlineStr">
        <is>
          <t>Built in parity round 1</t>
        </is>
      </c>
      <c r="F51" s="12" t="inlineStr">
        <is>
          <t>District is an optional select of five regions (Q-12)</t>
        </is>
      </c>
      <c r="G51" s="12" t="inlineStr">
        <is>
          <t>4.04</t>
        </is>
      </c>
      <c r="H51" s="12" t="inlineStr"/>
      <c r="I51" s="17" t="n"/>
      <c r="J51" s="17" t="n"/>
    </row>
    <row r="52">
      <c r="A52" s="12" t="inlineStr">
        <is>
          <t>Leads</t>
        </is>
      </c>
      <c r="B52" s="12" t="inlineStr">
        <is>
          <t>MM-16</t>
        </is>
      </c>
      <c r="C52" s="12" t="inlineStr">
        <is>
          <t>Mismatches</t>
        </is>
      </c>
      <c r="D52" s="14" t="inlineStr">
        <is>
          <t>In person channel and Not interested outcome</t>
        </is>
      </c>
      <c r="E52" s="14" t="inlineStr">
        <is>
          <t>Built in parity round 1</t>
        </is>
      </c>
      <c r="F52" s="12" t="inlineStr"/>
      <c r="G52" s="12" t="inlineStr">
        <is>
          <t>5.07, 5.08</t>
        </is>
      </c>
      <c r="H52" s="12" t="inlineStr"/>
      <c r="I52" s="17" t="n"/>
      <c r="J52" s="17" t="n"/>
    </row>
    <row r="53">
      <c r="A53" s="12" t="inlineStr">
        <is>
          <t>Leads</t>
        </is>
      </c>
      <c r="B53" s="12" t="inlineStr">
        <is>
          <t>MM-17</t>
        </is>
      </c>
      <c r="C53" s="12" t="inlineStr">
        <is>
          <t>Mismatches</t>
        </is>
      </c>
      <c r="D53" s="14" t="inlineStr">
        <is>
          <t>Follow-up date with a reminder 30 minutes before</t>
        </is>
      </c>
      <c r="E53" s="14" t="inlineStr">
        <is>
          <t>Built in parity round 2</t>
        </is>
      </c>
      <c r="F53" s="12" t="inlineStr"/>
      <c r="G53" s="12" t="inlineStr">
        <is>
          <t>5.05</t>
        </is>
      </c>
      <c r="H53" s="12" t="inlineStr"/>
      <c r="I53" s="17" t="n"/>
      <c r="J53" s="17" t="n"/>
    </row>
    <row r="54">
      <c r="A54" s="12" t="inlineStr">
        <is>
          <t>Leads</t>
        </is>
      </c>
      <c r="B54" s="12" t="inlineStr">
        <is>
          <t>MM-18</t>
        </is>
      </c>
      <c r="C54" s="12" t="inlineStr">
        <is>
          <t>Mismatches</t>
        </is>
      </c>
      <c r="D54" s="14" t="inlineStr">
        <is>
          <t>Activity keeps removals and deletions</t>
        </is>
      </c>
      <c r="E54" s="14" t="inlineStr">
        <is>
          <t>Built in parity round 7</t>
        </is>
      </c>
      <c r="F54" s="12" t="inlineStr"/>
      <c r="G54" s="12" t="inlineStr">
        <is>
          <t>5.22, 11.10</t>
        </is>
      </c>
      <c r="H54" s="12" t="inlineStr"/>
      <c r="I54" s="17" t="n"/>
      <c r="J54" s="17" t="n"/>
    </row>
    <row r="55">
      <c r="A55" s="12" t="inlineStr">
        <is>
          <t>Leads</t>
        </is>
      </c>
      <c r="B55" s="12" t="inlineStr">
        <is>
          <t>MM-19</t>
        </is>
      </c>
      <c r="C55" s="12" t="inlineStr">
        <is>
          <t>Mismatches</t>
        </is>
      </c>
      <c r="D55" s="14" t="inlineStr">
        <is>
          <t>Bulk assign that replaces members</t>
        </is>
      </c>
      <c r="E55" s="14" t="inlineStr">
        <is>
          <t>Built in parity round 4</t>
        </is>
      </c>
      <c r="F55" s="12" t="inlineStr">
        <is>
          <t>Adds members to the selected leads; never replaces (Q-31)</t>
        </is>
      </c>
      <c r="G55" s="12" t="inlineStr">
        <is>
          <t>4.18</t>
        </is>
      </c>
      <c r="H55" s="12" t="inlineStr"/>
      <c r="I55" s="17" t="n"/>
      <c r="J55" s="17" t="n"/>
    </row>
    <row r="56">
      <c r="A56" s="12" t="inlineStr">
        <is>
          <t>Leads</t>
        </is>
      </c>
      <c r="B56" s="12" t="inlineStr">
        <is>
          <t>MM-20</t>
        </is>
      </c>
      <c r="C56" s="12" t="inlineStr">
        <is>
          <t>Mismatches</t>
        </is>
      </c>
      <c r="D56" s="14" t="inlineStr">
        <is>
          <t>Budget outside 1,000–5,000,000 refused</t>
        </is>
      </c>
      <c r="E56" s="14" t="inlineStr">
        <is>
          <t>Built in parity round 1</t>
        </is>
      </c>
      <c r="F56" s="12" t="inlineStr"/>
      <c r="G56" s="12" t="inlineStr">
        <is>
          <t>4.04</t>
        </is>
      </c>
      <c r="H56" s="12" t="inlineStr"/>
      <c r="I56" s="17" t="n"/>
      <c r="J56" s="17" t="n"/>
    </row>
    <row r="57">
      <c r="A57" s="12" t="inlineStr">
        <is>
          <t>Leads</t>
        </is>
      </c>
      <c r="B57" s="12" t="inlineStr">
        <is>
          <t>MM-21</t>
        </is>
      </c>
      <c r="C57" s="12" t="inlineStr">
        <is>
          <t>Mismatches</t>
        </is>
      </c>
      <c r="D57" s="14" t="inlineStr">
        <is>
          <t>Five required fields</t>
        </is>
      </c>
      <c r="E57" s="14" t="inlineStr">
        <is>
          <t>Not built — by design</t>
        </is>
      </c>
      <c r="F57" s="12" t="inlineStr">
        <is>
          <t>Two required fields kept (Q-15)</t>
        </is>
      </c>
      <c r="G57" s="12" t="inlineStr">
        <is>
          <t>4.04</t>
        </is>
      </c>
      <c r="H57" s="12" t="inlineStr"/>
      <c r="I57" s="17" t="n"/>
      <c r="J57" s="17" t="n"/>
    </row>
    <row r="58">
      <c r="A58" s="12" t="inlineStr">
        <is>
          <t>Leads</t>
        </is>
      </c>
      <c r="B58" s="12" t="inlineStr">
        <is>
          <t>MM-22</t>
        </is>
      </c>
      <c r="C58" s="12" t="inlineStr">
        <is>
          <t>Mismatches</t>
        </is>
      </c>
      <c r="D58" s="14" t="inlineStr">
        <is>
          <t>First and last name</t>
        </is>
      </c>
      <c r="E58" s="14" t="inlineStr">
        <is>
          <t>Not built — by design</t>
        </is>
      </c>
      <c r="F58" s="12" t="inlineStr">
        <is>
          <t>One Lead name field (Q-13)</t>
        </is>
      </c>
      <c r="G58" s="12" t="inlineStr">
        <is>
          <t>4.04</t>
        </is>
      </c>
      <c r="H58" s="12" t="inlineStr"/>
      <c r="I58" s="17" t="n"/>
      <c r="J58" s="17" t="n"/>
    </row>
    <row r="59">
      <c r="A59" s="12" t="inlineStr">
        <is>
          <t>Leads</t>
        </is>
      </c>
      <c r="B59" s="12" t="inlineStr">
        <is>
          <t>MM-23</t>
        </is>
      </c>
      <c r="C59" s="12" t="inlineStr">
        <is>
          <t>Mismatches</t>
        </is>
      </c>
      <c r="D59" s="14" t="inlineStr">
        <is>
          <t>Remarks and Additional info</t>
        </is>
      </c>
      <c r="E59" s="14" t="inlineStr">
        <is>
          <t>Not built — by design</t>
        </is>
      </c>
      <c r="F59" s="12" t="inlineStr">
        <is>
          <t>Remarks only (Q-16)</t>
        </is>
      </c>
      <c r="G59" s="12" t="inlineStr"/>
      <c r="H59" s="12" t="inlineStr"/>
      <c r="I59" s="17" t="n"/>
      <c r="J59" s="17" t="n"/>
    </row>
    <row r="60">
      <c r="A60" s="12" t="inlineStr">
        <is>
          <t>Leads</t>
        </is>
      </c>
      <c r="B60" s="12" t="inlineStr">
        <is>
          <t>MM-24</t>
        </is>
      </c>
      <c r="C60" s="12" t="inlineStr">
        <is>
          <t>Mismatches</t>
        </is>
      </c>
      <c r="D60" s="14" t="inlineStr">
        <is>
          <t>Portal invite stored, with resend</t>
        </is>
      </c>
      <c r="E60" s="14" t="inlineStr">
        <is>
          <t>Built in parity round 3</t>
        </is>
      </c>
      <c r="F60" s="12" t="inlineStr"/>
      <c r="G60" s="12" t="inlineStr">
        <is>
          <t>5.18, 9.13</t>
        </is>
      </c>
      <c r="H60" s="12" t="inlineStr"/>
      <c r="I60" s="17" t="n"/>
      <c r="J60" s="17" t="n"/>
    </row>
    <row r="61">
      <c r="A61" s="12" t="inlineStr">
        <is>
          <t>Leads</t>
        </is>
      </c>
      <c r="B61" s="12" t="inlineStr">
        <is>
          <t>MM-25</t>
        </is>
      </c>
      <c r="C61" s="12" t="inlineStr">
        <is>
          <t>Mismatches</t>
        </is>
      </c>
      <c r="D61" s="14" t="inlineStr">
        <is>
          <t>Studio question bank, client answers, history</t>
        </is>
      </c>
      <c r="E61" s="14" t="inlineStr">
        <is>
          <t>Built in parity round 6</t>
        </is>
      </c>
      <c r="F61" s="12" t="inlineStr">
        <is>
          <t>Answer history added later, per question (Projects gaps D)</t>
        </is>
      </c>
      <c r="G61" s="12" t="inlineStr">
        <is>
          <t>3.37, 5.17</t>
        </is>
      </c>
      <c r="H61" s="12" t="inlineStr"/>
      <c r="I61" s="17" t="n"/>
      <c r="J61" s="17" t="n"/>
    </row>
    <row r="62">
      <c r="A62" s="12" t="inlineStr">
        <is>
          <t>Leads</t>
        </is>
      </c>
      <c r="B62" s="12" t="inlineStr">
        <is>
          <t>MM-26</t>
        </is>
      </c>
      <c r="C62" s="12" t="inlineStr">
        <is>
          <t>Mismatches</t>
        </is>
      </c>
      <c r="D62" s="14" t="inlineStr">
        <is>
          <t>Events: status changed, follow-up, hold, questionnaire</t>
        </is>
      </c>
      <c r="E62" s="14" t="inlineStr">
        <is>
          <t>Built in parity round 2</t>
        </is>
      </c>
      <c r="F62" s="12" t="inlineStr"/>
      <c r="G62" s="12" t="inlineStr">
        <is>
          <t>2.32, 11.04</t>
        </is>
      </c>
      <c r="H62" s="12" t="inlineStr"/>
      <c r="I62" s="17" t="n"/>
      <c r="J62" s="17" t="n"/>
    </row>
    <row r="63">
      <c r="A63" s="12" t="inlineStr">
        <is>
          <t>Leads</t>
        </is>
      </c>
      <c r="B63" s="12" t="inlineStr">
        <is>
          <t>MM-27</t>
        </is>
      </c>
      <c r="C63" s="12" t="inlineStr">
        <is>
          <t>Mismatches</t>
        </is>
      </c>
      <c r="D63" s="14" t="inlineStr">
        <is>
          <t>Signed creates a draft project</t>
        </is>
      </c>
      <c r="E63" s="14" t="inlineStr">
        <is>
          <t>Built</t>
        </is>
      </c>
      <c r="F63" s="12" t="inlineStr">
        <is>
          <t>Won creates the project, not signing (Q-37; Projects build)</t>
        </is>
      </c>
      <c r="G63" s="12" t="inlineStr">
        <is>
          <t>9.04</t>
        </is>
      </c>
      <c r="H63" s="12" t="inlineStr"/>
      <c r="I63" s="17" t="n"/>
      <c r="J63" s="17" t="n"/>
    </row>
    <row r="64">
      <c r="A64" s="12" t="inlineStr">
        <is>
          <t>Leads</t>
        </is>
      </c>
      <c r="B64" s="12" t="inlineStr">
        <is>
          <t>MM-28</t>
        </is>
      </c>
      <c r="C64" s="12" t="inlineStr">
        <is>
          <t>Mismatches</t>
        </is>
      </c>
      <c r="D64" s="14" t="inlineStr">
        <is>
          <t>Closing a lead cancels its open tasks</t>
        </is>
      </c>
      <c r="E64" s="14" t="inlineStr">
        <is>
          <t>Not built — by design</t>
        </is>
      </c>
      <c r="F64" s="12" t="inlineStr">
        <is>
          <t>Lost keeps tasks; their notifications stop instead (Q-29)</t>
        </is>
      </c>
      <c r="G64" s="12" t="inlineStr"/>
      <c r="H64" s="12" t="inlineStr"/>
      <c r="I64" s="17" t="n"/>
      <c r="J64" s="17" t="n"/>
    </row>
    <row r="65">
      <c r="A65" s="12" t="inlineStr">
        <is>
          <t>Leads</t>
        </is>
      </c>
      <c r="B65" s="12" t="inlineStr">
        <is>
          <t>MM-29</t>
        </is>
      </c>
      <c r="C65" s="12" t="inlineStr">
        <is>
          <t>Mismatches</t>
        </is>
      </c>
      <c r="D65" s="14" t="inlineStr">
        <is>
          <t>Changing a lead's members moves its tasks</t>
        </is>
      </c>
      <c r="E65" s="14" t="inlineStr">
        <is>
          <t>Not built — by design</t>
        </is>
      </c>
      <c r="F65" s="12" t="inlineStr">
        <is>
          <t>Tasks keep their own members (Q-32)</t>
        </is>
      </c>
      <c r="G65" s="12" t="inlineStr"/>
      <c r="H65" s="12" t="inlineStr"/>
      <c r="I65" s="17" t="n"/>
      <c r="J65" s="17" t="n"/>
    </row>
    <row r="66">
      <c r="A66" s="12" t="inlineStr">
        <is>
          <t>Leads</t>
        </is>
      </c>
      <c r="B66" s="12" t="inlineStr">
        <is>
          <t>MM-30</t>
        </is>
      </c>
      <c r="C66" s="12" t="inlineStr">
        <is>
          <t>Mismatches</t>
        </is>
      </c>
      <c r="D66" s="14" t="inlineStr">
        <is>
          <t>Undo after closing a lead</t>
        </is>
      </c>
      <c r="E66" s="14" t="inlineStr">
        <is>
          <t>Built in parity round 1</t>
        </is>
      </c>
      <c r="F66" s="12" t="inlineStr"/>
      <c r="G66" s="12" t="inlineStr">
        <is>
          <t>9.09</t>
        </is>
      </c>
      <c r="H66" s="12" t="inlineStr"/>
      <c r="I66" s="17" t="n"/>
      <c r="J66" s="17" t="n"/>
    </row>
    <row r="67">
      <c r="A67" s="12" t="inlineStr">
        <is>
          <t>Leads</t>
        </is>
      </c>
      <c r="B67" s="12" t="inlineStr">
        <is>
          <t>MM-31</t>
        </is>
      </c>
      <c r="C67" s="12" t="inlineStr">
        <is>
          <t>Mismatches</t>
        </is>
      </c>
      <c r="D67" s="14" t="inlineStr">
        <is>
          <t>Archive blocked while a signing link is live</t>
        </is>
      </c>
      <c r="E67" s="14" t="inlineStr">
        <is>
          <t>Built in parity round 1</t>
        </is>
      </c>
      <c r="F67" s="12" t="inlineStr">
        <is>
          <t>Delete now warns about live signing links (Q-04)</t>
        </is>
      </c>
      <c r="G67" s="12" t="inlineStr">
        <is>
          <t>9.14</t>
        </is>
      </c>
      <c r="H67" s="12" t="inlineStr"/>
      <c r="I67" s="17" t="n"/>
      <c r="J67" s="17" t="n"/>
    </row>
    <row r="68">
      <c r="A68" s="12" t="inlineStr">
        <is>
          <t>Leads</t>
        </is>
      </c>
      <c r="B68" s="12" t="inlineStr">
        <is>
          <t>MM-32</t>
        </is>
      </c>
      <c r="C68" s="12" t="inlineStr">
        <is>
          <t>Mismatches</t>
        </is>
      </c>
      <c r="D68" s="14" t="inlineStr">
        <is>
          <t>Six project types</t>
        </is>
      </c>
      <c r="E68" s="14" t="inlineStr">
        <is>
          <t>Not built — by design</t>
        </is>
      </c>
      <c r="F68" s="12" t="inlineStr">
        <is>
          <t>The Won step keeps its three project types (Q-34)</t>
        </is>
      </c>
      <c r="G68" s="12" t="inlineStr">
        <is>
          <t>9.04</t>
        </is>
      </c>
      <c r="H68" s="12" t="inlineStr"/>
      <c r="I68" s="17" t="n"/>
      <c r="J68" s="17" t="n"/>
    </row>
    <row r="69">
      <c r="A69" s="12" t="inlineStr">
        <is>
          <t>Leads</t>
        </is>
      </c>
      <c r="B69" s="12" t="inlineStr">
        <is>
          <t>MM-33</t>
        </is>
      </c>
      <c r="C69" s="12" t="inlineStr">
        <is>
          <t>Mismatches</t>
        </is>
      </c>
      <c r="D69" s="14" t="inlineStr">
        <is>
          <t>Attach files when creating a lead</t>
        </is>
      </c>
      <c r="E69" s="14" t="inlineStr">
        <is>
          <t>Built in parity round 3</t>
        </is>
      </c>
      <c r="F69" s="12" t="inlineStr"/>
      <c r="G69" s="12" t="inlineStr">
        <is>
          <t>4.05</t>
        </is>
      </c>
      <c r="H69" s="12" t="inlineStr"/>
      <c r="I69" s="17" t="n"/>
      <c r="J69" s="17" t="n"/>
    </row>
    <row r="70">
      <c r="A70" s="12" t="inlineStr">
        <is>
          <t>Leads</t>
        </is>
      </c>
      <c r="B70" s="12" t="inlineStr">
        <is>
          <t>MM-34</t>
        </is>
      </c>
      <c r="C70" s="12" t="inlineStr">
        <is>
          <t>Mismatches</t>
        </is>
      </c>
      <c r="D70" s="14" t="inlineStr">
        <is>
          <t>Custom lead fields</t>
        </is>
      </c>
      <c r="E70" s="14" t="inlineStr">
        <is>
          <t>Built in parity round 6</t>
        </is>
      </c>
      <c r="F70" s="12" t="inlineStr"/>
      <c r="G70" s="12" t="inlineStr">
        <is>
          <t>2.22</t>
        </is>
      </c>
      <c r="H70" s="12" t="inlineStr"/>
      <c r="I70" s="17" t="n"/>
      <c r="J70" s="17" t="n"/>
    </row>
    <row r="71">
      <c r="A71" s="12" t="inlineStr">
        <is>
          <t>Leads</t>
        </is>
      </c>
      <c r="B71" s="12" t="inlineStr">
        <is>
          <t>MM-35</t>
        </is>
      </c>
      <c r="C71" s="12" t="inlineStr">
        <is>
          <t>Mismatches</t>
        </is>
      </c>
      <c r="D71" s="14" t="inlineStr">
        <is>
          <t>IC / NRIC, Customer ID and quote facts on the lead</t>
        </is>
      </c>
      <c r="E71" s="14" t="inlineStr">
        <is>
          <t>Built in parity round 1</t>
        </is>
      </c>
      <c r="F71" s="12" t="inlineStr">
        <is>
          <t>NRIC and Customer ID on the lead; quote status stays per quote</t>
        </is>
      </c>
      <c r="G71" s="12" t="inlineStr">
        <is>
          <t>5.06</t>
        </is>
      </c>
      <c r="H71" s="12" t="inlineStr"/>
      <c r="I71" s="17" t="n"/>
      <c r="J71" s="17" t="n"/>
    </row>
    <row r="72">
      <c r="A72" s="12" t="inlineStr">
        <is>
          <t>Leads</t>
        </is>
      </c>
      <c r="B72" s="12" t="inlineStr">
        <is>
          <t>MM-36</t>
        </is>
      </c>
      <c r="C72" s="12" t="inlineStr">
        <is>
          <t>Mismatches</t>
        </is>
      </c>
      <c r="D72" s="14" t="inlineStr">
        <is>
          <t>Search by name, area, phone, email</t>
        </is>
      </c>
      <c r="E72" s="14" t="inlineStr">
        <is>
          <t>Built</t>
        </is>
      </c>
      <c r="F72" s="12" t="inlineStr"/>
      <c r="G72" s="12" t="inlineStr">
        <is>
          <t>4.16</t>
        </is>
      </c>
      <c r="H72" s="12" t="inlineStr"/>
      <c r="I72" s="17" t="n"/>
      <c r="J72" s="17" t="n"/>
    </row>
    <row r="73">
      <c r="A73" s="12" t="inlineStr">
        <is>
          <t>Leads</t>
        </is>
      </c>
      <c r="B73" s="12" t="inlineStr">
        <is>
          <t>MM-37</t>
        </is>
      </c>
      <c r="C73" s="12" t="inlineStr">
        <is>
          <t>Mismatches</t>
        </is>
      </c>
      <c r="D73" s="14" t="inlineStr">
        <is>
          <t>Kanban with four bucket columns</t>
        </is>
      </c>
      <c r="E73" s="14" t="inlineStr">
        <is>
          <t>Built</t>
        </is>
      </c>
      <c r="F73" s="12" t="inlineStr"/>
      <c r="G73" s="12" t="inlineStr">
        <is>
          <t>4.23</t>
        </is>
      </c>
      <c r="H73" s="12" t="inlineStr"/>
      <c r="I73" s="17" t="n"/>
      <c r="J73" s="17" t="n"/>
    </row>
    <row r="74">
      <c r="A74" s="12" t="inlineStr">
        <is>
          <t>Leads</t>
        </is>
      </c>
      <c r="B74" s="12" t="inlineStr">
        <is>
          <t>MM-38</t>
        </is>
      </c>
      <c r="C74" s="12" t="inlineStr">
        <is>
          <t>Mismatches</t>
        </is>
      </c>
      <c r="D74" s="14" t="inlineStr">
        <is>
          <t>Portal emails Homereno, Houzz, Renopedia as sources</t>
        </is>
      </c>
      <c r="E74" s="14" t="inlineStr">
        <is>
          <t>Built in parity round 1</t>
        </is>
      </c>
      <c r="F74" s="12" t="inlineStr"/>
      <c r="G74" s="12" t="inlineStr">
        <is>
          <t>4.14</t>
        </is>
      </c>
      <c r="H74" s="12" t="inlineStr"/>
      <c r="I74" s="17" t="n"/>
      <c r="J74" s="17" t="n"/>
    </row>
    <row r="75">
      <c r="A75" s="12" t="inlineStr">
        <is>
          <t>Leads</t>
        </is>
      </c>
      <c r="B75" s="12" t="inlineStr">
        <is>
          <t>L-01</t>
        </is>
      </c>
      <c r="C75" s="12" t="inlineStr">
        <is>
          <t>Listing</t>
        </is>
      </c>
      <c r="D75" s="14" t="inlineStr">
        <is>
          <t>Lead list with counts</t>
        </is>
      </c>
      <c r="E75" s="14" t="inlineStr">
        <is>
          <t>Built</t>
        </is>
      </c>
      <c r="F75" s="12" t="inlineStr"/>
      <c r="G75" s="12" t="inlineStr">
        <is>
          <t>1.03, 4.21</t>
        </is>
      </c>
      <c r="H75" s="12" t="inlineStr"/>
      <c r="I75" s="17" t="n"/>
      <c r="J75" s="17" t="n"/>
    </row>
    <row r="76">
      <c r="A76" s="12" t="inlineStr">
        <is>
          <t>Leads</t>
        </is>
      </c>
      <c r="B76" s="12" t="inlineStr">
        <is>
          <t>L-02</t>
        </is>
      </c>
      <c r="C76" s="12" t="inlineStr">
        <is>
          <t>Listing</t>
        </is>
      </c>
      <c r="D76" s="14" t="inlineStr">
        <is>
          <t>Kanban, list and Performance views</t>
        </is>
      </c>
      <c r="E76" s="14" t="inlineStr">
        <is>
          <t>Built in parity round 5</t>
        </is>
      </c>
      <c r="F76" s="12" t="inlineStr">
        <is>
          <t>Performance became Company › Reports › Leads</t>
        </is>
      </c>
      <c r="G76" s="12" t="inlineStr">
        <is>
          <t>4.23</t>
        </is>
      </c>
      <c r="H76" s="12" t="inlineStr"/>
      <c r="I76" s="17" t="n"/>
      <c r="J76" s="17" t="n"/>
    </row>
    <row r="77">
      <c r="A77" s="12" t="inlineStr">
        <is>
          <t>Leads</t>
        </is>
      </c>
      <c r="B77" s="12" t="inlineStr">
        <is>
          <t>L-03</t>
        </is>
      </c>
      <c r="C77" s="12" t="inlineStr">
        <is>
          <t>Listing</t>
        </is>
      </c>
      <c r="D77" s="14" t="inlineStr">
        <is>
          <t>Kanban board of the pipeline</t>
        </is>
      </c>
      <c r="E77" s="14" t="inlineStr">
        <is>
          <t>Built</t>
        </is>
      </c>
      <c r="F77" s="12" t="inlineStr"/>
      <c r="G77" s="12" t="inlineStr">
        <is>
          <t>4.23</t>
        </is>
      </c>
      <c r="H77" s="12" t="inlineStr"/>
      <c r="I77" s="17" t="n"/>
      <c r="J77" s="17" t="n"/>
    </row>
    <row r="78">
      <c r="A78" s="12" t="inlineStr">
        <is>
          <t>Leads</t>
        </is>
      </c>
      <c r="B78" s="12" t="inlineStr">
        <is>
          <t>L-04</t>
        </is>
      </c>
      <c r="C78" s="12" t="inlineStr">
        <is>
          <t>Listing</t>
        </is>
      </c>
      <c r="D78" s="14" t="inlineStr">
        <is>
          <t>Collapse a kanban column, remembered</t>
        </is>
      </c>
      <c r="E78" s="14" t="inlineStr">
        <is>
          <t>Not built — by design</t>
        </is>
      </c>
      <c r="F78" s="12" t="inlineStr">
        <is>
          <t>The mock's bands collapse; single columns do not</t>
        </is>
      </c>
      <c r="G78" s="12" t="inlineStr"/>
      <c r="H78" s="12" t="inlineStr"/>
      <c r="I78" s="17" t="n"/>
      <c r="J78" s="17" t="n"/>
    </row>
    <row r="79">
      <c r="A79" s="12" t="inlineStr">
        <is>
          <t>Leads</t>
        </is>
      </c>
      <c r="B79" s="12" t="inlineStr">
        <is>
          <t>L-05</t>
        </is>
      </c>
      <c r="C79" s="12" t="inlineStr">
        <is>
          <t>Listing</t>
        </is>
      </c>
      <c r="D79" s="14" t="inlineStr">
        <is>
          <t>Status filter inside each kanban column</t>
        </is>
      </c>
      <c r="E79" s="14" t="inlineStr">
        <is>
          <t>Excluded</t>
        </is>
      </c>
      <c r="F79" s="12" t="inlineStr">
        <is>
          <t>Needs sub-statuses, which 2.0 dropped (Q-01)</t>
        </is>
      </c>
      <c r="G79" s="12" t="inlineStr"/>
      <c r="H79" s="12" t="inlineStr"/>
      <c r="I79" s="17" t="n"/>
      <c r="J79" s="17" t="n"/>
    </row>
    <row r="80">
      <c r="A80" s="12" t="inlineStr">
        <is>
          <t>Leads</t>
        </is>
      </c>
      <c r="B80" s="12" t="inlineStr">
        <is>
          <t>L-06</t>
        </is>
      </c>
      <c r="C80" s="12" t="inlineStr">
        <is>
          <t>Listing</t>
        </is>
      </c>
      <c r="D80" s="14" t="inlineStr">
        <is>
          <t>What a lead card shows</t>
        </is>
      </c>
      <c r="E80" s="14" t="inlineStr">
        <is>
          <t>Built</t>
        </is>
      </c>
      <c r="F80" s="12" t="inlineStr"/>
      <c r="G80" s="12" t="inlineStr">
        <is>
          <t>5.23, 12.02</t>
        </is>
      </c>
      <c r="H80" s="12" t="inlineStr"/>
      <c r="I80" s="17" t="n"/>
      <c r="J80" s="17" t="n"/>
    </row>
    <row r="81">
      <c r="A81" s="12" t="inlineStr">
        <is>
          <t>Leads</t>
        </is>
      </c>
      <c r="B81" s="12" t="inlineStr">
        <is>
          <t>L-07</t>
        </is>
      </c>
      <c r="C81" s="12" t="inlineStr">
        <is>
          <t>Listing</t>
        </is>
      </c>
      <c r="D81" s="14" t="inlineStr">
        <is>
          <t>List view columns</t>
        </is>
      </c>
      <c r="E81" s="14" t="inlineStr">
        <is>
          <t>Built in parity round 1</t>
        </is>
      </c>
      <c r="F81" s="12" t="inlineStr">
        <is>
          <t>District column in round 1; Next follow-up column in round 2</t>
        </is>
      </c>
      <c r="G81" s="12" t="inlineStr">
        <is>
          <t>1.03, 4.22, 5.23</t>
        </is>
      </c>
      <c r="H81" s="12" t="inlineStr"/>
      <c r="I81" s="17" t="n"/>
      <c r="J81" s="17" t="n"/>
    </row>
    <row r="82">
      <c r="A82" s="12" t="inlineStr">
        <is>
          <t>Leads</t>
        </is>
      </c>
      <c r="B82" s="12" t="inlineStr">
        <is>
          <t>L-08</t>
        </is>
      </c>
      <c r="C82" s="12" t="inlineStr">
        <is>
          <t>Listing</t>
        </is>
      </c>
      <c r="D82" s="14" t="inlineStr">
        <is>
          <t>Open a lead from a link</t>
        </is>
      </c>
      <c r="E82" s="14" t="inlineStr">
        <is>
          <t>Built</t>
        </is>
      </c>
      <c r="F82" s="12" t="inlineStr"/>
      <c r="G82" s="12" t="inlineStr">
        <is>
          <t>5.01, 11.05</t>
        </is>
      </c>
      <c r="H82" s="12" t="inlineStr"/>
      <c r="I82" s="17" t="n"/>
      <c r="J82" s="17" t="n"/>
    </row>
    <row r="83">
      <c r="A83" s="12" t="inlineStr">
        <is>
          <t>Leads</t>
        </is>
      </c>
      <c r="B83" s="12" t="inlineStr">
        <is>
          <t>L-09</t>
        </is>
      </c>
      <c r="C83" s="12" t="inlineStr">
        <is>
          <t>Listing</t>
        </is>
      </c>
      <c r="D83" s="14" t="inlineStr">
        <is>
          <t>Follow-up badge: today, overdue, in n days</t>
        </is>
      </c>
      <c r="E83" s="14" t="inlineStr">
        <is>
          <t>Built in parity round 2</t>
        </is>
      </c>
      <c r="F83" s="12" t="inlineStr"/>
      <c r="G83" s="12" t="inlineStr">
        <is>
          <t>5.05, 5.21, 5.23</t>
        </is>
      </c>
      <c r="H83" s="12" t="inlineStr"/>
      <c r="I83" s="17" t="n"/>
      <c r="J83" s="17" t="n"/>
    </row>
    <row r="84">
      <c r="A84" s="12" t="inlineStr">
        <is>
          <t>Leads</t>
        </is>
      </c>
      <c r="B84" s="12" t="inlineStr">
        <is>
          <t>L-10</t>
        </is>
      </c>
      <c r="C84" s="12" t="inlineStr">
        <is>
          <t>Listing</t>
        </is>
      </c>
      <c r="D84" s="14" t="inlineStr">
        <is>
          <t>On Hold badge with the restart date</t>
        </is>
      </c>
      <c r="E84" s="14" t="inlineStr">
        <is>
          <t>Built</t>
        </is>
      </c>
      <c r="F84" s="12" t="inlineStr"/>
      <c r="G84" s="12" t="inlineStr">
        <is>
          <t>9.05</t>
        </is>
      </c>
      <c r="H84" s="12" t="inlineStr"/>
      <c r="I84" s="17" t="n"/>
      <c r="J84" s="17" t="n"/>
    </row>
    <row r="85">
      <c r="A85" s="12" t="inlineStr">
        <is>
          <t>Leads</t>
        </is>
      </c>
      <c r="B85" s="12" t="inlineStr">
        <is>
          <t>L-11</t>
        </is>
      </c>
      <c r="C85" s="12" t="inlineStr">
        <is>
          <t>Listing</t>
        </is>
      </c>
      <c r="D85" s="14" t="inlineStr">
        <is>
          <t>Needs-attention and duplicate flags</t>
        </is>
      </c>
      <c r="E85" s="14" t="inlineStr">
        <is>
          <t>Built</t>
        </is>
      </c>
      <c r="F85" s="12" t="inlineStr"/>
      <c r="G85" s="12" t="inlineStr">
        <is>
          <t>4.10</t>
        </is>
      </c>
      <c r="H85" s="12" t="inlineStr"/>
      <c r="I85" s="17" t="n"/>
      <c r="J85" s="17" t="n"/>
    </row>
    <row r="86">
      <c r="A86" s="12" t="inlineStr">
        <is>
          <t>Leads</t>
        </is>
      </c>
      <c r="B86" s="12" t="inlineStr">
        <is>
          <t>L-12</t>
        </is>
      </c>
      <c r="C86" s="12" t="inlineStr">
        <is>
          <t>Listing</t>
        </is>
      </c>
      <c r="D86" s="14" t="inlineStr">
        <is>
          <t>Commission pending badge</t>
        </is>
      </c>
      <c r="E86" s="14" t="inlineStr">
        <is>
          <t>Not built — by design</t>
        </is>
      </c>
      <c r="F86" s="12" t="inlineStr">
        <is>
          <t>Projects have no Draft gate; commission lives in Company › Finance › Commission</t>
        </is>
      </c>
      <c r="G86" s="12" t="inlineStr"/>
      <c r="H86" s="12" t="inlineStr"/>
      <c r="I86" s="17" t="n"/>
      <c r="J86" s="17" t="n"/>
    </row>
    <row r="87">
      <c r="A87" s="12" t="inlineStr">
        <is>
          <t>Leads</t>
        </is>
      </c>
      <c r="B87" s="12" t="inlineStr">
        <is>
          <t>L-13</t>
        </is>
      </c>
      <c r="C87" s="12" t="inlineStr">
        <is>
          <t>Listing</t>
        </is>
      </c>
      <c r="D87" s="14" t="inlineStr">
        <is>
          <t>Journey intro banner and mini-rail</t>
        </is>
      </c>
      <c r="E87" s="14" t="inlineStr">
        <is>
          <t>Excluded</t>
        </is>
      </c>
      <c r="F87" s="12" t="inlineStr">
        <is>
          <t>Journey mode excluded by the owner</t>
        </is>
      </c>
      <c r="G87" s="12" t="inlineStr"/>
      <c r="H87" s="12" t="inlineStr"/>
      <c r="I87" s="17" t="n"/>
      <c r="J87" s="17" t="n"/>
    </row>
    <row r="88">
      <c r="A88" s="12" t="inlineStr">
        <is>
          <t>Leads</t>
        </is>
      </c>
      <c r="B88" s="12" t="inlineStr">
        <is>
          <t>L-14</t>
        </is>
      </c>
      <c r="C88" s="12" t="inlineStr">
        <is>
          <t>Listing</t>
        </is>
      </c>
      <c r="D88" s="14" t="inlineStr">
        <is>
          <t>Back to top button</t>
        </is>
      </c>
      <c r="E88" s="14" t="inlineStr">
        <is>
          <t>Not built — by design</t>
        </is>
      </c>
      <c r="F88" s="12" t="inlineStr">
        <is>
          <t>Not proposed; the sticky header is enough</t>
        </is>
      </c>
      <c r="G88" s="12" t="inlineStr"/>
      <c r="H88" s="12" t="inlineStr"/>
      <c r="I88" s="17" t="n"/>
      <c r="J88" s="17" t="n"/>
    </row>
    <row r="89">
      <c r="A89" s="12" t="inlineStr">
        <is>
          <t>Leads</t>
        </is>
      </c>
      <c r="B89" s="12" t="inlineStr">
        <is>
          <t>L-15</t>
        </is>
      </c>
      <c r="C89" s="12" t="inlineStr">
        <is>
          <t>Listing</t>
        </is>
      </c>
      <c r="D89" s="14" t="inlineStr">
        <is>
          <t>Page context handed to the AI assistant</t>
        </is>
      </c>
      <c r="E89" s="14" t="inlineStr">
        <is>
          <t>Built</t>
        </is>
      </c>
      <c r="F89" s="12" t="inlineStr"/>
      <c r="G89" s="12" t="inlineStr">
        <is>
          <t>1.09</t>
        </is>
      </c>
      <c r="H89" s="12" t="inlineStr"/>
      <c r="I89" s="17" t="n"/>
      <c r="J89" s="17" t="n"/>
    </row>
    <row r="90">
      <c r="A90" s="12" t="inlineStr">
        <is>
          <t>Leads</t>
        </is>
      </c>
      <c r="B90" s="12" t="inlineStr">
        <is>
          <t>L-16</t>
        </is>
      </c>
      <c r="C90" s="12" t="inlineStr">
        <is>
          <t>Listing</t>
        </is>
      </c>
      <c r="D90" s="14" t="inlineStr">
        <is>
          <t>Press C for a new lead</t>
        </is>
      </c>
      <c r="E90" s="14" t="inlineStr">
        <is>
          <t>Built in parity round 4</t>
        </is>
      </c>
      <c r="F90" s="12" t="inlineStr"/>
      <c r="G90" s="12" t="inlineStr">
        <is>
          <t>4.01</t>
        </is>
      </c>
      <c r="H90" s="12" t="inlineStr"/>
      <c r="I90" s="17" t="n"/>
      <c r="J90" s="17" t="n"/>
    </row>
    <row r="91">
      <c r="A91" s="12" t="inlineStr">
        <is>
          <t>Leads</t>
        </is>
      </c>
      <c r="B91" s="12" t="inlineStr">
        <is>
          <t>L-17</t>
        </is>
      </c>
      <c r="C91" s="12" t="inlineStr">
        <is>
          <t>Listing</t>
        </is>
      </c>
      <c r="D91" s="14" t="inlineStr">
        <is>
          <t>Who sees which leads</t>
        </is>
      </c>
      <c r="E91" s="14" t="inlineStr">
        <is>
          <t>Built</t>
        </is>
      </c>
      <c r="F91" s="12" t="inlineStr"/>
      <c r="G91" s="12" t="inlineStr">
        <is>
          <t>2.23, 10.01, 10.03</t>
        </is>
      </c>
      <c r="H91" s="12" t="inlineStr"/>
      <c r="I91" s="17" t="n"/>
      <c r="J91" s="17" t="n"/>
    </row>
    <row r="92">
      <c r="A92" s="12" t="inlineStr">
        <is>
          <t>Leads</t>
        </is>
      </c>
      <c r="B92" s="12" t="inlineStr">
        <is>
          <t>L-18</t>
        </is>
      </c>
      <c r="C92" s="12" t="inlineStr">
        <is>
          <t>Listing</t>
        </is>
      </c>
      <c r="D92" s="14" t="inlineStr">
        <is>
          <t>Reading old statuses into positions</t>
        </is>
      </c>
      <c r="E92" s="14" t="inlineStr">
        <is>
          <t>Built</t>
        </is>
      </c>
      <c r="F92" s="12" t="inlineStr"/>
      <c r="G92" s="12" t="inlineStr"/>
      <c r="H92" s="28" t="inlineStr">
        <is>
          <t>Team check</t>
        </is>
      </c>
      <c r="I92" s="17" t="n"/>
      <c r="J92" s="17" t="n"/>
    </row>
    <row r="93">
      <c r="A93" s="12" t="inlineStr">
        <is>
          <t>Leads</t>
        </is>
      </c>
      <c r="B93" s="12" t="inlineStr">
        <is>
          <t>L-19</t>
        </is>
      </c>
      <c r="C93" s="12" t="inlineStr">
        <is>
          <t>Listing</t>
        </is>
      </c>
      <c r="D93" s="14" t="inlineStr">
        <is>
          <t>What counts as the pipeline</t>
        </is>
      </c>
      <c r="E93" s="14" t="inlineStr">
        <is>
          <t>Built</t>
        </is>
      </c>
      <c r="F93" s="12" t="inlineStr"/>
      <c r="G93" s="12" t="inlineStr">
        <is>
          <t>4.10</t>
        </is>
      </c>
      <c r="H93" s="12" t="inlineStr"/>
      <c r="I93" s="17" t="n"/>
      <c r="J93" s="17" t="n"/>
    </row>
    <row r="94">
      <c r="A94" s="12" t="inlineStr">
        <is>
          <t>Leads</t>
        </is>
      </c>
      <c r="B94" s="12" t="inlineStr">
        <is>
          <t>L-20</t>
        </is>
      </c>
      <c r="C94" s="12" t="inlineStr">
        <is>
          <t>Listing</t>
        </is>
      </c>
      <c r="D94" s="14" t="inlineStr">
        <is>
          <t>Search leads</t>
        </is>
      </c>
      <c r="E94" s="14" t="inlineStr">
        <is>
          <t>Built</t>
        </is>
      </c>
      <c r="F94" s="12" t="inlineStr"/>
      <c r="G94" s="12" t="inlineStr">
        <is>
          <t>1.04, 4.16, 12.03</t>
        </is>
      </c>
      <c r="H94" s="12" t="inlineStr"/>
      <c r="I94" s="17" t="n"/>
      <c r="J94" s="17" t="n"/>
    </row>
    <row r="95">
      <c r="A95" s="12" t="inlineStr">
        <is>
          <t>Leads</t>
        </is>
      </c>
      <c r="B95" s="12" t="inlineStr">
        <is>
          <t>L-21</t>
        </is>
      </c>
      <c r="C95" s="12" t="inlineStr">
        <is>
          <t>Listing</t>
        </is>
      </c>
      <c r="D95" s="14" t="inlineStr">
        <is>
          <t>Filter and sort panel</t>
        </is>
      </c>
      <c r="E95" s="14" t="inlineStr">
        <is>
          <t>Built in parity round 2</t>
        </is>
      </c>
      <c r="F95" s="12" t="inlineStr">
        <is>
          <t>Quick filters joined the panel in round 2</t>
        </is>
      </c>
      <c r="G95" s="12" t="inlineStr">
        <is>
          <t>4.17</t>
        </is>
      </c>
      <c r="H95" s="12" t="inlineStr"/>
      <c r="I95" s="17" t="n"/>
      <c r="J95" s="17" t="n"/>
    </row>
    <row r="96">
      <c r="A96" s="12" t="inlineStr">
        <is>
          <t>Leads</t>
        </is>
      </c>
      <c r="B96" s="12" t="inlineStr">
        <is>
          <t>L-22</t>
        </is>
      </c>
      <c r="C96" s="12" t="inlineStr">
        <is>
          <t>Listing</t>
        </is>
      </c>
      <c r="D96" s="14" t="inlineStr">
        <is>
          <t>Quick filters: overdue, unassigned, attention, hot, on hold</t>
        </is>
      </c>
      <c r="E96" s="14" t="inlineStr">
        <is>
          <t>Built in parity round 2</t>
        </is>
      </c>
      <c r="F96" s="12" t="inlineStr">
        <is>
          <t>No Hot filter (Q-10); Unseen added</t>
        </is>
      </c>
      <c r="G96" s="12" t="inlineStr">
        <is>
          <t>4.17, 12.07</t>
        </is>
      </c>
      <c r="H96" s="12" t="inlineStr"/>
      <c r="I96" s="17" t="n"/>
      <c r="J96" s="17" t="n"/>
    </row>
    <row r="97">
      <c r="A97" s="12" t="inlineStr">
        <is>
          <t>Leads</t>
        </is>
      </c>
      <c r="B97" s="12" t="inlineStr">
        <is>
          <t>L-23</t>
        </is>
      </c>
      <c r="C97" s="12" t="inlineStr">
        <is>
          <t>Listing</t>
        </is>
      </c>
      <c r="D97" s="14" t="inlineStr">
        <is>
          <t>Sort newest or oldest</t>
        </is>
      </c>
      <c r="E97" s="14" t="inlineStr">
        <is>
          <t>Built</t>
        </is>
      </c>
      <c r="F97" s="12" t="inlineStr"/>
      <c r="G97" s="12" t="inlineStr">
        <is>
          <t>4.21</t>
        </is>
      </c>
      <c r="H97" s="12" t="inlineStr"/>
      <c r="I97" s="17" t="n"/>
      <c r="J97" s="17" t="n"/>
    </row>
    <row r="98">
      <c r="A98" s="12" t="inlineStr">
        <is>
          <t>Leads</t>
        </is>
      </c>
      <c r="B98" s="12" t="inlineStr">
        <is>
          <t>L-24</t>
        </is>
      </c>
      <c r="C98" s="12" t="inlineStr">
        <is>
          <t>Listing</t>
        </is>
      </c>
      <c r="D98" s="14" t="inlineStr">
        <is>
          <t>Filter by bucket</t>
        </is>
      </c>
      <c r="E98" s="14" t="inlineStr">
        <is>
          <t>Built</t>
        </is>
      </c>
      <c r="F98" s="12" t="inlineStr"/>
      <c r="G98" s="12" t="inlineStr">
        <is>
          <t>1.05, 4.21</t>
        </is>
      </c>
      <c r="H98" s="12" t="inlineStr"/>
      <c r="I98" s="17" t="n"/>
      <c r="J98" s="17" t="n"/>
    </row>
    <row r="99">
      <c r="A99" s="12" t="inlineStr">
        <is>
          <t>Leads</t>
        </is>
      </c>
      <c r="B99" s="12" t="inlineStr">
        <is>
          <t>L-25</t>
        </is>
      </c>
      <c r="C99" s="12" t="inlineStr">
        <is>
          <t>Listing</t>
        </is>
      </c>
      <c r="D99" s="14" t="inlineStr">
        <is>
          <t>Filter by member</t>
        </is>
      </c>
      <c r="E99" s="14" t="inlineStr">
        <is>
          <t>Built</t>
        </is>
      </c>
      <c r="F99" s="12" t="inlineStr"/>
      <c r="G99" s="12" t="inlineStr">
        <is>
          <t>4.21</t>
        </is>
      </c>
      <c r="H99" s="12" t="inlineStr"/>
      <c r="I99" s="17" t="n"/>
      <c r="J99" s="17" t="n"/>
    </row>
    <row r="100">
      <c r="A100" s="12" t="inlineStr">
        <is>
          <t>Leads</t>
        </is>
      </c>
      <c r="B100" s="12" t="inlineStr">
        <is>
          <t>L-26</t>
        </is>
      </c>
      <c r="C100" s="12" t="inlineStr">
        <is>
          <t>Listing</t>
        </is>
      </c>
      <c r="D100" s="14" t="inlineStr">
        <is>
          <t>Filter by source</t>
        </is>
      </c>
      <c r="E100" s="14" t="inlineStr">
        <is>
          <t>Built</t>
        </is>
      </c>
      <c r="F100" s="12" t="inlineStr"/>
      <c r="G100" s="12" t="inlineStr">
        <is>
          <t>4.21</t>
        </is>
      </c>
      <c r="H100" s="12" t="inlineStr"/>
      <c r="I100" s="17" t="n"/>
      <c r="J100" s="17" t="n"/>
    </row>
    <row r="101">
      <c r="A101" s="12" t="inlineStr">
        <is>
          <t>Leads</t>
        </is>
      </c>
      <c r="B101" s="12" t="inlineStr">
        <is>
          <t>L-27</t>
        </is>
      </c>
      <c r="C101" s="12" t="inlineStr">
        <is>
          <t>Listing</t>
        </is>
      </c>
      <c r="D101" s="14" t="inlineStr">
        <is>
          <t>Date created filter with a 30-day default</t>
        </is>
      </c>
      <c r="E101" s="14" t="inlineStr">
        <is>
          <t>Built in parity round 4</t>
        </is>
      </c>
      <c r="F101" s="12" t="inlineStr">
        <is>
          <t>'This month' added; no default 30-day window (Q-30)</t>
        </is>
      </c>
      <c r="G101" s="12" t="inlineStr">
        <is>
          <t>4.19</t>
        </is>
      </c>
      <c r="H101" s="12" t="inlineStr"/>
      <c r="I101" s="17" t="n"/>
      <c r="J101" s="17" t="n"/>
    </row>
    <row r="102">
      <c r="A102" s="12" t="inlineStr">
        <is>
          <t>Leads</t>
        </is>
      </c>
      <c r="B102" s="12" t="inlineStr">
        <is>
          <t>L-28</t>
        </is>
      </c>
      <c r="C102" s="12" t="inlineStr">
        <is>
          <t>Listing</t>
        </is>
      </c>
      <c r="D102" s="14" t="inlineStr">
        <is>
          <t>Chips for active filters and Clear all</t>
        </is>
      </c>
      <c r="E102" s="14" t="inlineStr">
        <is>
          <t>Built</t>
        </is>
      </c>
      <c r="F102" s="12" t="inlineStr"/>
      <c r="G102" s="12" t="inlineStr">
        <is>
          <t>4.17, 4.21</t>
        </is>
      </c>
      <c r="H102" s="12" t="inlineStr"/>
      <c r="I102" s="17" t="n"/>
      <c r="J102" s="17" t="n"/>
    </row>
    <row r="103">
      <c r="A103" s="12" t="inlineStr">
        <is>
          <t>Leads</t>
        </is>
      </c>
      <c r="B103" s="12" t="inlineStr">
        <is>
          <t>L-29</t>
        </is>
      </c>
      <c r="C103" s="12" t="inlineStr">
        <is>
          <t>Listing</t>
        </is>
      </c>
      <c r="D103" s="14" t="inlineStr">
        <is>
          <t>Active filter count</t>
        </is>
      </c>
      <c r="E103" s="14" t="inlineStr">
        <is>
          <t>Built</t>
        </is>
      </c>
      <c r="F103" s="12" t="inlineStr"/>
      <c r="G103" s="12" t="inlineStr">
        <is>
          <t>4.17</t>
        </is>
      </c>
      <c r="H103" s="12" t="inlineStr"/>
      <c r="I103" s="17" t="n"/>
      <c r="J103" s="17" t="n"/>
    </row>
    <row r="104">
      <c r="A104" s="12" t="inlineStr">
        <is>
          <t>Leads</t>
        </is>
      </c>
      <c r="B104" s="12" t="inlineStr">
        <is>
          <t>L-30</t>
        </is>
      </c>
      <c r="C104" s="12" t="inlineStr">
        <is>
          <t>Listing</t>
        </is>
      </c>
      <c r="D104" s="14" t="inlineStr">
        <is>
          <t>Empty states</t>
        </is>
      </c>
      <c r="E104" s="14" t="inlineStr">
        <is>
          <t>Built</t>
        </is>
      </c>
      <c r="F104" s="12" t="inlineStr"/>
      <c r="G104" s="12" t="inlineStr">
        <is>
          <t>4.16</t>
        </is>
      </c>
      <c r="H104" s="12" t="inlineStr"/>
      <c r="I104" s="17" t="n"/>
      <c r="J104" s="17" t="n"/>
    </row>
    <row r="105">
      <c r="A105" s="12" t="inlineStr">
        <is>
          <t>Leads</t>
        </is>
      </c>
      <c r="B105" s="12" t="inlineStr">
        <is>
          <t>L-31</t>
        </is>
      </c>
      <c r="C105" s="12" t="inlineStr">
        <is>
          <t>Listing</t>
        </is>
      </c>
      <c r="D105" s="14" t="inlineStr">
        <is>
          <t>Column settings and saved views</t>
        </is>
      </c>
      <c r="E105" s="14" t="inlineStr">
        <is>
          <t>2.0 only</t>
        </is>
      </c>
      <c r="F105" s="12" t="inlineStr">
        <is>
          <t>No 1.0 counterpart; every table shares it</t>
        </is>
      </c>
      <c r="G105" s="12" t="inlineStr">
        <is>
          <t>4.22</t>
        </is>
      </c>
      <c r="H105" s="12" t="inlineStr"/>
      <c r="I105" s="17" t="n"/>
      <c r="J105" s="17" t="n"/>
    </row>
    <row r="106">
      <c r="A106" s="12" t="inlineStr">
        <is>
          <t>Leads</t>
        </is>
      </c>
      <c r="B106" s="12" t="inlineStr">
        <is>
          <t>L-32</t>
        </is>
      </c>
      <c r="C106" s="12" t="inlineStr">
        <is>
          <t>Listing</t>
        </is>
      </c>
      <c r="D106" s="14" t="inlineStr">
        <is>
          <t>Export as CSV</t>
        </is>
      </c>
      <c r="E106" s="14" t="inlineStr">
        <is>
          <t>Built in parity round 4</t>
        </is>
      </c>
      <c r="F106" s="12" t="inlineStr"/>
      <c r="G106" s="12" t="inlineStr">
        <is>
          <t>4.20</t>
        </is>
      </c>
      <c r="H106" s="12" t="inlineStr"/>
      <c r="I106" s="17" t="n"/>
      <c r="J106" s="17" t="n"/>
    </row>
    <row r="107">
      <c r="A107" s="12" t="inlineStr">
        <is>
          <t>Leads</t>
        </is>
      </c>
      <c r="B107" s="12" t="inlineStr">
        <is>
          <t>L-33</t>
        </is>
      </c>
      <c r="C107" s="12" t="inlineStr">
        <is>
          <t>Listing</t>
        </is>
      </c>
      <c r="D107" s="14" t="inlineStr">
        <is>
          <t>Archived leads view</t>
        </is>
      </c>
      <c r="E107" s="14" t="inlineStr">
        <is>
          <t>Excluded</t>
        </is>
      </c>
      <c r="F107" s="12" t="inlineStr">
        <is>
          <t>Archive excluded; Deleted Leads takes its place</t>
        </is>
      </c>
      <c r="G107" s="12" t="inlineStr">
        <is>
          <t>9.15</t>
        </is>
      </c>
      <c r="H107" s="12" t="inlineStr"/>
      <c r="I107" s="17" t="n"/>
      <c r="J107" s="17" t="n"/>
    </row>
    <row r="108">
      <c r="A108" s="12" t="inlineStr">
        <is>
          <t>Leads</t>
        </is>
      </c>
      <c r="B108" s="12" t="inlineStr">
        <is>
          <t>L-34</t>
        </is>
      </c>
      <c r="C108" s="12" t="inlineStr">
        <is>
          <t>Listing</t>
        </is>
      </c>
      <c r="D108" s="14" t="inlineStr">
        <is>
          <t>Header menu: export, archived, settings</t>
        </is>
      </c>
      <c r="E108" s="14" t="inlineStr">
        <is>
          <t>Built</t>
        </is>
      </c>
      <c r="F108" s="12" t="inlineStr"/>
      <c r="G108" s="12" t="inlineStr">
        <is>
          <t>4.20</t>
        </is>
      </c>
      <c r="H108" s="12" t="inlineStr"/>
      <c r="I108" s="17" t="n"/>
      <c r="J108" s="17" t="n"/>
    </row>
    <row r="109">
      <c r="A109" s="12" t="inlineStr">
        <is>
          <t>Leads</t>
        </is>
      </c>
      <c r="B109" s="12" t="inlineStr">
        <is>
          <t>L-35</t>
        </is>
      </c>
      <c r="C109" s="12" t="inlineStr">
        <is>
          <t>Listing</t>
        </is>
      </c>
      <c r="D109" s="14" t="inlineStr">
        <is>
          <t>Temperature on the list</t>
        </is>
      </c>
      <c r="E109" s="14" t="inlineStr">
        <is>
          <t>Not built — by design</t>
        </is>
      </c>
      <c r="F109" s="12" t="inlineStr">
        <is>
          <t>Owner declined temperature (Q-10)</t>
        </is>
      </c>
      <c r="G109" s="12" t="inlineStr"/>
      <c r="H109" s="12" t="inlineStr"/>
      <c r="I109" s="17" t="n"/>
      <c r="J109" s="17" t="n"/>
    </row>
    <row r="110">
      <c r="A110" s="12" t="inlineStr">
        <is>
          <t>Leads</t>
        </is>
      </c>
      <c r="B110" s="12" t="inlineStr">
        <is>
          <t>L-36</t>
        </is>
      </c>
      <c r="C110" s="12" t="inlineStr">
        <is>
          <t>Listing</t>
        </is>
      </c>
      <c r="D110" s="14" t="inlineStr">
        <is>
          <t>Phone card list with stage tabs</t>
        </is>
      </c>
      <c r="E110" s="14" t="inlineStr">
        <is>
          <t>Built</t>
        </is>
      </c>
      <c r="F110" s="12" t="inlineStr"/>
      <c r="G110" s="12" t="inlineStr">
        <is>
          <t>12.01, 12.02, 12.03</t>
        </is>
      </c>
      <c r="H110" s="12" t="inlineStr"/>
      <c r="I110" s="17" t="n"/>
      <c r="J110" s="17" t="n"/>
    </row>
    <row r="111">
      <c r="A111" s="12" t="inlineStr">
        <is>
          <t>Leads</t>
        </is>
      </c>
      <c r="B111" s="12" t="inlineStr">
        <is>
          <t>L-37</t>
        </is>
      </c>
      <c r="C111" s="12" t="inlineStr">
        <is>
          <t>Listing</t>
        </is>
      </c>
      <c r="D111" s="14" t="inlineStr">
        <is>
          <t>Add Lead, Insights and menu in the header</t>
        </is>
      </c>
      <c r="E111" s="14" t="inlineStr">
        <is>
          <t>2.0 only</t>
        </is>
      </c>
      <c r="F111" s="12" t="inlineStr">
        <is>
          <t>No 1.0 counterpart</t>
        </is>
      </c>
      <c r="G111" s="12" t="inlineStr"/>
      <c r="H111" s="28" t="inlineStr">
        <is>
          <t>Team check</t>
        </is>
      </c>
      <c r="I111" s="17" t="n"/>
      <c r="J111" s="17" t="n"/>
    </row>
    <row r="112">
      <c r="A112" s="12" t="inlineStr">
        <is>
          <t>Leads</t>
        </is>
      </c>
      <c r="B112" s="12" t="inlineStr">
        <is>
          <t>L-38</t>
        </is>
      </c>
      <c r="C112" s="12" t="inlineStr">
        <is>
          <t>Listing</t>
        </is>
      </c>
      <c r="D112" s="14" t="inlineStr">
        <is>
          <t>Band on leads nobody has opened</t>
        </is>
      </c>
      <c r="E112" s="14" t="inlineStr">
        <is>
          <t>2.0 only</t>
        </is>
      </c>
      <c r="F112" s="12" t="inlineStr">
        <is>
          <t>No 1.0 counterpart</t>
        </is>
      </c>
      <c r="G112" s="12" t="inlineStr">
        <is>
          <t>1.03, 4.05, 5.01</t>
        </is>
      </c>
      <c r="H112" s="12" t="inlineStr"/>
      <c r="I112" s="17" t="n"/>
      <c r="J112" s="17" t="n"/>
    </row>
    <row r="113">
      <c r="A113" s="12" t="inlineStr">
        <is>
          <t>Leads</t>
        </is>
      </c>
      <c r="B113" s="12" t="inlineStr">
        <is>
          <t>L-39</t>
        </is>
      </c>
      <c r="C113" s="12" t="inlineStr">
        <is>
          <t>Listing</t>
        </is>
      </c>
      <c r="D113" s="14" t="inlineStr">
        <is>
          <t>Row and card menu: Delete, Return Lead</t>
        </is>
      </c>
      <c r="E113" s="14" t="inlineStr">
        <is>
          <t>2.0 only</t>
        </is>
      </c>
      <c r="F113" s="12" t="inlineStr">
        <is>
          <t>No 1.0 counterpart; 1.0 rows had no menu</t>
        </is>
      </c>
      <c r="G113" s="12" t="inlineStr">
        <is>
          <t>9.14</t>
        </is>
      </c>
      <c r="H113" s="12" t="inlineStr"/>
      <c r="I113" s="17" t="n"/>
      <c r="J113" s="17" t="n"/>
    </row>
    <row r="114">
      <c r="A114" s="12" t="inlineStr">
        <is>
          <t>Leads</t>
        </is>
      </c>
      <c r="B114" s="12" t="inlineStr">
        <is>
          <t>C-01</t>
        </is>
      </c>
      <c r="C114" s="12" t="inlineStr">
        <is>
          <t>Lead creation</t>
        </is>
      </c>
      <c r="D114" s="14" t="inlineStr">
        <is>
          <t>Only allowed roles see Add Lead</t>
        </is>
      </c>
      <c r="E114" s="14" t="inlineStr">
        <is>
          <t>Built in parity round 3</t>
        </is>
      </c>
      <c r="F114" s="12" t="inlineStr">
        <is>
          <t>Every role creates; a Designer's new lead is theirs</t>
        </is>
      </c>
      <c r="G114" s="12" t="inlineStr">
        <is>
          <t>4.05</t>
        </is>
      </c>
      <c r="H114" s="12" t="inlineStr"/>
      <c r="I114" s="17" t="n"/>
      <c r="J114" s="17" t="n"/>
    </row>
    <row r="115">
      <c r="A115" s="12" t="inlineStr">
        <is>
          <t>Leads</t>
        </is>
      </c>
      <c r="B115" s="12" t="inlineStr">
        <is>
          <t>C-02</t>
        </is>
      </c>
      <c r="C115" s="12" t="inlineStr">
        <is>
          <t>Lead creation</t>
        </is>
      </c>
      <c r="D115" s="14" t="inlineStr">
        <is>
          <t>New Lead form with sections</t>
        </is>
      </c>
      <c r="E115" s="14" t="inlineStr">
        <is>
          <t>Built</t>
        </is>
      </c>
      <c r="F115" s="12" t="inlineStr"/>
      <c r="G115" s="12" t="inlineStr">
        <is>
          <t>4.04</t>
        </is>
      </c>
      <c r="H115" s="12" t="inlineStr"/>
      <c r="I115" s="17" t="n"/>
      <c r="J115" s="17" t="n"/>
    </row>
    <row r="116">
      <c r="A116" s="12" t="inlineStr">
        <is>
          <t>Leads</t>
        </is>
      </c>
      <c r="B116" s="12" t="inlineStr">
        <is>
          <t>C-03</t>
        </is>
      </c>
      <c r="C116" s="12" t="inlineStr">
        <is>
          <t>Lead creation</t>
        </is>
      </c>
      <c r="D116" s="14" t="inlineStr">
        <is>
          <t>Client fields: first, last, email, phone, source</t>
        </is>
      </c>
      <c r="E116" s="14" t="inlineStr">
        <is>
          <t>Not built — by design</t>
        </is>
      </c>
      <c r="F116" s="12" t="inlineStr">
        <is>
          <t>One name field; name and phone required (Q-13, Q-15)</t>
        </is>
      </c>
      <c r="G116" s="12" t="inlineStr">
        <is>
          <t>4.04</t>
        </is>
      </c>
      <c r="H116" s="12" t="inlineStr"/>
      <c r="I116" s="17" t="n"/>
      <c r="J116" s="17" t="n"/>
    </row>
    <row r="117">
      <c r="A117" s="12" t="inlineStr">
        <is>
          <t>Leads</t>
        </is>
      </c>
      <c r="B117" s="12" t="inlineStr">
        <is>
          <t>C-04</t>
        </is>
      </c>
      <c r="C117" s="12" t="inlineStr">
        <is>
          <t>Lead creation</t>
        </is>
      </c>
      <c r="D117" s="14" t="inlineStr">
        <is>
          <t>Property type, budget and district</t>
        </is>
      </c>
      <c r="E117" s="14" t="inlineStr">
        <is>
          <t>Built in parity round 1</t>
        </is>
      </c>
      <c r="F117" s="12" t="inlineStr"/>
      <c r="G117" s="12" t="inlineStr">
        <is>
          <t>4.04</t>
        </is>
      </c>
      <c r="H117" s="12" t="inlineStr"/>
      <c r="I117" s="17" t="n"/>
      <c r="J117" s="17" t="n"/>
    </row>
    <row r="118">
      <c r="A118" s="12" t="inlineStr">
        <is>
          <t>Leads</t>
        </is>
      </c>
      <c r="B118" s="12" t="inlineStr">
        <is>
          <t>C-05</t>
        </is>
      </c>
      <c r="C118" s="12" t="inlineStr">
        <is>
          <t>Lead creation</t>
        </is>
      </c>
      <c r="D118" s="14" t="inlineStr">
        <is>
          <t>Property status, style, area size, key collection, address</t>
        </is>
      </c>
      <c r="E118" s="14" t="inlineStr">
        <is>
          <t>Built in parity round 1</t>
        </is>
      </c>
      <c r="F118" s="12" t="inlineStr"/>
      <c r="G118" s="12" t="inlineStr">
        <is>
          <t>4.05</t>
        </is>
      </c>
      <c r="H118" s="12" t="inlineStr"/>
      <c r="I118" s="17" t="n"/>
      <c r="J118" s="17" t="n"/>
    </row>
    <row r="119">
      <c r="A119" s="12" t="inlineStr">
        <is>
          <t>Leads</t>
        </is>
      </c>
      <c r="B119" s="12" t="inlineStr">
        <is>
          <t>C-06</t>
        </is>
      </c>
      <c r="C119" s="12" t="inlineStr">
        <is>
          <t>Lead creation</t>
        </is>
      </c>
      <c r="D119" s="14" t="inlineStr">
        <is>
          <t>Remarks and Additional Info</t>
        </is>
      </c>
      <c r="E119" s="14" t="inlineStr">
        <is>
          <t>Not built — by design</t>
        </is>
      </c>
      <c r="F119" s="12" t="inlineStr">
        <is>
          <t>Remarks only (Q-16)</t>
        </is>
      </c>
      <c r="G119" s="12" t="inlineStr">
        <is>
          <t>4.05</t>
        </is>
      </c>
      <c r="H119" s="12" t="inlineStr"/>
      <c r="I119" s="17" t="n"/>
      <c r="J119" s="17" t="n"/>
    </row>
    <row r="120">
      <c r="A120" s="12" t="inlineStr">
        <is>
          <t>Leads</t>
        </is>
      </c>
      <c r="B120" s="12" t="inlineStr">
        <is>
          <t>C-07</t>
        </is>
      </c>
      <c r="C120" s="12" t="inlineStr">
        <is>
          <t>Lead creation</t>
        </is>
      </c>
      <c r="D120" s="14" t="inlineStr">
        <is>
          <t>Assign members when creating</t>
        </is>
      </c>
      <c r="E120" s="14" t="inlineStr">
        <is>
          <t>Built in parity round 3</t>
        </is>
      </c>
      <c r="F120" s="12" t="inlineStr">
        <is>
          <t>Designer self-assign in round 3; open-to-leads pool in round 6</t>
        </is>
      </c>
      <c r="G120" s="12" t="inlineStr"/>
      <c r="H120" s="28" t="inlineStr">
        <is>
          <t>Team check</t>
        </is>
      </c>
      <c r="I120" s="17" t="n"/>
      <c r="J120" s="17" t="n"/>
    </row>
    <row r="121">
      <c r="A121" s="12" t="inlineStr">
        <is>
          <t>Leads</t>
        </is>
      </c>
      <c r="B121" s="12" t="inlineStr">
        <is>
          <t>C-08</t>
        </is>
      </c>
      <c r="C121" s="12" t="inlineStr">
        <is>
          <t>Lead creation</t>
        </is>
      </c>
      <c r="D121" s="14" t="inlineStr">
        <is>
          <t>Attach documents when creating</t>
        </is>
      </c>
      <c r="E121" s="14" t="inlineStr">
        <is>
          <t>Built in parity round 3</t>
        </is>
      </c>
      <c r="F121" s="12" t="inlineStr"/>
      <c r="G121" s="12" t="inlineStr">
        <is>
          <t>4.05, 5.14</t>
        </is>
      </c>
      <c r="H121" s="12" t="inlineStr"/>
      <c r="I121" s="17" t="n"/>
      <c r="J121" s="17" t="n"/>
    </row>
    <row r="122">
      <c r="A122" s="12" t="inlineStr">
        <is>
          <t>Leads</t>
        </is>
      </c>
      <c r="B122" s="12" t="inlineStr">
        <is>
          <t>C-09</t>
        </is>
      </c>
      <c r="C122" s="12" t="inlineStr">
        <is>
          <t>Lead creation</t>
        </is>
      </c>
      <c r="D122" s="14" t="inlineStr">
        <is>
          <t>Form checks before saving</t>
        </is>
      </c>
      <c r="E122" s="14" t="inlineStr">
        <is>
          <t>Built in parity round 1</t>
        </is>
      </c>
      <c r="F122" s="12" t="inlineStr">
        <is>
          <t>Budget limits added in round 1</t>
        </is>
      </c>
      <c r="G122" s="12" t="inlineStr">
        <is>
          <t>4.04</t>
        </is>
      </c>
      <c r="H122" s="12" t="inlineStr"/>
      <c r="I122" s="17" t="n"/>
      <c r="J122" s="17" t="n"/>
    </row>
    <row r="123">
      <c r="A123" s="12" t="inlineStr">
        <is>
          <t>Leads</t>
        </is>
      </c>
      <c r="B123" s="12" t="inlineStr">
        <is>
          <t>C-10</t>
        </is>
      </c>
      <c r="C123" s="12" t="inlineStr">
        <is>
          <t>Lead creation</t>
        </is>
      </c>
      <c r="D123" s="14" t="inlineStr">
        <is>
          <t>Save and confirm a new lead</t>
        </is>
      </c>
      <c r="E123" s="14" t="inlineStr">
        <is>
          <t>Built</t>
        </is>
      </c>
      <c r="F123" s="12" t="inlineStr"/>
      <c r="G123" s="12" t="inlineStr">
        <is>
          <t>4.05</t>
        </is>
      </c>
      <c r="H123" s="12" t="inlineStr"/>
      <c r="I123" s="17" t="n"/>
      <c r="J123" s="17" t="n"/>
    </row>
    <row r="124">
      <c r="A124" s="12" t="inlineStr">
        <is>
          <t>Leads</t>
        </is>
      </c>
      <c r="B124" s="12" t="inlineStr">
        <is>
          <t>C-11</t>
        </is>
      </c>
      <c r="C124" s="12" t="inlineStr">
        <is>
          <t>Lead creation</t>
        </is>
      </c>
      <c r="D124" s="14" t="inlineStr">
        <is>
          <t>A separate full-page New Lead</t>
        </is>
      </c>
      <c r="E124" s="14" t="inlineStr">
        <is>
          <t>Built</t>
        </is>
      </c>
      <c r="F124" s="12" t="inlineStr"/>
      <c r="G124" s="12" t="inlineStr"/>
      <c r="H124" s="28" t="inlineStr">
        <is>
          <t>Team check</t>
        </is>
      </c>
      <c r="I124" s="17" t="n"/>
      <c r="J124" s="17" t="n"/>
    </row>
    <row r="125">
      <c r="A125" s="12" t="inlineStr">
        <is>
          <t>Leads</t>
        </is>
      </c>
      <c r="B125" s="12" t="inlineStr">
        <is>
          <t>C-12</t>
        </is>
      </c>
      <c r="C125" s="12" t="inlineStr">
        <is>
          <t>Lead creation</t>
        </is>
      </c>
      <c r="D125" s="14" t="inlineStr">
        <is>
          <t>Creating a lead on the server</t>
        </is>
      </c>
      <c r="E125" s="14" t="inlineStr">
        <is>
          <t>Built</t>
        </is>
      </c>
      <c r="F125" s="12" t="inlineStr"/>
      <c r="G125" s="12" t="inlineStr">
        <is>
          <t>4.05</t>
        </is>
      </c>
      <c r="H125" s="12" t="inlineStr"/>
      <c r="I125" s="17" t="n"/>
      <c r="J125" s="17" t="n"/>
    </row>
    <row r="126">
      <c r="A126" s="12" t="inlineStr">
        <is>
          <t>Leads</t>
        </is>
      </c>
      <c r="B126" s="12" t="inlineStr">
        <is>
          <t>C-13</t>
        </is>
      </c>
      <c r="C126" s="12" t="inlineStr">
        <is>
          <t>Lead creation</t>
        </is>
      </c>
      <c r="D126" s="14" t="inlineStr">
        <is>
          <t>Duplicate check before saving</t>
        </is>
      </c>
      <c r="E126" s="14" t="inlineStr">
        <is>
          <t>Built in parity round 3</t>
        </is>
      </c>
      <c r="F126" s="12" t="inlineStr"/>
      <c r="G126" s="12" t="inlineStr">
        <is>
          <t>4.03</t>
        </is>
      </c>
      <c r="H126" s="12" t="inlineStr"/>
      <c r="I126" s="17" t="n"/>
      <c r="J126" s="17" t="n"/>
    </row>
    <row r="127">
      <c r="A127" s="12" t="inlineStr">
        <is>
          <t>Leads</t>
        </is>
      </c>
      <c r="B127" s="12" t="inlineStr">
        <is>
          <t>C-14</t>
        </is>
      </c>
      <c r="C127" s="12" t="inlineStr">
        <is>
          <t>Lead creation</t>
        </is>
      </c>
      <c r="D127" s="14" t="inlineStr">
        <is>
          <t>Recommended member when assigning</t>
        </is>
      </c>
      <c r="E127" s="14" t="inlineStr">
        <is>
          <t>Built in parity round 6</t>
        </is>
      </c>
      <c r="F127" s="12" t="inlineStr"/>
      <c r="G127" s="12" t="inlineStr">
        <is>
          <t>5.04</t>
        </is>
      </c>
      <c r="H127" s="12" t="inlineStr"/>
      <c r="I127" s="17" t="n"/>
      <c r="J127" s="17" t="n"/>
    </row>
    <row r="128">
      <c r="A128" s="12" t="inlineStr">
        <is>
          <t>Leads</t>
        </is>
      </c>
      <c r="B128" s="12" t="inlineStr">
        <is>
          <t>C-15</t>
        </is>
      </c>
      <c r="C128" s="12" t="inlineStr">
        <is>
          <t>Lead creation</t>
        </is>
      </c>
      <c r="D128" s="14" t="inlineStr">
        <is>
          <t>Fill from a document</t>
        </is>
      </c>
      <c r="E128" s="14" t="inlineStr">
        <is>
          <t>Built in parity round 3</t>
        </is>
      </c>
      <c r="F128" s="12" t="inlineStr">
        <is>
          <t>Reads the picked file’s own words by rule — PDF, sheet or text (S42)</t>
        </is>
      </c>
      <c r="G128" s="12" t="inlineStr">
        <is>
          <t>4.02</t>
        </is>
      </c>
      <c r="H128" s="12" t="inlineStr"/>
      <c r="I128" s="17" t="n"/>
      <c r="J128" s="17" t="n"/>
    </row>
    <row r="129">
      <c r="A129" s="12" t="inlineStr">
        <is>
          <t>Leads</t>
        </is>
      </c>
      <c r="B129" s="12" t="inlineStr">
        <is>
          <t>C-16</t>
        </is>
      </c>
      <c r="C129" s="12" t="inlineStr">
        <is>
          <t>Lead creation</t>
        </is>
      </c>
      <c r="D129" s="14" t="inlineStr">
        <is>
          <t>Hangout, AI agent and project intake</t>
        </is>
      </c>
      <c r="E129" s="14" t="inlineStr">
        <is>
          <t>Built</t>
        </is>
      </c>
      <c r="F129" s="12" t="inlineStr">
        <is>
          <t>Hangout bookings (S27), Maison AI's Add a lead (S05), New project (Projects build)</t>
        </is>
      </c>
      <c r="G129" s="12" t="inlineStr"/>
      <c r="H129" s="28" t="inlineStr">
        <is>
          <t>Team check</t>
        </is>
      </c>
      <c r="I129" s="17" t="n"/>
      <c r="J129" s="17" t="n"/>
    </row>
    <row r="130">
      <c r="A130" s="12" t="inlineStr">
        <is>
          <t>Leads</t>
        </is>
      </c>
      <c r="B130" s="12" t="inlineStr">
        <is>
          <t>I-01</t>
        </is>
      </c>
      <c r="C130" s="12" t="inlineStr">
        <is>
          <t>Intake</t>
        </is>
      </c>
      <c r="D130" s="14" t="inlineStr">
        <is>
          <t>Duplicate detector with a studio switch</t>
        </is>
      </c>
      <c r="E130" s="14" t="inlineStr">
        <is>
          <t>Built in parity round 3</t>
        </is>
      </c>
      <c r="F130" s="12" t="inlineStr">
        <is>
          <t>Always on; no studio switch, by design (Q-18)</t>
        </is>
      </c>
      <c r="G130" s="12" t="inlineStr">
        <is>
          <t>4.03, 4.07</t>
        </is>
      </c>
      <c r="H130" s="12" t="inlineStr"/>
      <c r="I130" s="17" t="n"/>
      <c r="J130" s="17" t="n"/>
    </row>
    <row r="131">
      <c r="A131" s="12" t="inlineStr">
        <is>
          <t>Leads</t>
        </is>
      </c>
      <c r="B131" s="12" t="inlineStr">
        <is>
          <t>I-02</t>
        </is>
      </c>
      <c r="C131" s="12" t="inlineStr">
        <is>
          <t>Intake</t>
        </is>
      </c>
      <c r="D131" s="14" t="inlineStr">
        <is>
          <t>Leads pending review queue</t>
        </is>
      </c>
      <c r="E131" s="14" t="inlineStr">
        <is>
          <t>Built</t>
        </is>
      </c>
      <c r="F131" s="12" t="inlineStr"/>
      <c r="G131" s="12" t="inlineStr">
        <is>
          <t>4.10, 4.12</t>
        </is>
      </c>
      <c r="H131" s="12" t="inlineStr"/>
      <c r="I131" s="17" t="n"/>
      <c r="J131" s="17" t="n"/>
    </row>
    <row r="132">
      <c r="A132" s="12" t="inlineStr">
        <is>
          <t>Leads</t>
        </is>
      </c>
      <c r="B132" s="12" t="inlineStr">
        <is>
          <t>I-03</t>
        </is>
      </c>
      <c r="C132" s="12" t="inlineStr">
        <is>
          <t>Intake</t>
        </is>
      </c>
      <c r="D132" s="14" t="inlineStr">
        <is>
          <t>Approve, reject, keep both</t>
        </is>
      </c>
      <c r="E132" s="14" t="inlineStr">
        <is>
          <t>Built</t>
        </is>
      </c>
      <c r="F132" s="12" t="inlineStr"/>
      <c r="G132" s="12" t="inlineStr">
        <is>
          <t>4.11, 4.12</t>
        </is>
      </c>
      <c r="H132" s="12" t="inlineStr"/>
      <c r="I132" s="17" t="n"/>
      <c r="J132" s="17" t="n"/>
    </row>
    <row r="133">
      <c r="A133" s="12" t="inlineStr">
        <is>
          <t>Leads</t>
        </is>
      </c>
      <c r="B133" s="12" t="inlineStr">
        <is>
          <t>I-04</t>
        </is>
      </c>
      <c r="C133" s="12" t="inlineStr">
        <is>
          <t>Intake</t>
        </is>
      </c>
      <c r="D133" s="14" t="inlineStr">
        <is>
          <t>Merge a duplicate into the original</t>
        </is>
      </c>
      <c r="E133" s="14" t="inlineStr">
        <is>
          <t>Built in parity round 3</t>
        </is>
      </c>
      <c r="F133" s="12" t="inlineStr"/>
      <c r="G133" s="12" t="inlineStr">
        <is>
          <t>4.11</t>
        </is>
      </c>
      <c r="H133" s="12" t="inlineStr"/>
      <c r="I133" s="17" t="n"/>
      <c r="J133" s="17" t="n"/>
    </row>
    <row r="134">
      <c r="A134" s="12" t="inlineStr">
        <is>
          <t>Leads</t>
        </is>
      </c>
      <c r="B134" s="12" t="inlineStr">
        <is>
          <t>I-05</t>
        </is>
      </c>
      <c r="C134" s="12" t="inlineStr">
        <is>
          <t>Intake</t>
        </is>
      </c>
      <c r="D134" s="14" t="inlineStr">
        <is>
          <t>Approve all at once</t>
        </is>
      </c>
      <c r="E134" s="14" t="inlineStr">
        <is>
          <t>Built</t>
        </is>
      </c>
      <c r="F134" s="12" t="inlineStr"/>
      <c r="G134" s="12" t="inlineStr"/>
      <c r="H134" s="28" t="inlineStr">
        <is>
          <t>Team check</t>
        </is>
      </c>
      <c r="I134" s="17" t="n"/>
      <c r="J134" s="17" t="n"/>
    </row>
    <row r="135">
      <c r="A135" s="12" t="inlineStr">
        <is>
          <t>Leads</t>
        </is>
      </c>
      <c r="B135" s="12" t="inlineStr">
        <is>
          <t>I-06</t>
        </is>
      </c>
      <c r="C135" s="12" t="inlineStr">
        <is>
          <t>Intake</t>
        </is>
      </c>
      <c r="D135" s="14" t="inlineStr">
        <is>
          <t>Import leads from a file</t>
        </is>
      </c>
      <c r="E135" s="14" t="inlineStr">
        <is>
          <t>2.0 only</t>
        </is>
      </c>
      <c r="F135" s="12" t="inlineStr">
        <is>
          <t>1.0 had no lead import</t>
        </is>
      </c>
      <c r="G135" s="12" t="inlineStr">
        <is>
          <t>4.06, 4.07, 4.09</t>
        </is>
      </c>
      <c r="H135" s="12" t="inlineStr"/>
      <c r="I135" s="17" t="n"/>
      <c r="J135" s="17" t="n"/>
    </row>
    <row r="136">
      <c r="A136" s="12" t="inlineStr">
        <is>
          <t>Leads</t>
        </is>
      </c>
      <c r="B136" s="12" t="inlineStr">
        <is>
          <t>I-07</t>
        </is>
      </c>
      <c r="C136" s="12" t="inlineStr">
        <is>
          <t>Intake</t>
        </is>
      </c>
      <c r="D136" s="14" t="inlineStr">
        <is>
          <t>Webhook endpoints per source</t>
        </is>
      </c>
      <c r="E136" s="14" t="inlineStr">
        <is>
          <t>Built in parity round 6</t>
        </is>
      </c>
      <c r="F136" s="12" t="inlineStr">
        <is>
          <t>Generated URLs receive real POSTs at /api/webhooks/leads (S34)</t>
        </is>
      </c>
      <c r="G136" s="12" t="inlineStr">
        <is>
          <t>4.13</t>
        </is>
      </c>
      <c r="H136" s="12" t="inlineStr"/>
      <c r="I136" s="17" t="n"/>
      <c r="J136" s="17" t="n"/>
    </row>
    <row r="137">
      <c r="A137" s="12" t="inlineStr">
        <is>
          <t>Leads</t>
        </is>
      </c>
      <c r="B137" s="12" t="inlineStr">
        <is>
          <t>I-08</t>
        </is>
      </c>
      <c r="C137" s="12" t="inlineStr">
        <is>
          <t>Intake</t>
        </is>
      </c>
      <c r="D137" s="14" t="inlineStr">
        <is>
          <t>Webhook receiving rules</t>
        </is>
      </c>
      <c r="E137" s="14" t="inlineStr">
        <is>
          <t>Built</t>
        </is>
      </c>
      <c r="F137" s="12" t="inlineStr">
        <is>
          <t>/api/webhooks/leads/&lt;token&gt; keeps 1.0's limits, keys and test leads (S34)</t>
        </is>
      </c>
      <c r="G137" s="12" t="inlineStr">
        <is>
          <t>4.13</t>
        </is>
      </c>
      <c r="H137" s="12" t="inlineStr"/>
      <c r="I137" s="17" t="n"/>
      <c r="J137" s="17" t="n"/>
    </row>
    <row r="138">
      <c r="A138" s="12" t="inlineStr">
        <is>
          <t>Leads</t>
        </is>
      </c>
      <c r="B138" s="12" t="inlineStr">
        <is>
          <t>I-09</t>
        </is>
      </c>
      <c r="C138" s="12" t="inlineStr">
        <is>
          <t>Intake</t>
        </is>
      </c>
      <c r="D138" s="14" t="inlineStr">
        <is>
          <t>Leads fed from Qanvast</t>
        </is>
      </c>
      <c r="E138" s="14" t="inlineStr">
        <is>
          <t>2.0 only</t>
        </is>
      </c>
      <c r="F138" s="12" t="inlineStr">
        <is>
          <t>1.0 had no Qanvast feed</t>
        </is>
      </c>
      <c r="G138" s="12" t="inlineStr">
        <is>
          <t>4.15</t>
        </is>
      </c>
      <c r="H138" s="12" t="inlineStr"/>
      <c r="I138" s="17" t="n"/>
      <c r="J138" s="17" t="n"/>
    </row>
    <row r="139">
      <c r="A139" s="12" t="inlineStr">
        <is>
          <t>Leads</t>
        </is>
      </c>
      <c r="B139" s="12" t="inlineStr">
        <is>
          <t>I-10</t>
        </is>
      </c>
      <c r="C139" s="12" t="inlineStr">
        <is>
          <t>Intake</t>
        </is>
      </c>
      <c r="D139" s="14" t="inlineStr">
        <is>
          <t>Connect Gmail for portal emails</t>
        </is>
      </c>
      <c r="E139" s="14" t="inlineStr">
        <is>
          <t>Built in parity round 6</t>
        </is>
      </c>
      <c r="F139" s="12" t="inlineStr">
        <is>
          <t>A stand-in inbox; Sync now plays a sample enquiry</t>
        </is>
      </c>
      <c r="G139" s="12" t="inlineStr">
        <is>
          <t>4.14</t>
        </is>
      </c>
      <c r="H139" s="12" t="inlineStr"/>
      <c r="I139" s="17" t="n"/>
      <c r="J139" s="17" t="n"/>
    </row>
    <row r="140">
      <c r="A140" s="12" t="inlineStr">
        <is>
          <t>Leads</t>
        </is>
      </c>
      <c r="B140" s="12" t="inlineStr">
        <is>
          <t>I-11</t>
        </is>
      </c>
      <c r="C140" s="12" t="inlineStr">
        <is>
          <t>Intake</t>
        </is>
      </c>
      <c r="D140" s="14" t="inlineStr">
        <is>
          <t>Email polling every minute</t>
        </is>
      </c>
      <c r="E140" s="14" t="inlineStr">
        <is>
          <t>Platform</t>
        </is>
      </c>
      <c r="F140" s="12" t="inlineStr">
        <is>
          <t>Real polling is the platform's</t>
        </is>
      </c>
      <c r="G140" s="12" t="inlineStr">
        <is>
          <t>4.14</t>
        </is>
      </c>
      <c r="H140" s="12" t="inlineStr"/>
      <c r="I140" s="17" t="n"/>
      <c r="J140" s="17" t="n"/>
    </row>
    <row r="141">
      <c r="A141" s="12" t="inlineStr">
        <is>
          <t>Leads</t>
        </is>
      </c>
      <c r="B141" s="12" t="inlineStr">
        <is>
          <t>I-12</t>
        </is>
      </c>
      <c r="C141" s="12" t="inlineStr">
        <is>
          <t>Intake</t>
        </is>
      </c>
      <c r="D141" s="14" t="inlineStr">
        <is>
          <t>Sync now</t>
        </is>
      </c>
      <c r="E141" s="14" t="inlineStr">
        <is>
          <t>Built</t>
        </is>
      </c>
      <c r="F141" s="12" t="inlineStr"/>
      <c r="G141" s="12" t="inlineStr">
        <is>
          <t>4.14</t>
        </is>
      </c>
      <c r="H141" s="12" t="inlineStr"/>
      <c r="I141" s="17" t="n"/>
      <c r="J141" s="17" t="n"/>
    </row>
    <row r="142">
      <c r="A142" s="12" t="inlineStr">
        <is>
          <t>Leads</t>
        </is>
      </c>
      <c r="B142" s="12" t="inlineStr">
        <is>
          <t>I-13</t>
        </is>
      </c>
      <c r="C142" s="12" t="inlineStr">
        <is>
          <t>Intake</t>
        </is>
      </c>
      <c r="D142" s="14" t="inlineStr">
        <is>
          <t>Source chips</t>
        </is>
      </c>
      <c r="E142" s="14" t="inlineStr">
        <is>
          <t>Built</t>
        </is>
      </c>
      <c r="F142" s="12" t="inlineStr"/>
      <c r="G142" s="12" t="inlineStr">
        <is>
          <t>4.14, 4.15</t>
        </is>
      </c>
      <c r="H142" s="12" t="inlineStr"/>
      <c r="I142" s="17" t="n"/>
      <c r="J142" s="17" t="n"/>
    </row>
    <row r="143">
      <c r="A143" s="12" t="inlineStr">
        <is>
          <t>Leads</t>
        </is>
      </c>
      <c r="B143" s="12" t="inlineStr">
        <is>
          <t>I-14</t>
        </is>
      </c>
      <c r="C143" s="12" t="inlineStr">
        <is>
          <t>Intake</t>
        </is>
      </c>
      <c r="D143" s="14" t="inlineStr">
        <is>
          <t>Assign everything the board shows</t>
        </is>
      </c>
      <c r="E143" s="14" t="inlineStr">
        <is>
          <t>Built in parity round 4</t>
        </is>
      </c>
      <c r="F143" s="12" t="inlineStr">
        <is>
          <t>Select rows, then Assign; no filter-wide 'Assign n'</t>
        </is>
      </c>
      <c r="G143" s="12" t="inlineStr">
        <is>
          <t>4.18</t>
        </is>
      </c>
      <c r="H143" s="12" t="inlineStr"/>
      <c r="I143" s="17" t="n"/>
      <c r="J143" s="17" t="n"/>
    </row>
    <row r="144">
      <c r="A144" s="12" t="inlineStr">
        <is>
          <t>Leads</t>
        </is>
      </c>
      <c r="B144" s="12" t="inlineStr">
        <is>
          <t>I-15</t>
        </is>
      </c>
      <c r="C144" s="12" t="inlineStr">
        <is>
          <t>Intake</t>
        </is>
      </c>
      <c r="D144" s="14" t="inlineStr">
        <is>
          <t>Tick several leads with a bulk bar</t>
        </is>
      </c>
      <c r="E144" s="14" t="inlineStr">
        <is>
          <t>Built in parity round 4</t>
        </is>
      </c>
      <c r="F144" s="12" t="inlineStr"/>
      <c r="G144" s="12" t="inlineStr">
        <is>
          <t>4.18</t>
        </is>
      </c>
      <c r="H144" s="12" t="inlineStr"/>
      <c r="I144" s="17" t="n"/>
      <c r="J144" s="17" t="n"/>
    </row>
    <row r="145">
      <c r="A145" s="12" t="inlineStr">
        <is>
          <t>Leads</t>
        </is>
      </c>
      <c r="B145" s="12" t="inlineStr">
        <is>
          <t>I-16</t>
        </is>
      </c>
      <c r="C145" s="12" t="inlineStr">
        <is>
          <t>Intake</t>
        </is>
      </c>
      <c r="D145" s="14" t="inlineStr">
        <is>
          <t>Bulk assign rules</t>
        </is>
      </c>
      <c r="E145" s="14" t="inlineStr">
        <is>
          <t>Built in parity round 4</t>
        </is>
      </c>
      <c r="F145" s="12" t="inlineStr">
        <is>
          <t>Adds members and notifies them; never replaces (Q-31)</t>
        </is>
      </c>
      <c r="G145" s="12" t="inlineStr">
        <is>
          <t>4.18</t>
        </is>
      </c>
      <c r="H145" s="12" t="inlineStr"/>
      <c r="I145" s="17" t="n"/>
      <c r="J145" s="17" t="n"/>
    </row>
    <row r="146">
      <c r="A146" s="12" t="inlineStr">
        <is>
          <t>Leads</t>
        </is>
      </c>
      <c r="B146" s="12" t="inlineStr">
        <is>
          <t>I-17</t>
        </is>
      </c>
      <c r="C146" s="12" t="inlineStr">
        <is>
          <t>Intake</t>
        </is>
      </c>
      <c r="D146" s="14" t="inlineStr">
        <is>
          <t>Archive, revive, blockers and cascade</t>
        </is>
      </c>
      <c r="E146" s="14" t="inlineStr">
        <is>
          <t>Excluded</t>
        </is>
      </c>
      <c r="F146" s="12" t="inlineStr">
        <is>
          <t>Archive excluded; Delete warns about live signing links (Q-04)</t>
        </is>
      </c>
      <c r="G146" s="12" t="inlineStr">
        <is>
          <t>9.14</t>
        </is>
      </c>
      <c r="H146" s="12" t="inlineStr"/>
      <c r="I146" s="17" t="n"/>
      <c r="J146" s="17" t="n"/>
    </row>
    <row r="147">
      <c r="A147" s="12" t="inlineStr">
        <is>
          <t>Leads</t>
        </is>
      </c>
      <c r="B147" s="12" t="inlineStr">
        <is>
          <t>I-18</t>
        </is>
      </c>
      <c r="C147" s="12" t="inlineStr">
        <is>
          <t>Intake</t>
        </is>
      </c>
      <c r="D147" s="14" t="inlineStr">
        <is>
          <t>Import history</t>
        </is>
      </c>
      <c r="E147" s="14" t="inlineStr">
        <is>
          <t>2.0 only</t>
        </is>
      </c>
      <c r="F147" s="12" t="inlineStr">
        <is>
          <t>No 1.0 counterpart</t>
        </is>
      </c>
      <c r="G147" s="12" t="inlineStr">
        <is>
          <t>4.08</t>
        </is>
      </c>
      <c r="H147" s="12" t="inlineStr"/>
      <c r="I147" s="17" t="n"/>
      <c r="J147" s="17" t="n"/>
    </row>
    <row r="148">
      <c r="A148" s="12" t="inlineStr">
        <is>
          <t>Leads</t>
        </is>
      </c>
      <c r="B148" s="12" t="inlineStr">
        <is>
          <t>R-01</t>
        </is>
      </c>
      <c r="C148" s="12" t="inlineStr">
        <is>
          <t>Reports</t>
        </is>
      </c>
      <c r="D148" s="14" t="inlineStr">
        <is>
          <t>Performance view with turnaround times</t>
        </is>
      </c>
      <c r="E148" s="14" t="inlineStr">
        <is>
          <t>Built in parity round 5</t>
        </is>
      </c>
      <c r="F148" s="12" t="inlineStr"/>
      <c r="G148" s="12" t="inlineStr">
        <is>
          <t>11.08</t>
        </is>
      </c>
      <c r="H148" s="12" t="inlineStr"/>
      <c r="I148" s="17" t="n"/>
      <c r="J148" s="17" t="n"/>
    </row>
    <row r="149">
      <c r="A149" s="12" t="inlineStr">
        <is>
          <t>Leads</t>
        </is>
      </c>
      <c r="B149" s="12" t="inlineStr">
        <is>
          <t>R-02</t>
        </is>
      </c>
      <c r="C149" s="12" t="inlineStr">
        <is>
          <t>Reports</t>
        </is>
      </c>
      <c r="D149" s="14" t="inlineStr">
        <is>
          <t>Turnaround time stamps</t>
        </is>
      </c>
      <c r="E149" s="14" t="inlineStr">
        <is>
          <t>Built in parity round 5</t>
        </is>
      </c>
      <c r="F149" s="12" t="inlineStr">
        <is>
          <t>Worked out from records, not stamped</t>
        </is>
      </c>
      <c r="G149" s="12" t="inlineStr">
        <is>
          <t>5.21, 11.08</t>
        </is>
      </c>
      <c r="H149" s="12" t="inlineStr"/>
      <c r="I149" s="17" t="n"/>
      <c r="J149" s="17" t="n"/>
    </row>
    <row r="150">
      <c r="A150" s="12" t="inlineStr">
        <is>
          <t>Leads</t>
        </is>
      </c>
      <c r="B150" s="12" t="inlineStr">
        <is>
          <t>R-03</t>
        </is>
      </c>
      <c r="C150" s="12" t="inlineStr">
        <is>
          <t>Reports</t>
        </is>
      </c>
      <c r="D150" s="14" t="inlineStr">
        <is>
          <t>Response time on each lead</t>
        </is>
      </c>
      <c r="E150" s="14" t="inlineStr">
        <is>
          <t>Built in parity round 5</t>
        </is>
      </c>
      <c r="F150" s="12" t="inlineStr"/>
      <c r="G150" s="12" t="inlineStr">
        <is>
          <t>5.21, 11.09</t>
        </is>
      </c>
      <c r="H150" s="12" t="inlineStr"/>
      <c r="I150" s="17" t="n"/>
      <c r="J150" s="17" t="n"/>
    </row>
    <row r="151">
      <c r="A151" s="12" t="inlineStr">
        <is>
          <t>Leads</t>
        </is>
      </c>
      <c r="B151" s="12" t="inlineStr">
        <is>
          <t>R-04</t>
        </is>
      </c>
      <c r="C151" s="12" t="inlineStr">
        <is>
          <t>Reports</t>
        </is>
      </c>
      <c r="D151" s="14" t="inlineStr">
        <is>
          <t>Checklist before converting to a project</t>
        </is>
      </c>
      <c r="E151" s="14" t="inlineStr">
        <is>
          <t>Built</t>
        </is>
      </c>
      <c r="F151" s="12" t="inlineStr"/>
      <c r="G151" s="12" t="inlineStr">
        <is>
          <t>5.03, 9.02, 9.03, 9.04</t>
        </is>
      </c>
      <c r="H151" s="12" t="inlineStr"/>
      <c r="I151" s="17" t="n"/>
      <c r="J151" s="17" t="n"/>
    </row>
    <row r="152">
      <c r="A152" s="12" t="inlineStr">
        <is>
          <t>Leads</t>
        </is>
      </c>
      <c r="B152" s="12" t="inlineStr">
        <is>
          <t>R-05</t>
        </is>
      </c>
      <c r="C152" s="12" t="inlineStr">
        <is>
          <t>Reports</t>
        </is>
      </c>
      <c r="D152" s="14" t="inlineStr">
        <is>
          <t>Dashboard lead widgets</t>
        </is>
      </c>
      <c r="E152" s="14" t="inlineStr">
        <is>
          <t>Built</t>
        </is>
      </c>
      <c r="F152" s="12" t="inlineStr">
        <is>
          <t>/dashboard: a Leads tile and lead rows in Needs you (S22)</t>
        </is>
      </c>
      <c r="G152" s="12" t="inlineStr"/>
      <c r="H152" s="28" t="inlineStr">
        <is>
          <t>Team check</t>
        </is>
      </c>
      <c r="I152" s="17" t="n"/>
      <c r="J152" s="17" t="n"/>
    </row>
    <row r="153">
      <c r="A153" s="12" t="inlineStr">
        <is>
          <t>Leads</t>
        </is>
      </c>
      <c r="B153" s="12" t="inlineStr">
        <is>
          <t>D-01</t>
        </is>
      </c>
      <c r="C153" s="12" t="inlineStr">
        <is>
          <t>Lead detail</t>
        </is>
      </c>
      <c r="D153" s="14" t="inlineStr">
        <is>
          <t>Lead drawer and links</t>
        </is>
      </c>
      <c r="E153" s="14" t="inlineStr">
        <is>
          <t>Built</t>
        </is>
      </c>
      <c r="F153" s="12" t="inlineStr"/>
      <c r="G153" s="12" t="inlineStr">
        <is>
          <t>5.01</t>
        </is>
      </c>
      <c r="H153" s="12" t="inlineStr"/>
      <c r="I153" s="17" t="n"/>
      <c r="J153" s="17" t="n"/>
    </row>
    <row r="154">
      <c r="A154" s="12" t="inlineStr">
        <is>
          <t>Leads</t>
        </is>
      </c>
      <c r="B154" s="12" t="inlineStr">
        <is>
          <t>D-02</t>
        </is>
      </c>
      <c r="C154" s="12" t="inlineStr">
        <is>
          <t>Lead detail</t>
        </is>
      </c>
      <c r="D154" s="14" t="inlineStr">
        <is>
          <t>First-time tip on the lead</t>
        </is>
      </c>
      <c r="E154" s="14" t="inlineStr">
        <is>
          <t>Built</t>
        </is>
      </c>
      <c r="F154" s="12" t="inlineStr"/>
      <c r="G154" s="12" t="inlineStr"/>
      <c r="H154" s="28" t="inlineStr">
        <is>
          <t>Team check</t>
        </is>
      </c>
      <c r="I154" s="17" t="n"/>
      <c r="J154" s="17" t="n"/>
    </row>
    <row r="155">
      <c r="A155" s="12" t="inlineStr">
        <is>
          <t>Leads</t>
        </is>
      </c>
      <c r="B155" s="12" t="inlineStr">
        <is>
          <t>D-03</t>
        </is>
      </c>
      <c r="C155" s="12" t="inlineStr">
        <is>
          <t>Lead detail</t>
        </is>
      </c>
      <c r="D155" s="14" t="inlineStr">
        <is>
          <t>Tool turned off for the studio</t>
        </is>
      </c>
      <c r="E155" s="14" t="inlineStr">
        <is>
          <t>Platform</t>
        </is>
      </c>
      <c r="F155" s="12" t="inlineStr">
        <is>
          <t>Platform switch not built; OpenMaison can close only the client portal (P-F)</t>
        </is>
      </c>
      <c r="G155" s="12" t="inlineStr"/>
      <c r="H155" s="12" t="inlineStr"/>
      <c r="I155" s="17" t="n"/>
      <c r="J155" s="17" t="n"/>
    </row>
    <row r="156">
      <c r="A156" s="12" t="inlineStr">
        <is>
          <t>Leads</t>
        </is>
      </c>
      <c r="B156" s="12" t="inlineStr">
        <is>
          <t>D-04</t>
        </is>
      </c>
      <c r="C156" s="12" t="inlineStr">
        <is>
          <t>Lead detail</t>
        </is>
      </c>
      <c r="D156" s="14" t="inlineStr">
        <is>
          <t>Name, status and chips at the top</t>
        </is>
      </c>
      <c r="E156" s="14" t="inlineStr">
        <is>
          <t>Built</t>
        </is>
      </c>
      <c r="F156" s="12" t="inlineStr"/>
      <c r="G156" s="12" t="inlineStr">
        <is>
          <t>5.01</t>
        </is>
      </c>
      <c r="H156" s="12" t="inlineStr"/>
      <c r="I156" s="17" t="n"/>
      <c r="J156" s="17" t="n"/>
    </row>
    <row r="157">
      <c r="A157" s="12" t="inlineStr">
        <is>
          <t>Leads</t>
        </is>
      </c>
      <c r="B157" s="12" t="inlineStr">
        <is>
          <t>D-05</t>
        </is>
      </c>
      <c r="C157" s="12" t="inlineStr">
        <is>
          <t>Lead detail</t>
        </is>
      </c>
      <c r="D157" s="14" t="inlineStr">
        <is>
          <t>WhatsApp, live meeting, view size, more</t>
        </is>
      </c>
      <c r="E157" s="14" t="inlineStr">
        <is>
          <t>Built</t>
        </is>
      </c>
      <c r="F157" s="12" t="inlineStr"/>
      <c r="G157" s="12" t="inlineStr"/>
      <c r="H157" s="28" t="inlineStr">
        <is>
          <t>Team check</t>
        </is>
      </c>
      <c r="I157" s="17" t="n"/>
      <c r="J157" s="17" t="n"/>
    </row>
    <row r="158">
      <c r="A158" s="12" t="inlineStr">
        <is>
          <t>Leads</t>
        </is>
      </c>
      <c r="B158" s="12" t="inlineStr">
        <is>
          <t>D-06</t>
        </is>
      </c>
      <c r="C158" s="12" t="inlineStr">
        <is>
          <t>Lead detail</t>
        </is>
      </c>
      <c r="D158" s="14" t="inlineStr">
        <is>
          <t>Lead menu: edit, archive, return, activity</t>
        </is>
      </c>
      <c r="E158" s="14" t="inlineStr">
        <is>
          <t>Built</t>
        </is>
      </c>
      <c r="F158" s="12" t="inlineStr"/>
      <c r="G158" s="12" t="inlineStr">
        <is>
          <t>4.15, 9.13</t>
        </is>
      </c>
      <c r="H158" s="12" t="inlineStr"/>
      <c r="I158" s="17" t="n"/>
      <c r="J158" s="17" t="n"/>
    </row>
    <row r="159">
      <c r="A159" s="12" t="inlineStr">
        <is>
          <t>Leads</t>
        </is>
      </c>
      <c r="B159" s="12" t="inlineStr">
        <is>
          <t>D-07</t>
        </is>
      </c>
      <c r="C159" s="12" t="inlineStr">
        <is>
          <t>Lead detail</t>
        </is>
      </c>
      <c r="D159" s="14" t="inlineStr">
        <is>
          <t>Needs-attention and duplicate callouts</t>
        </is>
      </c>
      <c r="E159" s="14" t="inlineStr">
        <is>
          <t>Built</t>
        </is>
      </c>
      <c r="F159" s="12" t="inlineStr"/>
      <c r="G159" s="12" t="inlineStr">
        <is>
          <t>4.10</t>
        </is>
      </c>
      <c r="H159" s="12" t="inlineStr"/>
      <c r="I159" s="17" t="n"/>
      <c r="J159" s="17" t="n"/>
    </row>
    <row r="160">
      <c r="A160" s="12" t="inlineStr">
        <is>
          <t>Leads</t>
        </is>
      </c>
      <c r="B160" s="12" t="inlineStr">
        <is>
          <t>D-08</t>
        </is>
      </c>
      <c r="C160" s="12" t="inlineStr">
        <is>
          <t>Lead detail</t>
        </is>
      </c>
      <c r="D160" s="14" t="inlineStr">
        <is>
          <t>Commission pending callout</t>
        </is>
      </c>
      <c r="E160" s="14" t="inlineStr">
        <is>
          <t>Not built — by design</t>
        </is>
      </c>
      <c r="F160" s="12" t="inlineStr">
        <is>
          <t>Projects have no Draft gate; commission lives in Company › Finance › Commission</t>
        </is>
      </c>
      <c r="G160" s="12" t="inlineStr"/>
      <c r="H160" s="12" t="inlineStr"/>
      <c r="I160" s="17" t="n"/>
      <c r="J160" s="17" t="n"/>
    </row>
    <row r="161">
      <c r="A161" s="12" t="inlineStr">
        <is>
          <t>Leads</t>
        </is>
      </c>
      <c r="B161" s="12" t="inlineStr">
        <is>
          <t>D-09</t>
        </is>
      </c>
      <c r="C161" s="12" t="inlineStr">
        <is>
          <t>Lead detail</t>
        </is>
      </c>
      <c r="D161" s="14" t="inlineStr">
        <is>
          <t>Remarks shown on the lead</t>
        </is>
      </c>
      <c r="E161" s="14" t="inlineStr">
        <is>
          <t>Built</t>
        </is>
      </c>
      <c r="F161" s="12" t="inlineStr"/>
      <c r="G161" s="12" t="inlineStr">
        <is>
          <t>5.02</t>
        </is>
      </c>
      <c r="H161" s="12" t="inlineStr"/>
      <c r="I161" s="17" t="n"/>
      <c r="J161" s="17" t="n"/>
    </row>
    <row r="162">
      <c r="A162" s="12" t="inlineStr">
        <is>
          <t>Leads</t>
        </is>
      </c>
      <c r="B162" s="12" t="inlineStr">
        <is>
          <t>D-10</t>
        </is>
      </c>
      <c r="C162" s="12" t="inlineStr">
        <is>
          <t>Lead detail</t>
        </is>
      </c>
      <c r="D162" s="14" t="inlineStr">
        <is>
          <t>Response time card</t>
        </is>
      </c>
      <c r="E162" s="14" t="inlineStr">
        <is>
          <t>Built in parity round 5</t>
        </is>
      </c>
      <c r="F162" s="12" t="inlineStr"/>
      <c r="G162" s="12" t="inlineStr">
        <is>
          <t>5.21</t>
        </is>
      </c>
      <c r="H162" s="12" t="inlineStr"/>
      <c r="I162" s="17" t="n"/>
      <c r="J162" s="17" t="n"/>
    </row>
    <row r="163">
      <c r="A163" s="12" t="inlineStr">
        <is>
          <t>Leads</t>
        </is>
      </c>
      <c r="B163" s="12" t="inlineStr">
        <is>
          <t>D-11</t>
        </is>
      </c>
      <c r="C163" s="12" t="inlineStr">
        <is>
          <t>Lead detail</t>
        </is>
      </c>
      <c r="D163" s="14" t="inlineStr">
        <is>
          <t>Meeting intelligence and briefs</t>
        </is>
      </c>
      <c r="E163" s="14" t="inlineStr">
        <is>
          <t>Built</t>
        </is>
      </c>
      <c r="F163" s="12" t="inlineStr">
        <is>
          <t>The lead's Meetings tab: the co-pilot and its brief, by rule (S23)</t>
        </is>
      </c>
      <c r="G163" s="12" t="inlineStr"/>
      <c r="H163" s="28" t="inlineStr">
        <is>
          <t>Team check</t>
        </is>
      </c>
      <c r="I163" s="17" t="n"/>
      <c r="J163" s="17" t="n"/>
    </row>
    <row r="164">
      <c r="A164" s="12" t="inlineStr">
        <is>
          <t>Leads</t>
        </is>
      </c>
      <c r="B164" s="12" t="inlineStr">
        <is>
          <t>D-12</t>
        </is>
      </c>
      <c r="C164" s="12" t="inlineStr">
        <is>
          <t>Lead detail</t>
        </is>
      </c>
      <c r="D164" s="14" t="inlineStr">
        <is>
          <t>Autosave of the whole drawer</t>
        </is>
      </c>
      <c r="E164" s="14" t="inlineStr">
        <is>
          <t>Built</t>
        </is>
      </c>
      <c r="F164" s="12" t="inlineStr"/>
      <c r="G164" s="12" t="inlineStr">
        <is>
          <t>5.06</t>
        </is>
      </c>
      <c r="H164" s="12" t="inlineStr"/>
      <c r="I164" s="17" t="n"/>
      <c r="J164" s="17" t="n"/>
    </row>
    <row r="165">
      <c r="A165" s="12" t="inlineStr">
        <is>
          <t>Leads</t>
        </is>
      </c>
      <c r="B165" s="12" t="inlineStr">
        <is>
          <t>D-13</t>
        </is>
      </c>
      <c r="C165" s="12" t="inlineStr">
        <is>
          <t>Lead detail</t>
        </is>
      </c>
      <c r="D165" s="14" t="inlineStr">
        <is>
          <t>Checks before a status move</t>
        </is>
      </c>
      <c r="E165" s="14" t="inlineStr">
        <is>
          <t>Built</t>
        </is>
      </c>
      <c r="F165" s="12" t="inlineStr"/>
      <c r="G165" s="12" t="inlineStr">
        <is>
          <t>5.07</t>
        </is>
      </c>
      <c r="H165" s="12" t="inlineStr"/>
      <c r="I165" s="17" t="n"/>
      <c r="J165" s="17" t="n"/>
    </row>
    <row r="166">
      <c r="A166" s="12" t="inlineStr">
        <is>
          <t>Leads</t>
        </is>
      </c>
      <c r="B166" s="12" t="inlineStr">
        <is>
          <t>D-14</t>
        </is>
      </c>
      <c r="C166" s="12" t="inlineStr">
        <is>
          <t>Lead detail</t>
        </is>
      </c>
      <c r="D166" s="14" t="inlineStr">
        <is>
          <t>Side effects of a move: tasks cancelled or reassigned</t>
        </is>
      </c>
      <c r="E166" s="14" t="inlineStr">
        <is>
          <t>Not built — by design</t>
        </is>
      </c>
      <c r="F166" s="12" t="inlineStr">
        <is>
          <t>Lost keeps tasks; tasks keep their members (Q-29, Q-32)</t>
        </is>
      </c>
      <c r="G166" s="12" t="inlineStr">
        <is>
          <t>5.08</t>
        </is>
      </c>
      <c r="H166" s="12" t="inlineStr"/>
      <c r="I166" s="17" t="n"/>
      <c r="J166" s="17" t="n"/>
    </row>
    <row r="167">
      <c r="A167" s="12" t="inlineStr">
        <is>
          <t>Leads</t>
        </is>
      </c>
      <c r="B167" s="12" t="inlineStr">
        <is>
          <t>D-15</t>
        </is>
      </c>
      <c r="C167" s="12" t="inlineStr">
        <is>
          <t>Lead detail</t>
        </is>
      </c>
      <c r="D167" s="14" t="inlineStr">
        <is>
          <t>Undo after 'Lead moved to Closed'</t>
        </is>
      </c>
      <c r="E167" s="14" t="inlineStr">
        <is>
          <t>Built in parity round 1</t>
        </is>
      </c>
      <c r="F167" s="12" t="inlineStr"/>
      <c r="G167" s="12" t="inlineStr">
        <is>
          <t>9.09</t>
        </is>
      </c>
      <c r="H167" s="12" t="inlineStr"/>
      <c r="I167" s="17" t="n"/>
      <c r="J167" s="17" t="n"/>
    </row>
    <row r="168">
      <c r="A168" s="12" t="inlineStr">
        <is>
          <t>Leads</t>
        </is>
      </c>
      <c r="B168" s="12" t="inlineStr">
        <is>
          <t>D-16</t>
        </is>
      </c>
      <c r="C168" s="12" t="inlineStr">
        <is>
          <t>Lead detail</t>
        </is>
      </c>
      <c r="D168" s="14" t="inlineStr">
        <is>
          <t>Create Project opens on Signed</t>
        </is>
      </c>
      <c r="E168" s="14" t="inlineStr">
        <is>
          <t>Built</t>
        </is>
      </c>
      <c r="F168" s="12" t="inlineStr">
        <is>
          <t>Convert to Project opens the Won step, which creates the project (Projects build)</t>
        </is>
      </c>
      <c r="G168" s="12" t="inlineStr">
        <is>
          <t>9.04</t>
        </is>
      </c>
      <c r="H168" s="12" t="inlineStr"/>
      <c r="I168" s="17" t="n"/>
      <c r="J168" s="17" t="n"/>
    </row>
    <row r="169">
      <c r="A169" s="12" t="inlineStr">
        <is>
          <t>Leads</t>
        </is>
      </c>
      <c r="B169" s="12" t="inlineStr">
        <is>
          <t>D-17</t>
        </is>
      </c>
      <c r="C169" s="12" t="inlineStr">
        <is>
          <t>Lead detail</t>
        </is>
      </c>
      <c r="D169" s="14" t="inlineStr">
        <is>
          <t>Contact details: call, email, copy</t>
        </is>
      </c>
      <c r="E169" s="14" t="inlineStr">
        <is>
          <t>Built</t>
        </is>
      </c>
      <c r="F169" s="12" t="inlineStr"/>
      <c r="G169" s="12" t="inlineStr">
        <is>
          <t>5.02</t>
        </is>
      </c>
      <c r="H169" s="12" t="inlineStr"/>
      <c r="I169" s="17" t="n"/>
      <c r="J169" s="17" t="n"/>
    </row>
    <row r="170">
      <c r="A170" s="12" t="inlineStr">
        <is>
          <t>Leads</t>
        </is>
      </c>
      <c r="B170" s="12" t="inlineStr">
        <is>
          <t>D-18</t>
        </is>
      </c>
      <c r="C170" s="12" t="inlineStr">
        <is>
          <t>Lead detail</t>
        </is>
      </c>
      <c r="D170" s="14" t="inlineStr">
        <is>
          <t>Invite to Portal</t>
        </is>
      </c>
      <c r="E170" s="14" t="inlineStr">
        <is>
          <t>Built in parity round 3</t>
        </is>
      </c>
      <c r="F170" s="12" t="inlineStr"/>
      <c r="G170" s="12" t="inlineStr">
        <is>
          <t>9.13</t>
        </is>
      </c>
      <c r="H170" s="12" t="inlineStr"/>
      <c r="I170" s="17" t="n"/>
      <c r="J170" s="17" t="n"/>
    </row>
    <row r="171">
      <c r="A171" s="12" t="inlineStr">
        <is>
          <t>Leads</t>
        </is>
      </c>
      <c r="B171" s="12" t="inlineStr">
        <is>
          <t>D-19</t>
        </is>
      </c>
      <c r="C171" s="12" t="inlineStr">
        <is>
          <t>Lead detail</t>
        </is>
      </c>
      <c r="D171" s="14" t="inlineStr">
        <is>
          <t>Budget, property and area tiles</t>
        </is>
      </c>
      <c r="E171" s="14" t="inlineStr">
        <is>
          <t>Built</t>
        </is>
      </c>
      <c r="F171" s="12" t="inlineStr"/>
      <c r="G171" s="12" t="inlineStr">
        <is>
          <t>5.02</t>
        </is>
      </c>
      <c r="H171" s="12" t="inlineStr"/>
      <c r="I171" s="17" t="n"/>
      <c r="J171" s="17" t="n"/>
    </row>
    <row r="172">
      <c r="A172" s="12" t="inlineStr">
        <is>
          <t>Leads</t>
        </is>
      </c>
      <c r="B172" s="12" t="inlineStr">
        <is>
          <t>D-20</t>
        </is>
      </c>
      <c r="C172" s="12" t="inlineStr">
        <is>
          <t>Lead detail</t>
        </is>
      </c>
      <c r="D172" s="14" t="inlineStr">
        <is>
          <t>Property info</t>
        </is>
      </c>
      <c r="E172" s="14" t="inlineStr">
        <is>
          <t>Built</t>
        </is>
      </c>
      <c r="F172" s="12" t="inlineStr"/>
      <c r="G172" s="12" t="inlineStr">
        <is>
          <t>5.02</t>
        </is>
      </c>
      <c r="H172" s="12" t="inlineStr"/>
      <c r="I172" s="17" t="n"/>
      <c r="J172" s="17" t="n"/>
    </row>
    <row r="173">
      <c r="A173" s="12" t="inlineStr">
        <is>
          <t>Leads</t>
        </is>
      </c>
      <c r="B173" s="12" t="inlineStr">
        <is>
          <t>D-21</t>
        </is>
      </c>
      <c r="C173" s="12" t="inlineStr">
        <is>
          <t>Lead detail</t>
        </is>
      </c>
      <c r="D173" s="14" t="inlineStr">
        <is>
          <t>Remarks and additional info</t>
        </is>
      </c>
      <c r="E173" s="14" t="inlineStr">
        <is>
          <t>Built</t>
        </is>
      </c>
      <c r="F173" s="12" t="inlineStr"/>
      <c r="G173" s="12" t="inlineStr">
        <is>
          <t>5.02</t>
        </is>
      </c>
      <c r="H173" s="12" t="inlineStr"/>
      <c r="I173" s="17" t="n"/>
      <c r="J173" s="17" t="n"/>
    </row>
    <row r="174">
      <c r="A174" s="12" t="inlineStr">
        <is>
          <t>Leads</t>
        </is>
      </c>
      <c r="B174" s="12" t="inlineStr">
        <is>
          <t>D-22</t>
        </is>
      </c>
      <c r="C174" s="12" t="inlineStr">
        <is>
          <t>Lead detail</t>
        </is>
      </c>
      <c r="D174" s="14" t="inlineStr">
        <is>
          <t>IC / NRIC, Customer ID, quote valid until</t>
        </is>
      </c>
      <c r="E174" s="14" t="inlineStr">
        <is>
          <t>Built in parity round 1</t>
        </is>
      </c>
      <c r="F174" s="12" t="inlineStr">
        <is>
          <t>Quote valid-until stays on each quote</t>
        </is>
      </c>
      <c r="G174" s="12" t="inlineStr">
        <is>
          <t>5.06</t>
        </is>
      </c>
      <c r="H174" s="12" t="inlineStr"/>
      <c r="I174" s="17" t="n"/>
      <c r="J174" s="17" t="n"/>
    </row>
    <row r="175">
      <c r="A175" s="12" t="inlineStr">
        <is>
          <t>Leads</t>
        </is>
      </c>
      <c r="B175" s="12" t="inlineStr">
        <is>
          <t>D-23</t>
        </is>
      </c>
      <c r="C175" s="12" t="inlineStr">
        <is>
          <t>Lead detail</t>
        </is>
      </c>
      <c r="D175" s="14" t="inlineStr">
        <is>
          <t>Custom fields on the lead</t>
        </is>
      </c>
      <c r="E175" s="14" t="inlineStr">
        <is>
          <t>Built in parity round 6</t>
        </is>
      </c>
      <c r="F175" s="12" t="inlineStr"/>
      <c r="G175" s="12" t="inlineStr"/>
      <c r="H175" s="28" t="inlineStr">
        <is>
          <t>Team check</t>
        </is>
      </c>
      <c r="I175" s="17" t="n"/>
      <c r="J175" s="17" t="n"/>
    </row>
    <row r="176">
      <c r="A176" s="12" t="inlineStr">
        <is>
          <t>Leads</t>
        </is>
      </c>
      <c r="B176" s="12" t="inlineStr">
        <is>
          <t>D-24</t>
        </is>
      </c>
      <c r="C176" s="12" t="inlineStr">
        <is>
          <t>Lead detail</t>
        </is>
      </c>
      <c r="D176" s="14" t="inlineStr">
        <is>
          <t>Assigned designers with split and removal</t>
        </is>
      </c>
      <c r="E176" s="14" t="inlineStr">
        <is>
          <t>Built in parity round 7</t>
        </is>
      </c>
      <c r="F176" s="12" t="inlineStr">
        <is>
          <t>Removals now in Activity; commission shares set per project (F2)</t>
        </is>
      </c>
      <c r="G176" s="12" t="inlineStr">
        <is>
          <t>5.04</t>
        </is>
      </c>
      <c r="H176" s="12" t="inlineStr"/>
      <c r="I176" s="17" t="n"/>
      <c r="J176" s="17" t="n"/>
    </row>
    <row r="177">
      <c r="A177" s="12" t="inlineStr">
        <is>
          <t>Leads</t>
        </is>
      </c>
      <c r="B177" s="12" t="inlineStr">
        <is>
          <t>D-25</t>
        </is>
      </c>
      <c r="C177" s="12" t="inlineStr">
        <is>
          <t>Lead detail</t>
        </is>
      </c>
      <c r="D177" s="14" t="inlineStr">
        <is>
          <t>AI recommendation card</t>
        </is>
      </c>
      <c r="E177" s="14" t="inlineStr">
        <is>
          <t>Built in parity round 6</t>
        </is>
      </c>
      <c r="F177" s="12" t="inlineStr">
        <is>
          <t>Scored the 1.0 way, without AI</t>
        </is>
      </c>
      <c r="G177" s="12" t="inlineStr">
        <is>
          <t>5.04</t>
        </is>
      </c>
      <c r="H177" s="12" t="inlineStr"/>
      <c r="I177" s="17" t="n"/>
      <c r="J177" s="17" t="n"/>
    </row>
    <row r="178">
      <c r="A178" s="12" t="inlineStr">
        <is>
          <t>Leads</t>
        </is>
      </c>
      <c r="B178" s="12" t="inlineStr">
        <is>
          <t>D-26</t>
        </is>
      </c>
      <c r="C178" s="12" t="inlineStr">
        <is>
          <t>Lead detail</t>
        </is>
      </c>
      <c r="D178" s="14" t="inlineStr">
        <is>
          <t>Old notify-only assign route</t>
        </is>
      </c>
      <c r="E178" s="14" t="inlineStr">
        <is>
          <t>Dead</t>
        </is>
      </c>
      <c r="F178" s="12" t="inlineStr">
        <is>
          <t>No user could reach it</t>
        </is>
      </c>
      <c r="G178" s="12" t="inlineStr"/>
      <c r="H178" s="12" t="inlineStr"/>
      <c r="I178" s="17" t="n"/>
      <c r="J178" s="17" t="n"/>
    </row>
    <row r="179">
      <c r="A179" s="12" t="inlineStr">
        <is>
          <t>Leads</t>
        </is>
      </c>
      <c r="B179" s="12" t="inlineStr">
        <is>
          <t>D-27</t>
        </is>
      </c>
      <c r="C179" s="12" t="inlineStr">
        <is>
          <t>Lead detail</t>
        </is>
      </c>
      <c r="D179" s="14" t="inlineStr">
        <is>
          <t>Status and sub-status controls</t>
        </is>
      </c>
      <c r="E179" s="14" t="inlineStr">
        <is>
          <t>Built</t>
        </is>
      </c>
      <c r="F179" s="12" t="inlineStr"/>
      <c r="G179" s="12" t="inlineStr">
        <is>
          <t>5.19, 5.20, 12.06</t>
        </is>
      </c>
      <c r="H179" s="12" t="inlineStr"/>
      <c r="I179" s="17" t="n"/>
      <c r="J179" s="17" t="n"/>
    </row>
    <row r="180">
      <c r="A180" s="12" t="inlineStr">
        <is>
          <t>Leads</t>
        </is>
      </c>
      <c r="B180" s="12" t="inlineStr">
        <is>
          <t>D-28</t>
        </is>
      </c>
      <c r="C180" s="12" t="inlineStr">
        <is>
          <t>Lead detail</t>
        </is>
      </c>
      <c r="D180" s="14" t="inlineStr">
        <is>
          <t>Next follow-up with its task</t>
        </is>
      </c>
      <c r="E180" s="14" t="inlineStr">
        <is>
          <t>Built in parity round 2</t>
        </is>
      </c>
      <c r="F180" s="12" t="inlineStr"/>
      <c r="G180" s="12" t="inlineStr">
        <is>
          <t>5.05</t>
        </is>
      </c>
      <c r="H180" s="12" t="inlineStr"/>
      <c r="I180" s="17" t="n"/>
      <c r="J180" s="17" t="n"/>
    </row>
    <row r="181">
      <c r="A181" s="12" t="inlineStr">
        <is>
          <t>Leads</t>
        </is>
      </c>
      <c r="B181" s="12" t="inlineStr">
        <is>
          <t>D-29</t>
        </is>
      </c>
      <c r="C181" s="12" t="inlineStr">
        <is>
          <t>Lead detail</t>
        </is>
      </c>
      <c r="D181" s="14" t="inlineStr">
        <is>
          <t>Project type picker</t>
        </is>
      </c>
      <c r="E181" s="14" t="inlineStr">
        <is>
          <t>Not built — by design</t>
        </is>
      </c>
      <c r="F181" s="12" t="inlineStr">
        <is>
          <t>The Won step's three project types (Q-34)</t>
        </is>
      </c>
      <c r="G181" s="12" t="inlineStr">
        <is>
          <t>9.04</t>
        </is>
      </c>
      <c r="H181" s="12" t="inlineStr"/>
      <c r="I181" s="17" t="n"/>
      <c r="J181" s="17" t="n"/>
    </row>
    <row r="182">
      <c r="A182" s="12" t="inlineStr">
        <is>
          <t>Leads</t>
        </is>
      </c>
      <c r="B182" s="12" t="inlineStr">
        <is>
          <t>D-30</t>
        </is>
      </c>
      <c r="C182" s="12" t="inlineStr">
        <is>
          <t>Lead detail</t>
        </is>
      </c>
      <c r="D182" s="14" t="inlineStr">
        <is>
          <t>Contract block on the lead</t>
        </is>
      </c>
      <c r="E182" s="14" t="inlineStr">
        <is>
          <t>Built</t>
        </is>
      </c>
      <c r="F182" s="12" t="inlineStr"/>
      <c r="G182" s="12" t="inlineStr">
        <is>
          <t>9.02</t>
        </is>
      </c>
      <c r="H182" s="12" t="inlineStr"/>
      <c r="I182" s="17" t="n"/>
      <c r="J182" s="17" t="n"/>
    </row>
    <row r="183">
      <c r="A183" s="12" t="inlineStr">
        <is>
          <t>Leads</t>
        </is>
      </c>
      <c r="B183" s="12" t="inlineStr">
        <is>
          <t>D-31</t>
        </is>
      </c>
      <c r="C183" s="12" t="inlineStr">
        <is>
          <t>Lead detail</t>
        </is>
      </c>
      <c r="D183" s="14" t="inlineStr">
        <is>
          <t>Old status and follow-up routes</t>
        </is>
      </c>
      <c r="E183" s="14" t="inlineStr">
        <is>
          <t>Dead</t>
        </is>
      </c>
      <c r="F183" s="12" t="inlineStr">
        <is>
          <t>No user could reach them</t>
        </is>
      </c>
      <c r="G183" s="12" t="inlineStr"/>
      <c r="H183" s="12" t="inlineStr"/>
      <c r="I183" s="17" t="n"/>
      <c r="J183" s="17" t="n"/>
    </row>
    <row r="184">
      <c r="A184" s="12" t="inlineStr">
        <is>
          <t>Leads</t>
        </is>
      </c>
      <c r="B184" s="12" t="inlineStr">
        <is>
          <t>D-32</t>
        </is>
      </c>
      <c r="C184" s="12" t="inlineStr">
        <is>
          <t>Lead detail</t>
        </is>
      </c>
      <c r="D184" s="14" t="inlineStr">
        <is>
          <t>Journey section: hold, resume, close</t>
        </is>
      </c>
      <c r="E184" s="14" t="inlineStr">
        <is>
          <t>Excluded</t>
        </is>
      </c>
      <c r="F184" s="12" t="inlineStr">
        <is>
          <t>Journey mode excluded; its rules live in On Hold and Lost</t>
        </is>
      </c>
      <c r="G184" s="12" t="inlineStr"/>
      <c r="H184" s="12" t="inlineStr"/>
      <c r="I184" s="17" t="n"/>
      <c r="J184" s="17" t="n"/>
    </row>
    <row r="185">
      <c r="A185" s="12" t="inlineStr">
        <is>
          <t>Leads</t>
        </is>
      </c>
      <c r="B185" s="12" t="inlineStr">
        <is>
          <t>D-33</t>
        </is>
      </c>
      <c r="C185" s="12" t="inlineStr">
        <is>
          <t>Lead detail</t>
        </is>
      </c>
      <c r="D185" s="14" t="inlineStr">
        <is>
          <t>Files section</t>
        </is>
      </c>
      <c r="E185" s="14" t="inlineStr">
        <is>
          <t>Built</t>
        </is>
      </c>
      <c r="F185" s="12" t="inlineStr"/>
      <c r="G185" s="12" t="inlineStr">
        <is>
          <t>5.14, 5.15</t>
        </is>
      </c>
      <c r="H185" s="12" t="inlineStr"/>
      <c r="I185" s="17" t="n"/>
      <c r="J185" s="17" t="n"/>
    </row>
    <row r="186">
      <c r="A186" s="12" t="inlineStr">
        <is>
          <t>Leads</t>
        </is>
      </c>
      <c r="B186" s="12" t="inlineStr">
        <is>
          <t>D-34</t>
        </is>
      </c>
      <c r="C186" s="12" t="inlineStr">
        <is>
          <t>Lead detail</t>
        </is>
      </c>
      <c r="D186" s="14" t="inlineStr">
        <is>
          <t>Journey evidence artifacts</t>
        </is>
      </c>
      <c r="E186" s="14" t="inlineStr">
        <is>
          <t>Excluded</t>
        </is>
      </c>
      <c r="F186" s="12" t="inlineStr">
        <is>
          <t>Excluded with Journey mode</t>
        </is>
      </c>
      <c r="G186" s="12" t="inlineStr"/>
      <c r="H186" s="12" t="inlineStr"/>
      <c r="I186" s="17" t="n"/>
      <c r="J186" s="17" t="n"/>
    </row>
    <row r="187">
      <c r="A187" s="12" t="inlineStr">
        <is>
          <t>Leads</t>
        </is>
      </c>
      <c r="B187" s="12" t="inlineStr">
        <is>
          <t>D-35</t>
        </is>
      </c>
      <c r="C187" s="12" t="inlineStr">
        <is>
          <t>Lead detail</t>
        </is>
      </c>
      <c r="D187" s="14" t="inlineStr">
        <is>
          <t>Homeowner questionnaire</t>
        </is>
      </c>
      <c r="E187" s="14" t="inlineStr">
        <is>
          <t>Built in parity round 6</t>
        </is>
      </c>
      <c r="F187" s="12" t="inlineStr"/>
      <c r="G187" s="12" t="inlineStr">
        <is>
          <t>5.17</t>
        </is>
      </c>
      <c r="H187" s="12" t="inlineStr"/>
      <c r="I187" s="17" t="n"/>
      <c r="J187" s="17" t="n"/>
    </row>
    <row r="188">
      <c r="A188" s="12" t="inlineStr">
        <is>
          <t>Leads</t>
        </is>
      </c>
      <c r="B188" s="12" t="inlineStr">
        <is>
          <t>D-36</t>
        </is>
      </c>
      <c r="C188" s="12" t="inlineStr">
        <is>
          <t>Lead detail</t>
        </is>
      </c>
      <c r="D188" s="14" t="inlineStr">
        <is>
          <t>Ask the homeowner to answer</t>
        </is>
      </c>
      <c r="E188" s="14" t="inlineStr">
        <is>
          <t>Built in parity round 3</t>
        </is>
      </c>
      <c r="F188" s="12" t="inlineStr">
        <is>
          <t>Ask recorded; no 5-minute throttle, by design</t>
        </is>
      </c>
      <c r="G188" s="12" t="inlineStr">
        <is>
          <t>5.18</t>
        </is>
      </c>
      <c r="H188" s="12" t="inlineStr"/>
      <c r="I188" s="17" t="n"/>
      <c r="J188" s="17" t="n"/>
    </row>
    <row r="189">
      <c r="A189" s="12" t="inlineStr">
        <is>
          <t>Leads</t>
        </is>
      </c>
      <c r="B189" s="12" t="inlineStr">
        <is>
          <t>D-37</t>
        </is>
      </c>
      <c r="C189" s="12" t="inlineStr">
        <is>
          <t>Lead detail</t>
        </is>
      </c>
      <c r="D189" s="14" t="inlineStr">
        <is>
          <t>Activity log</t>
        </is>
      </c>
      <c r="E189" s="14" t="inlineStr">
        <is>
          <t>Built in parity round 7</t>
        </is>
      </c>
      <c r="F189" s="12" t="inlineStr"/>
      <c r="G189" s="12" t="inlineStr">
        <is>
          <t>5.22</t>
        </is>
      </c>
      <c r="H189" s="12" t="inlineStr"/>
      <c r="I189" s="17" t="n"/>
      <c r="J189" s="17" t="n"/>
    </row>
    <row r="190">
      <c r="A190" s="12" t="inlineStr">
        <is>
          <t>Leads</t>
        </is>
      </c>
      <c r="B190" s="12" t="inlineStr">
        <is>
          <t>D-38</t>
        </is>
      </c>
      <c r="C190" s="12" t="inlineStr">
        <is>
          <t>Lead detail</t>
        </is>
      </c>
      <c r="D190" s="14" t="inlineStr">
        <is>
          <t>Who may return a lead, and when</t>
        </is>
      </c>
      <c r="E190" s="14" t="inlineStr">
        <is>
          <t>Built in parity round 3</t>
        </is>
      </c>
      <c r="F190" s="12" t="inlineStr">
        <is>
          <t>Rules shown, not enforced; any-stage return kept (Q-08, Q-44)</t>
        </is>
      </c>
      <c r="G190" s="12" t="inlineStr">
        <is>
          <t>9.10, 9.12</t>
        </is>
      </c>
      <c r="H190" s="12" t="inlineStr"/>
      <c r="I190" s="17" t="n"/>
      <c r="J190" s="17" t="n"/>
    </row>
    <row r="191">
      <c r="A191" s="12" t="inlineStr">
        <is>
          <t>Leads</t>
        </is>
      </c>
      <c r="B191" s="12" t="inlineStr">
        <is>
          <t>D-39</t>
        </is>
      </c>
      <c r="C191" s="12" t="inlineStr">
        <is>
          <t>Lead detail</t>
        </is>
      </c>
      <c r="D191" s="14" t="inlineStr">
        <is>
          <t>Return wizard with seven reasons</t>
        </is>
      </c>
      <c r="E191" s="14" t="inlineStr">
        <is>
          <t>Built in parity round 3</t>
        </is>
      </c>
      <c r="F191" s="12" t="inlineStr">
        <is>
          <t>Return policy dialog, 1.0's tips (View all) and Appeal added (S05)</t>
        </is>
      </c>
      <c r="G191" s="12" t="inlineStr">
        <is>
          <t>9.11</t>
        </is>
      </c>
      <c r="H191" s="12" t="inlineStr"/>
      <c r="I191" s="17" t="n"/>
      <c r="J191" s="17" t="n"/>
    </row>
    <row r="192">
      <c r="A192" s="12" t="inlineStr">
        <is>
          <t>Leads</t>
        </is>
      </c>
      <c r="B192" s="12" t="inlineStr">
        <is>
          <t>D-40</t>
        </is>
      </c>
      <c r="C192" s="12" t="inlineStr">
        <is>
          <t>Lead detail</t>
        </is>
      </c>
      <c r="D192" s="14" t="inlineStr">
        <is>
          <t>Refund request kept on record</t>
        </is>
      </c>
      <c r="E192" s="14" t="inlineStr">
        <is>
          <t>Built</t>
        </is>
      </c>
      <c r="F192" s="12" t="inlineStr"/>
      <c r="G192" s="12" t="inlineStr">
        <is>
          <t>9.11</t>
        </is>
      </c>
      <c r="H192" s="12" t="inlineStr"/>
      <c r="I192" s="17" t="n"/>
      <c r="J192" s="17" t="n"/>
    </row>
    <row r="193">
      <c r="A193" s="12" t="inlineStr">
        <is>
          <t>Leads</t>
        </is>
      </c>
      <c r="B193" s="12" t="inlineStr">
        <is>
          <t>D-41</t>
        </is>
      </c>
      <c r="C193" s="12" t="inlineStr">
        <is>
          <t>Lead detail</t>
        </is>
      </c>
      <c r="D193" s="14" t="inlineStr">
        <is>
          <t>Quote summary, approvals and comments on the lead</t>
        </is>
      </c>
      <c r="E193" s="14" t="inlineStr">
        <is>
          <t>Built</t>
        </is>
      </c>
      <c r="F193" s="12" t="inlineStr">
        <is>
          <t>QUOTES card, Quotes tab's approval, line comments in the editor (quote rounds)</t>
        </is>
      </c>
      <c r="G193" s="12" t="inlineStr"/>
      <c r="H193" s="28" t="inlineStr">
        <is>
          <t>Team check</t>
        </is>
      </c>
      <c r="I193" s="17" t="n"/>
      <c r="J193" s="17" t="n"/>
    </row>
    <row r="194">
      <c r="A194" s="12" t="inlineStr">
        <is>
          <t>Leads</t>
        </is>
      </c>
      <c r="B194" s="12" t="inlineStr">
        <is>
          <t>D-42</t>
        </is>
      </c>
      <c r="C194" s="12" t="inlineStr">
        <is>
          <t>Lead detail</t>
        </is>
      </c>
      <c r="D194" s="14" t="inlineStr">
        <is>
          <t>Move a lead's quotes to another entity</t>
        </is>
      </c>
      <c r="E194" s="14" t="inlineStr">
        <is>
          <t>Not built — by design</t>
        </is>
      </c>
      <c r="F194" s="12" t="inlineStr">
        <is>
          <t>Each quote is issued from its own entity — Issued by (quote editor D-101); the port copies the lead’s entity onto its quotes</t>
        </is>
      </c>
      <c r="G194" s="12" t="inlineStr"/>
      <c r="H194" s="12" t="inlineStr"/>
      <c r="I194" s="17" t="n"/>
      <c r="J194" s="17" t="n"/>
    </row>
    <row r="195">
      <c r="A195" s="12" t="inlineStr">
        <is>
          <t>Leads</t>
        </is>
      </c>
      <c r="B195" s="12" t="inlineStr">
        <is>
          <t>D-43</t>
        </is>
      </c>
      <c r="C195" s="12" t="inlineStr">
        <is>
          <t>Lead detail</t>
        </is>
      </c>
      <c r="D195" s="14" t="inlineStr">
        <is>
          <t>Archive and revive</t>
        </is>
      </c>
      <c r="E195" s="14" t="inlineStr">
        <is>
          <t>Excluded</t>
        </is>
      </c>
      <c r="F195" s="12" t="inlineStr">
        <is>
          <t>Archive excluded; Deleted Leads restores instead</t>
        </is>
      </c>
      <c r="G195" s="12" t="inlineStr">
        <is>
          <t>9.15</t>
        </is>
      </c>
      <c r="H195" s="12" t="inlineStr"/>
      <c r="I195" s="17" t="n"/>
      <c r="J195" s="17" t="n"/>
    </row>
    <row r="196">
      <c r="A196" s="12" t="inlineStr">
        <is>
          <t>Leads</t>
        </is>
      </c>
      <c r="B196" s="12" t="inlineStr">
        <is>
          <t>D-44</t>
        </is>
      </c>
      <c r="C196" s="12" t="inlineStr">
        <is>
          <t>Lead detail</t>
        </is>
      </c>
      <c r="D196" s="14" t="inlineStr">
        <is>
          <t>Engagement state</t>
        </is>
      </c>
      <c r="E196" s="14" t="inlineStr">
        <is>
          <t>Dead</t>
        </is>
      </c>
      <c r="F196" s="12" t="inlineStr">
        <is>
          <t>Only hold and resume survive</t>
        </is>
      </c>
      <c r="G196" s="12" t="inlineStr"/>
      <c r="H196" s="12" t="inlineStr"/>
      <c r="I196" s="17" t="n"/>
      <c r="J196" s="17" t="n"/>
    </row>
    <row r="197">
      <c r="A197" s="12" t="inlineStr">
        <is>
          <t>Leads</t>
        </is>
      </c>
      <c r="B197" s="12" t="inlineStr">
        <is>
          <t>D-45</t>
        </is>
      </c>
      <c r="C197" s="12" t="inlineStr">
        <is>
          <t>Lead detail</t>
        </is>
      </c>
      <c r="D197" s="14" t="inlineStr">
        <is>
          <t>Promote a lead link to a project</t>
        </is>
      </c>
      <c r="E197" s="14" t="inlineStr">
        <is>
          <t>Built</t>
        </is>
      </c>
      <c r="F197" s="12" t="inlineStr">
        <is>
          <t>One record: the project reads its lead's portal link, nothing to promote</t>
        </is>
      </c>
      <c r="G197" s="12" t="inlineStr"/>
      <c r="H197" s="28" t="inlineStr">
        <is>
          <t>Team check</t>
        </is>
      </c>
      <c r="I197" s="17" t="n"/>
      <c r="J197" s="17" t="n"/>
    </row>
    <row r="198">
      <c r="A198" s="12" t="inlineStr">
        <is>
          <t>Leads</t>
        </is>
      </c>
      <c r="B198" s="12" t="inlineStr">
        <is>
          <t>D-46</t>
        </is>
      </c>
      <c r="C198" s="12" t="inlineStr">
        <is>
          <t>Lead detail</t>
        </is>
      </c>
      <c r="D198" s="14" t="inlineStr">
        <is>
          <t>Conversion readiness and Create Project</t>
        </is>
      </c>
      <c r="E198" s="14" t="inlineStr">
        <is>
          <t>Built</t>
        </is>
      </c>
      <c r="F198" s="12" t="inlineStr"/>
      <c r="G198" s="12" t="inlineStr">
        <is>
          <t>9.02</t>
        </is>
      </c>
      <c r="H198" s="12" t="inlineStr"/>
      <c r="I198" s="17" t="n"/>
      <c r="J198" s="17" t="n"/>
    </row>
    <row r="199">
      <c r="A199" s="12" t="inlineStr">
        <is>
          <t>Leads</t>
        </is>
      </c>
      <c r="B199" s="12" t="inlineStr">
        <is>
          <t>D-47</t>
        </is>
      </c>
      <c r="C199" s="12" t="inlineStr">
        <is>
          <t>Lead detail</t>
        </is>
      </c>
      <c r="D199" s="14" t="inlineStr">
        <is>
          <t>Contract flow and signing picker</t>
        </is>
      </c>
      <c r="E199" s="14" t="inlineStr">
        <is>
          <t>Built</t>
        </is>
      </c>
      <c r="F199" s="12" t="inlineStr">
        <is>
          <t>The lead's Contracts tab and Send for digital signature (Contracts parity)</t>
        </is>
      </c>
      <c r="G199" s="12" t="inlineStr"/>
      <c r="H199" s="28" t="inlineStr">
        <is>
          <t>Team check</t>
        </is>
      </c>
      <c r="I199" s="17" t="n"/>
      <c r="J199" s="17" t="n"/>
    </row>
    <row r="200">
      <c r="A200" s="12" t="inlineStr">
        <is>
          <t>Leads</t>
        </is>
      </c>
      <c r="B200" s="12" t="inlineStr">
        <is>
          <t>D-48</t>
        </is>
      </c>
      <c r="C200" s="12" t="inlineStr">
        <is>
          <t>Lead detail</t>
        </is>
      </c>
      <c r="D200" s="14" t="inlineStr">
        <is>
          <t>Quote approval as a task</t>
        </is>
      </c>
      <c r="E200" s="14" t="inlineStr">
        <is>
          <t>Built</t>
        </is>
      </c>
      <c r="F200" s="12" t="inlineStr">
        <is>
          <t>Approvers hear in the bell instead of a task (see QED QA-09)</t>
        </is>
      </c>
      <c r="G200" s="12" t="inlineStr"/>
      <c r="H200" s="28" t="inlineStr">
        <is>
          <t>Team check</t>
        </is>
      </c>
      <c r="I200" s="17" t="n"/>
      <c r="J200" s="17" t="n"/>
    </row>
    <row r="201">
      <c r="A201" s="12" t="inlineStr">
        <is>
          <t>Leads</t>
        </is>
      </c>
      <c r="B201" s="12" t="inlineStr">
        <is>
          <t>D-49</t>
        </is>
      </c>
      <c r="C201" s="12" t="inlineStr">
        <is>
          <t>Lead detail</t>
        </is>
      </c>
      <c r="D201" s="14" t="inlineStr">
        <is>
          <t>Cancel a lead's tasks</t>
        </is>
      </c>
      <c r="E201" s="14" t="inlineStr">
        <is>
          <t>Not built — by design</t>
        </is>
      </c>
      <c r="F201" s="12" t="inlineStr">
        <is>
          <t>Tasks stay open after Lost (Q-29)</t>
        </is>
      </c>
      <c r="G201" s="12" t="inlineStr"/>
      <c r="H201" s="12" t="inlineStr"/>
      <c r="I201" s="17" t="n"/>
      <c r="J201" s="17" t="n"/>
    </row>
    <row r="202">
      <c r="A202" s="12" t="inlineStr">
        <is>
          <t>Leads</t>
        </is>
      </c>
      <c r="B202" s="12" t="inlineStr">
        <is>
          <t>D-50</t>
        </is>
      </c>
      <c r="C202" s="12" t="inlineStr">
        <is>
          <t>Lead detail</t>
        </is>
      </c>
      <c r="D202" s="14" t="inlineStr">
        <is>
          <t>Copilot brief saved to the lead</t>
        </is>
      </c>
      <c r="E202" s="14" t="inlineStr">
        <is>
          <t>Built</t>
        </is>
      </c>
      <c r="F202" s="12" t="inlineStr">
        <is>
          <t>A meeting's brief: Save to the lead, with a follow-up task (S23)</t>
        </is>
      </c>
      <c r="G202" s="12" t="inlineStr"/>
      <c r="H202" s="28" t="inlineStr">
        <is>
          <t>Team check</t>
        </is>
      </c>
      <c r="I202" s="17" t="n"/>
      <c r="J202" s="17" t="n"/>
    </row>
    <row r="203">
      <c r="A203" s="12" t="inlineStr">
        <is>
          <t>Leads</t>
        </is>
      </c>
      <c r="B203" s="12" t="inlineStr">
        <is>
          <t>D-51</t>
        </is>
      </c>
      <c r="C203" s="12" t="inlineStr">
        <is>
          <t>Lead detail</t>
        </is>
      </c>
      <c r="D203" s="14" t="inlineStr">
        <is>
          <t>Hangout lead</t>
        </is>
      </c>
      <c r="E203" s="14" t="inlineStr">
        <is>
          <t>Built</t>
        </is>
      </c>
      <c r="F203" s="12" t="inlineStr">
        <is>
          <t>Hangout bookings arrive as leads, source Hangout (S27)</t>
        </is>
      </c>
      <c r="G203" s="12" t="inlineStr"/>
      <c r="H203" s="28" t="inlineStr">
        <is>
          <t>Team check</t>
        </is>
      </c>
      <c r="I203" s="17" t="n"/>
      <c r="J203" s="17" t="n"/>
    </row>
    <row r="204">
      <c r="A204" s="12" t="inlineStr">
        <is>
          <t>Leads</t>
        </is>
      </c>
      <c r="B204" s="12" t="inlineStr">
        <is>
          <t>D-52</t>
        </is>
      </c>
      <c r="C204" s="12" t="inlineStr">
        <is>
          <t>Lead detail</t>
        </is>
      </c>
      <c r="D204" s="14" t="inlineStr">
        <is>
          <t>What each role may do inside the lead</t>
        </is>
      </c>
      <c r="E204" s="14" t="inlineStr">
        <is>
          <t>Built</t>
        </is>
      </c>
      <c r="F204" s="12" t="inlineStr"/>
      <c r="G204" s="12" t="inlineStr"/>
      <c r="H204" s="28" t="inlineStr">
        <is>
          <t>Team check</t>
        </is>
      </c>
      <c r="I204" s="17" t="n"/>
      <c r="J204" s="17" t="n"/>
    </row>
    <row r="205">
      <c r="A205" s="12" t="inlineStr">
        <is>
          <t>Leads</t>
        </is>
      </c>
      <c r="B205" s="12" t="inlineStr">
        <is>
          <t>D-53</t>
        </is>
      </c>
      <c r="C205" s="12" t="inlineStr">
        <is>
          <t>Lead detail</t>
        </is>
      </c>
      <c r="D205" s="14" t="inlineStr">
        <is>
          <t>Flags, workflow switches, region, manager setting</t>
        </is>
      </c>
      <c r="E205" s="14" t="inlineStr">
        <is>
          <t>Not built — by design</t>
        </is>
      </c>
      <c r="F205" s="12" t="inlineStr">
        <is>
          <t>Lead stages' two switches built (S05); flags and region are the platform's</t>
        </is>
      </c>
      <c r="G205" s="12" t="inlineStr"/>
      <c r="H205" s="12" t="inlineStr"/>
      <c r="I205" s="17" t="n"/>
      <c r="J205" s="17" t="n"/>
    </row>
    <row r="206">
      <c r="A206" s="12" t="inlineStr">
        <is>
          <t>Leads</t>
        </is>
      </c>
      <c r="B206" s="12" t="inlineStr">
        <is>
          <t>D-54</t>
        </is>
      </c>
      <c r="C206" s="12" t="inlineStr">
        <is>
          <t>Lead detail</t>
        </is>
      </c>
      <c r="D206" s="14" t="inlineStr">
        <is>
          <t>Tasks, Files, Notes, Questionnaire and Activity tabs</t>
        </is>
      </c>
      <c r="E206" s="14" t="inlineStr">
        <is>
          <t>2.0 only</t>
        </is>
      </c>
      <c r="F206" s="12" t="inlineStr">
        <is>
          <t>1.0 folded these into the drawer</t>
        </is>
      </c>
      <c r="G206" s="12" t="inlineStr">
        <is>
          <t>5.09, 5.10, 5.11, 5.12, 5.13, 5.16</t>
        </is>
      </c>
      <c r="H206" s="12" t="inlineStr"/>
      <c r="I206" s="17" t="n"/>
      <c r="J206" s="17" t="n"/>
    </row>
    <row r="207">
      <c r="A207" s="12" t="inlineStr">
        <is>
          <t>Leads</t>
        </is>
      </c>
      <c r="B207" s="12" t="inlineStr">
        <is>
          <t>S-01</t>
        </is>
      </c>
      <c r="C207" s="12" t="inlineStr">
        <is>
          <t>Stage engine</t>
        </is>
      </c>
      <c r="D207" s="14" t="inlineStr">
        <is>
          <t>Default funnel with per-status requirements</t>
        </is>
      </c>
      <c r="E207" s="14" t="inlineStr">
        <is>
          <t>Not built — by design</t>
        </is>
      </c>
      <c r="F207" s="12" t="inlineStr">
        <is>
          <t>Seven fixed stages, each asking its own fields (Q-01)</t>
        </is>
      </c>
      <c r="G207" s="12" t="inlineStr">
        <is>
          <t>5.07, 9.03</t>
        </is>
      </c>
      <c r="H207" s="12" t="inlineStr"/>
      <c r="I207" s="17" t="n"/>
      <c r="J207" s="17" t="n"/>
    </row>
    <row r="208">
      <c r="A208" s="12" t="inlineStr">
        <is>
          <t>Leads</t>
        </is>
      </c>
      <c r="B208" s="12" t="inlineStr">
        <is>
          <t>S-02</t>
        </is>
      </c>
      <c r="C208" s="12" t="inlineStr">
        <is>
          <t>Stage engine</t>
        </is>
      </c>
      <c r="D208" s="14" t="inlineStr">
        <is>
          <t>Deriving positions from old statuses</t>
        </is>
      </c>
      <c r="E208" s="14" t="inlineStr">
        <is>
          <t>Built</t>
        </is>
      </c>
      <c r="F208" s="12" t="inlineStr"/>
      <c r="G208" s="12" t="inlineStr"/>
      <c r="H208" s="28" t="inlineStr">
        <is>
          <t>Team check</t>
        </is>
      </c>
      <c r="I208" s="17" t="n"/>
      <c r="J208" s="17" t="n"/>
    </row>
    <row r="209">
      <c r="A209" s="12" t="inlineStr">
        <is>
          <t>Leads</t>
        </is>
      </c>
      <c r="B209" s="12" t="inlineStr">
        <is>
          <t>S-03</t>
        </is>
      </c>
      <c r="C209" s="12" t="inlineStr">
        <is>
          <t>Stage engine</t>
        </is>
      </c>
      <c r="D209" s="14" t="inlineStr">
        <is>
          <t>Checks before a move</t>
        </is>
      </c>
      <c r="E209" s="14" t="inlineStr">
        <is>
          <t>Built</t>
        </is>
      </c>
      <c r="F209" s="12" t="inlineStr"/>
      <c r="G209" s="12" t="inlineStr">
        <is>
          <t>4.23, 5.03, 5.07, 5.19, 6.39, 9.01, 9.02</t>
        </is>
      </c>
      <c r="H209" s="12" t="inlineStr"/>
      <c r="I209" s="17" t="n"/>
      <c r="J209" s="17" t="n"/>
    </row>
    <row r="210">
      <c r="A210" s="12" t="inlineStr">
        <is>
          <t>Leads</t>
        </is>
      </c>
      <c r="B210" s="12" t="inlineStr">
        <is>
          <t>S-04</t>
        </is>
      </c>
      <c r="C210" s="12" t="inlineStr">
        <is>
          <t>Stage engine</t>
        </is>
      </c>
      <c r="D210" s="14" t="inlineStr">
        <is>
          <t>Designers move forward only</t>
        </is>
      </c>
      <c r="E210" s="14" t="inlineStr">
        <is>
          <t>Built</t>
        </is>
      </c>
      <c r="F210" s="12" t="inlineStr"/>
      <c r="G210" s="12" t="inlineStr">
        <is>
          <t>5.20</t>
        </is>
      </c>
      <c r="H210" s="12" t="inlineStr"/>
      <c r="I210" s="17" t="n"/>
      <c r="J210" s="17" t="n"/>
    </row>
    <row r="211">
      <c r="A211" s="12" t="inlineStr">
        <is>
          <t>Leads</t>
        </is>
      </c>
      <c r="B211" s="12" t="inlineStr">
        <is>
          <t>S-05</t>
        </is>
      </c>
      <c r="C211" s="12" t="inlineStr">
        <is>
          <t>Stage engine</t>
        </is>
      </c>
      <c r="D211" s="14" t="inlineStr">
        <is>
          <t>Assignment writes and downgrade</t>
        </is>
      </c>
      <c r="E211" s="14" t="inlineStr">
        <is>
          <t>Not built — by design</t>
        </is>
      </c>
      <c r="F211" s="12" t="inlineStr">
        <is>
          <t>Past New the last member stays (Q-09)</t>
        </is>
      </c>
      <c r="G211" s="12" t="inlineStr"/>
      <c r="H211" s="12" t="inlineStr"/>
      <c r="I211" s="17" t="n"/>
      <c r="J211" s="17" t="n"/>
    </row>
    <row r="212">
      <c r="A212" s="12" t="inlineStr">
        <is>
          <t>Leads</t>
        </is>
      </c>
      <c r="B212" s="12" t="inlineStr">
        <is>
          <t>S-06</t>
        </is>
      </c>
      <c r="C212" s="12" t="inlineStr">
        <is>
          <t>Stage engine</t>
        </is>
      </c>
      <c r="D212" s="14" t="inlineStr">
        <is>
          <t>Where a new lead starts</t>
        </is>
      </c>
      <c r="E212" s="14" t="inlineStr">
        <is>
          <t>Built</t>
        </is>
      </c>
      <c r="F212" s="12" t="inlineStr"/>
      <c r="G212" s="12" t="inlineStr">
        <is>
          <t>4.05</t>
        </is>
      </c>
      <c r="H212" s="12" t="inlineStr"/>
      <c r="I212" s="17" t="n"/>
      <c r="J212" s="17" t="n"/>
    </row>
    <row r="213">
      <c r="A213" s="12" t="inlineStr">
        <is>
          <t>Leads</t>
        </is>
      </c>
      <c r="B213" s="12" t="inlineStr">
        <is>
          <t>S-07</t>
        </is>
      </c>
      <c r="C213" s="12" t="inlineStr">
        <is>
          <t>Stage engine</t>
        </is>
      </c>
      <c r="D213" s="14" t="inlineStr">
        <is>
          <t>Server guards on stage writes</t>
        </is>
      </c>
      <c r="E213" s="14" t="inlineStr">
        <is>
          <t>Built</t>
        </is>
      </c>
      <c r="F213" s="12" t="inlineStr"/>
      <c r="G213" s="12" t="inlineStr"/>
      <c r="H213" s="28" t="inlineStr">
        <is>
          <t>Team check</t>
        </is>
      </c>
      <c r="I213" s="17" t="n"/>
      <c r="J213" s="17" t="n"/>
    </row>
    <row r="214">
      <c r="A214" s="12" t="inlineStr">
        <is>
          <t>Leads</t>
        </is>
      </c>
      <c r="B214" s="12" t="inlineStr">
        <is>
          <t>S-08</t>
        </is>
      </c>
      <c r="C214" s="12" t="inlineStr">
        <is>
          <t>Stage engine</t>
        </is>
      </c>
      <c r="D214" s="14" t="inlineStr">
        <is>
          <t>Journey spine, tracker and mini-rail</t>
        </is>
      </c>
      <c r="E214" s="14" t="inlineStr">
        <is>
          <t>Excluded</t>
        </is>
      </c>
      <c r="F214" s="12" t="inlineStr">
        <is>
          <t>Journey mode excluded by the owner</t>
        </is>
      </c>
      <c r="G214" s="12" t="inlineStr"/>
      <c r="H214" s="12" t="inlineStr"/>
      <c r="I214" s="17" t="n"/>
      <c r="J214" s="17" t="n"/>
    </row>
    <row r="215">
      <c r="A215" s="12" t="inlineStr">
        <is>
          <t>Leads</t>
        </is>
      </c>
      <c r="B215" s="12" t="inlineStr">
        <is>
          <t>S-09</t>
        </is>
      </c>
      <c r="C215" s="12" t="inlineStr">
        <is>
          <t>Stage engine</t>
        </is>
      </c>
      <c r="D215" s="14" t="inlineStr">
        <is>
          <t>Contact attempts</t>
        </is>
      </c>
      <c r="E215" s="14" t="inlineStr">
        <is>
          <t>Built in parity round 1</t>
        </is>
      </c>
      <c r="F215" s="12" t="inlineStr"/>
      <c r="G215" s="12" t="inlineStr">
        <is>
          <t>5.08, 5.09</t>
        </is>
      </c>
      <c r="H215" s="12" t="inlineStr"/>
      <c r="I215" s="17" t="n"/>
      <c r="J215" s="17" t="n"/>
    </row>
    <row r="216">
      <c r="A216" s="12" t="inlineStr">
        <is>
          <t>Leads</t>
        </is>
      </c>
      <c r="B216" s="12" t="inlineStr">
        <is>
          <t>S-10</t>
        </is>
      </c>
      <c r="C216" s="12" t="inlineStr">
        <is>
          <t>Stage engine</t>
        </is>
      </c>
      <c r="D216" s="14" t="inlineStr">
        <is>
          <t>AI reads a chat screenshot</t>
        </is>
      </c>
      <c r="E216" s="14" t="inlineStr">
        <is>
          <t>Platform</t>
        </is>
      </c>
      <c r="F216" s="12" t="inlineStr">
        <is>
          <t>Auto Fill reads a chat export, an email or call notes by rule; a screenshot is attached, not read (no model)</t>
        </is>
      </c>
      <c r="G216" s="12" t="inlineStr">
        <is>
          <t>5.11</t>
        </is>
      </c>
      <c r="H216" s="12" t="inlineStr"/>
      <c r="I216" s="17" t="n"/>
      <c r="J216" s="17" t="n"/>
    </row>
    <row r="217">
      <c r="A217" s="12" t="inlineStr">
        <is>
          <t>Leads</t>
        </is>
      </c>
      <c r="B217" s="12" t="inlineStr">
        <is>
          <t>S-11</t>
        </is>
      </c>
      <c r="C217" s="12" t="inlineStr">
        <is>
          <t>Stage engine</t>
        </is>
      </c>
      <c r="D217" s="14" t="inlineStr">
        <is>
          <t>Evidence files per step</t>
        </is>
      </c>
      <c r="E217" s="14" t="inlineStr">
        <is>
          <t>Excluded</t>
        </is>
      </c>
      <c r="F217" s="12" t="inlineStr">
        <is>
          <t>Journey mode excluded by the owner</t>
        </is>
      </c>
      <c r="G217" s="12" t="inlineStr"/>
      <c r="H217" s="12" t="inlineStr"/>
      <c r="I217" s="17" t="n"/>
      <c r="J217" s="17" t="n"/>
    </row>
    <row r="218">
      <c r="A218" s="12" t="inlineStr">
        <is>
          <t>Leads</t>
        </is>
      </c>
      <c r="B218" s="12" t="inlineStr">
        <is>
          <t>S-12</t>
        </is>
      </c>
      <c r="C218" s="12" t="inlineStr">
        <is>
          <t>Stage engine</t>
        </is>
      </c>
      <c r="D218" s="14" t="inlineStr">
        <is>
          <t>Engagement state and suggestions</t>
        </is>
      </c>
      <c r="E218" s="14" t="inlineStr">
        <is>
          <t>Dead</t>
        </is>
      </c>
      <c r="F218" s="12" t="inlineStr">
        <is>
          <t>1.0 had already removed it</t>
        </is>
      </c>
      <c r="G218" s="12" t="inlineStr"/>
      <c r="H218" s="12" t="inlineStr"/>
      <c r="I218" s="17" t="n"/>
      <c r="J218" s="17" t="n"/>
    </row>
    <row r="219">
      <c r="A219" s="12" t="inlineStr">
        <is>
          <t>Leads</t>
        </is>
      </c>
      <c r="B219" s="12" t="inlineStr">
        <is>
          <t>S-13</t>
        </is>
      </c>
      <c r="C219" s="12" t="inlineStr">
        <is>
          <t>Stage engine</t>
        </is>
      </c>
      <c r="D219" s="14" t="inlineStr">
        <is>
          <t>Put on hold and resume</t>
        </is>
      </c>
      <c r="E219" s="14" t="inlineStr">
        <is>
          <t>Built in parity round 1</t>
        </is>
      </c>
      <c r="F219" s="12" t="inlineStr">
        <is>
          <t>Reasons in round 1; the date reminder in round 2</t>
        </is>
      </c>
      <c r="G219" s="12" t="inlineStr">
        <is>
          <t>9.05, 9.06</t>
        </is>
      </c>
      <c r="H219" s="12" t="inlineStr"/>
      <c r="I219" s="17" t="n"/>
      <c r="J219" s="17" t="n"/>
    </row>
    <row r="220">
      <c r="A220" s="12" t="inlineStr">
        <is>
          <t>Leads</t>
        </is>
      </c>
      <c r="B220" s="12" t="inlineStr">
        <is>
          <t>S-14</t>
        </is>
      </c>
      <c r="C220" s="12" t="inlineStr">
        <is>
          <t>Stage engine</t>
        </is>
      </c>
      <c r="D220" s="14" t="inlineStr">
        <is>
          <t>Close a lead</t>
        </is>
      </c>
      <c r="E220" s="14" t="inlineStr">
        <is>
          <t>Built in parity round 1</t>
        </is>
      </c>
      <c r="F220" s="12" t="inlineStr">
        <is>
          <t>Tasks stay open after Lost, by design (Q-29)</t>
        </is>
      </c>
      <c r="G220" s="12" t="inlineStr">
        <is>
          <t>9.07, 9.08</t>
        </is>
      </c>
      <c r="H220" s="12" t="inlineStr"/>
      <c r="I220" s="17" t="n"/>
      <c r="J220" s="17" t="n"/>
    </row>
    <row r="221">
      <c r="A221" s="12" t="inlineStr">
        <is>
          <t>Leads</t>
        </is>
      </c>
      <c r="B221" s="12" t="inlineStr">
        <is>
          <t>S-15</t>
        </is>
      </c>
      <c r="C221" s="12" t="inlineStr">
        <is>
          <t>Stage engine</t>
        </is>
      </c>
      <c r="D221" s="14" t="inlineStr">
        <is>
          <t>Follow-up automation</t>
        </is>
      </c>
      <c r="E221" s="14" t="inlineStr">
        <is>
          <t>Built in parity round 2</t>
        </is>
      </c>
      <c r="F221" s="12" t="inlineStr"/>
      <c r="G221" s="12" t="inlineStr">
        <is>
          <t>5.05, 5.08</t>
        </is>
      </c>
      <c r="H221" s="12" t="inlineStr"/>
      <c r="I221" s="17" t="n"/>
      <c r="J221" s="17" t="n"/>
    </row>
    <row r="222">
      <c r="A222" s="12" t="inlineStr">
        <is>
          <t>Leads</t>
        </is>
      </c>
      <c r="B222" s="12" t="inlineStr">
        <is>
          <t>S-16</t>
        </is>
      </c>
      <c r="C222" s="12" t="inlineStr">
        <is>
          <t>Stage engine</t>
        </is>
      </c>
      <c r="D222" s="14" t="inlineStr">
        <is>
          <t>Reminder 30 minutes before a follow-up</t>
        </is>
      </c>
      <c r="E222" s="14" t="inlineStr">
        <is>
          <t>Built in parity round 2</t>
        </is>
      </c>
      <c r="F222" s="12" t="inlineStr"/>
      <c r="G222" s="12" t="inlineStr">
        <is>
          <t>5.05</t>
        </is>
      </c>
      <c r="H222" s="12" t="inlineStr"/>
      <c r="I222" s="17" t="n"/>
      <c r="J222" s="17" t="n"/>
    </row>
    <row r="223">
      <c r="A223" s="12" t="inlineStr">
        <is>
          <t>Leads</t>
        </is>
      </c>
      <c r="B223" s="12" t="inlineStr">
        <is>
          <t>S-17</t>
        </is>
      </c>
      <c r="C223" s="12" t="inlineStr">
        <is>
          <t>Stage engine</t>
        </is>
      </c>
      <c r="D223" s="14" t="inlineStr">
        <is>
          <t>Turnaround stamps and report</t>
        </is>
      </c>
      <c r="E223" s="14" t="inlineStr">
        <is>
          <t>Built in parity round 5</t>
        </is>
      </c>
      <c r="F223" s="12" t="inlineStr"/>
      <c r="G223" s="12" t="inlineStr"/>
      <c r="H223" s="28" t="inlineStr">
        <is>
          <t>Team check</t>
        </is>
      </c>
      <c r="I223" s="17" t="n"/>
      <c r="J223" s="17" t="n"/>
    </row>
    <row r="224">
      <c r="A224" s="12" t="inlineStr">
        <is>
          <t>Leads</t>
        </is>
      </c>
      <c r="B224" s="12" t="inlineStr">
        <is>
          <t>S-18</t>
        </is>
      </c>
      <c r="C224" s="12" t="inlineStr">
        <is>
          <t>Stage engine</t>
        </is>
      </c>
      <c r="D224" s="14" t="inlineStr">
        <is>
          <t>Client signature moves the lead to Signed</t>
        </is>
      </c>
      <c r="E224" s="14" t="inlineStr">
        <is>
          <t>Not built — by design</t>
        </is>
      </c>
      <c r="F224" s="12" t="inlineStr">
        <is>
          <t>Signing doesn't win the lead; Won keeps its step (Q-37)</t>
        </is>
      </c>
      <c r="G224" s="12" t="inlineStr">
        <is>
          <t>9.01</t>
        </is>
      </c>
      <c r="H224" s="12" t="inlineStr"/>
      <c r="I224" s="17" t="n"/>
      <c r="J224" s="17" t="n"/>
    </row>
    <row r="225">
      <c r="A225" s="12" t="inlineStr">
        <is>
          <t>Leads</t>
        </is>
      </c>
      <c r="B225" s="12" t="inlineStr">
        <is>
          <t>S-19</t>
        </is>
      </c>
      <c r="C225" s="12" t="inlineStr">
        <is>
          <t>Stage engine</t>
        </is>
      </c>
      <c r="D225" s="14" t="inlineStr">
        <is>
          <t>Project created moves the lead</t>
        </is>
      </c>
      <c r="E225" s="14" t="inlineStr">
        <is>
          <t>Built</t>
        </is>
      </c>
      <c r="F225" s="12" t="inlineStr">
        <is>
          <t>Won and the project are one move; New project makes a direct lead</t>
        </is>
      </c>
      <c r="G225" s="12" t="inlineStr"/>
      <c r="H225" s="28" t="inlineStr">
        <is>
          <t>Team check</t>
        </is>
      </c>
      <c r="I225" s="17" t="n"/>
      <c r="J225" s="17" t="n"/>
    </row>
    <row r="226">
      <c r="A226" s="12" t="inlineStr">
        <is>
          <t>Leads</t>
        </is>
      </c>
      <c r="B226" s="12" t="inlineStr">
        <is>
          <t>S-20</t>
        </is>
      </c>
      <c r="C226" s="12" t="inlineStr">
        <is>
          <t>Stage engine</t>
        </is>
      </c>
      <c r="D226" s="14" t="inlineStr">
        <is>
          <t>AI agent moves stages</t>
        </is>
      </c>
      <c r="E226" s="14" t="inlineStr">
        <is>
          <t>Built</t>
        </is>
      </c>
      <c r="F226" s="12" t="inlineStr">
        <is>
          <t>Maison AI's "Move … to …" opens the Move stage window, never moves alone (S05)</t>
        </is>
      </c>
      <c r="G226" s="12" t="inlineStr"/>
      <c r="H226" s="28" t="inlineStr">
        <is>
          <t>Team check</t>
        </is>
      </c>
      <c r="I226" s="17" t="n"/>
      <c r="J226" s="17" t="n"/>
    </row>
    <row r="227">
      <c r="A227" s="12" t="inlineStr">
        <is>
          <t>Leads</t>
        </is>
      </c>
      <c r="B227" s="12" t="inlineStr">
        <is>
          <t>S-21</t>
        </is>
      </c>
      <c r="C227" s="12" t="inlineStr">
        <is>
          <t>Stage engine</t>
        </is>
      </c>
      <c r="D227" s="14" t="inlineStr">
        <is>
          <t>Unused stage routes</t>
        </is>
      </c>
      <c r="E227" s="14" t="inlineStr">
        <is>
          <t>Dead</t>
        </is>
      </c>
      <c r="F227" s="12" t="inlineStr">
        <is>
          <t>No user could reach them</t>
        </is>
      </c>
      <c r="G227" s="12" t="inlineStr"/>
      <c r="H227" s="12" t="inlineStr"/>
      <c r="I227" s="17" t="n"/>
      <c r="J227" s="17" t="n"/>
    </row>
    <row r="228">
      <c r="A228" s="12" t="inlineStr">
        <is>
          <t>Leads</t>
        </is>
      </c>
      <c r="B228" s="12" t="inlineStr">
        <is>
          <t>S-22</t>
        </is>
      </c>
      <c r="C228" s="12" t="inlineStr">
        <is>
          <t>Stage engine</t>
        </is>
      </c>
      <c r="D228" s="14" t="inlineStr">
        <is>
          <t>Activity wording</t>
        </is>
      </c>
      <c r="E228" s="14" t="inlineStr">
        <is>
          <t>Built in parity round 7</t>
        </is>
      </c>
      <c r="F228" s="12" t="inlineStr"/>
      <c r="G228" s="12" t="inlineStr">
        <is>
          <t>5.22, 11.10</t>
        </is>
      </c>
      <c r="H228" s="12" t="inlineStr"/>
      <c r="I228" s="17" t="n"/>
      <c r="J228" s="17" t="n"/>
    </row>
    <row r="229">
      <c r="A229" s="12" t="inlineStr">
        <is>
          <t>Leads</t>
        </is>
      </c>
      <c r="B229" s="12" t="inlineStr">
        <is>
          <t>G-01</t>
        </is>
      </c>
      <c r="C229" s="12" t="inlineStr">
        <is>
          <t>Settings</t>
        </is>
      </c>
      <c r="D229" s="14" t="inlineStr">
        <is>
          <t>Classic or Journey lead experience</t>
        </is>
      </c>
      <c r="E229" s="14" t="inlineStr">
        <is>
          <t>Excluded</t>
        </is>
      </c>
      <c r="F229" s="12" t="inlineStr">
        <is>
          <t>2.0 has Linear or Flexible stage movement instead</t>
        </is>
      </c>
      <c r="G229" s="12" t="inlineStr">
        <is>
          <t>2.17</t>
        </is>
      </c>
      <c r="H229" s="12" t="inlineStr"/>
      <c r="I229" s="17" t="n"/>
      <c r="J229" s="17" t="n"/>
    </row>
    <row r="230">
      <c r="A230" s="12" t="inlineStr">
        <is>
          <t>Leads</t>
        </is>
      </c>
      <c r="B230" s="12" t="inlineStr">
        <is>
          <t>G-02</t>
        </is>
      </c>
      <c r="C230" s="12" t="inlineStr">
        <is>
          <t>Settings</t>
        </is>
      </c>
      <c r="D230" s="14" t="inlineStr">
        <is>
          <t>Editable Lost reasons with a contacts gate</t>
        </is>
      </c>
      <c r="E230" s="14" t="inlineStr">
        <is>
          <t>Built in parity round 1</t>
        </is>
      </c>
      <c r="F230" s="12" t="inlineStr"/>
      <c r="G230" s="12" t="inlineStr">
        <is>
          <t>2.21, 9.05, 9.07</t>
        </is>
      </c>
      <c r="H230" s="12" t="inlineStr"/>
      <c r="I230" s="17" t="n"/>
      <c r="J230" s="17" t="n"/>
    </row>
    <row r="231">
      <c r="A231" s="12" t="inlineStr">
        <is>
          <t>Leads</t>
        </is>
      </c>
      <c r="B231" s="12" t="inlineStr">
        <is>
          <t>G-03</t>
        </is>
      </c>
      <c r="C231" s="12" t="inlineStr">
        <is>
          <t>Settings</t>
        </is>
      </c>
      <c r="D231" s="14" t="inlineStr">
        <is>
          <t>Detect duplicate leads switch</t>
        </is>
      </c>
      <c r="E231" s="14" t="inlineStr">
        <is>
          <t>Not built — by design</t>
        </is>
      </c>
      <c r="F231" s="12" t="inlineStr">
        <is>
          <t>Always checked; no switch (Q-18)</t>
        </is>
      </c>
      <c r="G231" s="12" t="inlineStr">
        <is>
          <t>4.03</t>
        </is>
      </c>
      <c r="H231" s="12" t="inlineStr"/>
      <c r="I231" s="17" t="n"/>
      <c r="J231" s="17" t="n"/>
    </row>
    <row r="232">
      <c r="A232" s="12" t="inlineStr">
        <is>
          <t>Leads</t>
        </is>
      </c>
      <c r="B232" s="12" t="inlineStr">
        <is>
          <t>G-04</t>
        </is>
      </c>
      <c r="C232" s="12" t="inlineStr">
        <is>
          <t>Settings</t>
        </is>
      </c>
      <c r="D232" s="14" t="inlineStr">
        <is>
          <t>Designer lead preferences</t>
        </is>
      </c>
      <c r="E232" s="14" t="inlineStr">
        <is>
          <t>Built in parity round 6</t>
        </is>
      </c>
      <c r="F232" s="12" t="inlineStr"/>
      <c r="G232" s="12" t="inlineStr">
        <is>
          <t>2.09, 5.04</t>
        </is>
      </c>
      <c r="H232" s="12" t="inlineStr"/>
      <c r="I232" s="17" t="n"/>
      <c r="J232" s="17" t="n"/>
    </row>
    <row r="233">
      <c r="A233" s="12" t="inlineStr">
        <is>
          <t>Leads</t>
        </is>
      </c>
      <c r="B233" s="12" t="inlineStr">
        <is>
          <t>G-05</t>
        </is>
      </c>
      <c r="C233" s="12" t="inlineStr">
        <is>
          <t>Settings</t>
        </is>
      </c>
      <c r="D233" s="14" t="inlineStr">
        <is>
          <t>Open to new leads, per member</t>
        </is>
      </c>
      <c r="E233" s="14" t="inlineStr">
        <is>
          <t>Built in parity round 6</t>
        </is>
      </c>
      <c r="F233" s="12" t="inlineStr"/>
      <c r="G233" s="12" t="inlineStr">
        <is>
          <t>2.06, 2.10, 5.04</t>
        </is>
      </c>
      <c r="H233" s="12" t="inlineStr"/>
      <c r="I233" s="17" t="n"/>
      <c r="J233" s="17" t="n"/>
    </row>
    <row r="234">
      <c r="A234" s="12" t="inlineStr">
        <is>
          <t>Leads</t>
        </is>
      </c>
      <c r="B234" s="12" t="inlineStr">
        <is>
          <t>G-06</t>
        </is>
      </c>
      <c r="C234" s="12" t="inlineStr">
        <is>
          <t>Settings</t>
        </is>
      </c>
      <c r="D234" s="14" t="inlineStr">
        <is>
          <t>Studio region</t>
        </is>
      </c>
      <c r="E234" s="14" t="inlineStr">
        <is>
          <t>Platform</t>
        </is>
      </c>
      <c r="F234" s="12" t="inlineStr">
        <is>
          <t>Singapore only</t>
        </is>
      </c>
      <c r="G234" s="12" t="inlineStr"/>
      <c r="H234" s="12" t="inlineStr"/>
      <c r="I234" s="17" t="n"/>
      <c r="J234" s="17" t="n"/>
    </row>
    <row r="235">
      <c r="A235" s="12" t="inlineStr">
        <is>
          <t>Leads</t>
        </is>
      </c>
      <c r="B235" s="12" t="inlineStr">
        <is>
          <t>G-07</t>
        </is>
      </c>
      <c r="C235" s="12" t="inlineStr">
        <is>
          <t>Settings</t>
        </is>
      </c>
      <c r="D235" s="14" t="inlineStr">
        <is>
          <t>Email lead sources</t>
        </is>
      </c>
      <c r="E235" s="14" t="inlineStr">
        <is>
          <t>Built in parity round 6</t>
        </is>
      </c>
      <c r="F235" s="12" t="inlineStr">
        <is>
          <t>A stand-in on Company › Integrations</t>
        </is>
      </c>
      <c r="G235" s="12" t="inlineStr">
        <is>
          <t>4.14</t>
        </is>
      </c>
      <c r="H235" s="12" t="inlineStr"/>
      <c r="I235" s="17" t="n"/>
      <c r="J235" s="17" t="n"/>
    </row>
    <row r="236">
      <c r="A236" s="12" t="inlineStr">
        <is>
          <t>Leads</t>
        </is>
      </c>
      <c r="B236" s="12" t="inlineStr">
        <is>
          <t>G-08</t>
        </is>
      </c>
      <c r="C236" s="12" t="inlineStr">
        <is>
          <t>Settings</t>
        </is>
      </c>
      <c r="D236" s="14" t="inlineStr">
        <is>
          <t>Lead funnel editor</t>
        </is>
      </c>
      <c r="E236" s="14" t="inlineStr">
        <is>
          <t>Not built — by design</t>
        </is>
      </c>
      <c r="F236" s="12" t="inlineStr">
        <is>
          <t>Held (Q-02); Manage Stages opens Settings › Lead stages, not an editor (S05)</t>
        </is>
      </c>
      <c r="G236" s="12" t="inlineStr">
        <is>
          <t>1.05</t>
        </is>
      </c>
      <c r="H236" s="12" t="inlineStr"/>
      <c r="I236" s="17" t="n"/>
      <c r="J236" s="17" t="n"/>
    </row>
    <row r="237">
      <c r="A237" s="12" t="inlineStr">
        <is>
          <t>Leads</t>
        </is>
      </c>
      <c r="B237" s="12" t="inlineStr">
        <is>
          <t>G-09</t>
        </is>
      </c>
      <c r="C237" s="12" t="inlineStr">
        <is>
          <t>Settings</t>
        </is>
      </c>
      <c r="D237" s="14" t="inlineStr">
        <is>
          <t>Lead categories</t>
        </is>
      </c>
      <c r="E237" s="14" t="inlineStr">
        <is>
          <t>Dead</t>
        </is>
      </c>
      <c r="F237" s="12" t="inlineStr">
        <is>
          <t>Saved in 1.0 but never used</t>
        </is>
      </c>
      <c r="G237" s="12" t="inlineStr"/>
      <c r="H237" s="12" t="inlineStr"/>
      <c r="I237" s="17" t="n"/>
      <c r="J237" s="17" t="n"/>
    </row>
    <row r="238">
      <c r="A238" s="12" t="inlineStr">
        <is>
          <t>Leads</t>
        </is>
      </c>
      <c r="B238" s="12" t="inlineStr">
        <is>
          <t>G-10</t>
        </is>
      </c>
      <c r="C238" s="12" t="inlineStr">
        <is>
          <t>Settings</t>
        </is>
      </c>
      <c r="D238" s="14" t="inlineStr">
        <is>
          <t>Pipeline stages table</t>
        </is>
      </c>
      <c r="E238" s="14" t="inlineStr">
        <is>
          <t>Dead</t>
        </is>
      </c>
      <c r="F238" s="12" t="inlineStr">
        <is>
          <t>The 1.0 board no longer read it</t>
        </is>
      </c>
      <c r="G238" s="12" t="inlineStr"/>
      <c r="H238" s="12" t="inlineStr"/>
      <c r="I238" s="17" t="n"/>
      <c r="J238" s="17" t="n"/>
    </row>
    <row r="239">
      <c r="A239" s="12" t="inlineStr">
        <is>
          <t>Leads</t>
        </is>
      </c>
      <c r="B239" s="12" t="inlineStr">
        <is>
          <t>G-11</t>
        </is>
      </c>
      <c r="C239" s="12" t="inlineStr">
        <is>
          <t>Settings</t>
        </is>
      </c>
      <c r="D239" s="14" t="inlineStr">
        <is>
          <t>Custom lead fields editor</t>
        </is>
      </c>
      <c r="E239" s="14" t="inlineStr">
        <is>
          <t>Built in parity round 6</t>
        </is>
      </c>
      <c r="F239" s="12" t="inlineStr"/>
      <c r="G239" s="12" t="inlineStr">
        <is>
          <t>2.22</t>
        </is>
      </c>
      <c r="H239" s="12" t="inlineStr"/>
      <c r="I239" s="17" t="n"/>
      <c r="J239" s="17" t="n"/>
    </row>
    <row r="240">
      <c r="A240" s="12" t="inlineStr">
        <is>
          <t>Leads</t>
        </is>
      </c>
      <c r="B240" s="12" t="inlineStr">
        <is>
          <t>G-12</t>
        </is>
      </c>
      <c r="C240" s="12" t="inlineStr">
        <is>
          <t>Settings</t>
        </is>
      </c>
      <c r="D240" s="14" t="inlineStr">
        <is>
          <t>Lead sources list</t>
        </is>
      </c>
      <c r="E240" s="14" t="inlineStr">
        <is>
          <t>Built</t>
        </is>
      </c>
      <c r="F240" s="12" t="inlineStr"/>
      <c r="G240" s="12" t="inlineStr">
        <is>
          <t>2.18</t>
        </is>
      </c>
      <c r="H240" s="12" t="inlineStr"/>
      <c r="I240" s="17" t="n"/>
      <c r="J240" s="17" t="n"/>
    </row>
    <row r="241">
      <c r="A241" s="12" t="inlineStr">
        <is>
          <t>Leads</t>
        </is>
      </c>
      <c r="B241" s="12" t="inlineStr">
        <is>
          <t>G-13</t>
        </is>
      </c>
      <c r="C241" s="12" t="inlineStr">
        <is>
          <t>Settings</t>
        </is>
      </c>
      <c r="D241" s="14" t="inlineStr">
        <is>
          <t>Workflow rules and approvers</t>
        </is>
      </c>
      <c r="E241" s="14" t="inlineStr">
        <is>
          <t>Built</t>
        </is>
      </c>
      <c r="F241" s="12" t="inlineStr">
        <is>
          <t>Quote approval, backup approver, and Lead stages' two switches (S05)</t>
        </is>
      </c>
      <c r="G241" s="12" t="inlineStr">
        <is>
          <t>2.30</t>
        </is>
      </c>
      <c r="H241" s="12" t="inlineStr"/>
      <c r="I241" s="17" t="n"/>
      <c r="J241" s="17" t="n"/>
    </row>
    <row r="242">
      <c r="A242" s="12" t="inlineStr">
        <is>
          <t>Leads</t>
        </is>
      </c>
      <c r="B242" s="12" t="inlineStr">
        <is>
          <t>G-14</t>
        </is>
      </c>
      <c r="C242" s="12" t="inlineStr">
        <is>
          <t>Settings</t>
        </is>
      </c>
      <c r="D242" s="14" t="inlineStr">
        <is>
          <t>Lead webhooks page</t>
        </is>
      </c>
      <c r="E242" s="14" t="inlineStr">
        <is>
          <t>Built in parity round 6</t>
        </is>
      </c>
      <c r="F242" s="12" t="inlineStr">
        <is>
          <t>On Company › Integrations; its URLs receive real POSTs (S34)</t>
        </is>
      </c>
      <c r="G242" s="12" t="inlineStr">
        <is>
          <t>4.13</t>
        </is>
      </c>
      <c r="H242" s="12" t="inlineStr"/>
      <c r="I242" s="17" t="n"/>
      <c r="J242" s="17" t="n"/>
    </row>
    <row r="243">
      <c r="A243" s="12" t="inlineStr">
        <is>
          <t>Leads</t>
        </is>
      </c>
      <c r="B243" s="12" t="inlineStr">
        <is>
          <t>G-15</t>
        </is>
      </c>
      <c r="C243" s="12" t="inlineStr">
        <is>
          <t>Settings</t>
        </is>
      </c>
      <c r="D243" s="14" t="inlineStr">
        <is>
          <t>Legal entities on leads</t>
        </is>
      </c>
      <c r="E243" s="14" t="inlineStr">
        <is>
          <t>Not built — by design</t>
        </is>
      </c>
      <c r="F243" s="12" t="inlineStr">
        <is>
          <t>Entities live on each quote and contract — Issued by (quote editor D-101)</t>
        </is>
      </c>
      <c r="G243" s="12" t="inlineStr"/>
      <c r="H243" s="12" t="inlineStr"/>
      <c r="I243" s="17" t="n"/>
      <c r="J243" s="17" t="n"/>
    </row>
    <row r="244">
      <c r="A244" s="12" t="inlineStr">
        <is>
          <t>Leads</t>
        </is>
      </c>
      <c r="B244" s="12" t="inlineStr">
        <is>
          <t>G-16</t>
        </is>
      </c>
      <c r="C244" s="12" t="inlineStr">
        <is>
          <t>Settings</t>
        </is>
      </c>
      <c r="D244" s="14" t="inlineStr">
        <is>
          <t>Feature flags page</t>
        </is>
      </c>
      <c r="E244" s="14" t="inlineStr">
        <is>
          <t>Platform</t>
        </is>
      </c>
      <c r="F244" s="12" t="inlineStr">
        <is>
          <t>Not a page in 2.0</t>
        </is>
      </c>
      <c r="G244" s="12" t="inlineStr"/>
      <c r="H244" s="12" t="inlineStr"/>
      <c r="I244" s="17" t="n"/>
      <c r="J244" s="17" t="n"/>
    </row>
    <row r="245">
      <c r="A245" s="12" t="inlineStr">
        <is>
          <t>Leads</t>
        </is>
      </c>
      <c r="B245" s="12" t="inlineStr">
        <is>
          <t>G-17</t>
        </is>
      </c>
      <c r="C245" s="12" t="inlineStr">
        <is>
          <t>Settings</t>
        </is>
      </c>
      <c r="D245" s="14" t="inlineStr">
        <is>
          <t>Region config, lead country, CaseTrust</t>
        </is>
      </c>
      <c r="E245" s="14" t="inlineStr">
        <is>
          <t>Platform</t>
        </is>
      </c>
      <c r="F245" s="12" t="inlineStr">
        <is>
          <t>Singapore only (S33 held); CaseTrust is on Company › Profile › Registrations</t>
        </is>
      </c>
      <c r="G245" s="12" t="inlineStr"/>
      <c r="H245" s="12" t="inlineStr"/>
      <c r="I245" s="17" t="n"/>
      <c r="J245" s="17" t="n"/>
    </row>
    <row r="246">
      <c r="A246" s="12" t="inlineStr">
        <is>
          <t>Leads</t>
        </is>
      </c>
      <c r="B246" s="12" t="inlineStr">
        <is>
          <t>G-18</t>
        </is>
      </c>
      <c r="C246" s="12" t="inlineStr">
        <is>
          <t>Settings</t>
        </is>
      </c>
      <c r="D246" s="14" t="inlineStr">
        <is>
          <t>Stage movement, lead capture, who sees leads</t>
        </is>
      </c>
      <c r="E246" s="14" t="inlineStr">
        <is>
          <t>2.0 only</t>
        </is>
      </c>
      <c r="F246" s="12" t="inlineStr">
        <is>
          <t>Settings 1.0 did not have</t>
        </is>
      </c>
      <c r="G246" s="12" t="inlineStr">
        <is>
          <t>2.17</t>
        </is>
      </c>
      <c r="H246" s="12" t="inlineStr"/>
      <c r="I246" s="17" t="n"/>
      <c r="J246" s="17" t="n"/>
    </row>
    <row r="247">
      <c r="A247" s="12" t="inlineStr">
        <is>
          <t>Leads</t>
        </is>
      </c>
      <c r="B247" s="12" t="inlineStr">
        <is>
          <t>P-01</t>
        </is>
      </c>
      <c r="C247" s="12" t="inlineStr">
        <is>
          <t>Roles</t>
        </is>
      </c>
      <c r="D247" s="14" t="inlineStr">
        <is>
          <t>Role tags including Accounting</t>
        </is>
      </c>
      <c r="E247" s="14" t="inlineStr">
        <is>
          <t>Built</t>
        </is>
      </c>
      <c r="F247" s="12" t="inlineStr">
        <is>
          <t>The Accounting role: the books and money, on no lead (Projects &amp; Finance parity)</t>
        </is>
      </c>
      <c r="G247" s="12" t="inlineStr">
        <is>
          <t>10.15</t>
        </is>
      </c>
      <c r="H247" s="12" t="inlineStr"/>
      <c r="I247" s="17" t="n"/>
      <c r="J247" s="17" t="n"/>
    </row>
    <row r="248">
      <c r="A248" s="12" t="inlineStr">
        <is>
          <t>Leads</t>
        </is>
      </c>
      <c r="B248" s="12" t="inlineStr">
        <is>
          <t>P-02</t>
        </is>
      </c>
      <c r="C248" s="12" t="inlineStr">
        <is>
          <t>Roles</t>
        </is>
      </c>
      <c r="D248" s="14" t="inlineStr">
        <is>
          <t>Custom roles and per-member permissions</t>
        </is>
      </c>
      <c r="E248" s="14" t="inlineStr">
        <is>
          <t>Not built — by design</t>
        </is>
      </c>
      <c r="F248" s="12" t="inlineStr">
        <is>
          <t>Five fixed roles, Accounting added; custom roles held (Q-40)</t>
        </is>
      </c>
      <c r="G248" s="12" t="inlineStr">
        <is>
          <t>2.16</t>
        </is>
      </c>
      <c r="H248" s="12" t="inlineStr"/>
      <c r="I248" s="17" t="n"/>
      <c r="J248" s="17" t="n"/>
    </row>
    <row r="249">
      <c r="A249" s="12" t="inlineStr">
        <is>
          <t>Leads</t>
        </is>
      </c>
      <c r="B249" s="12" t="inlineStr">
        <is>
          <t>P-03</t>
        </is>
      </c>
      <c r="C249" s="12" t="inlineStr">
        <is>
          <t>Roles</t>
        </is>
      </c>
      <c r="D249" s="14" t="inlineStr">
        <is>
          <t>What the server enforces</t>
        </is>
      </c>
      <c r="E249" s="14" t="inlineStr">
        <is>
          <t>Built</t>
        </is>
      </c>
      <c r="F249" s="12" t="inlineStr"/>
      <c r="G249" s="12" t="inlineStr">
        <is>
          <t>2.23, 10.03</t>
        </is>
      </c>
      <c r="H249" s="12" t="inlineStr"/>
      <c r="I249" s="17" t="n"/>
      <c r="J249" s="17" t="n"/>
    </row>
    <row r="250">
      <c r="A250" s="12" t="inlineStr">
        <is>
          <t>Leads</t>
        </is>
      </c>
      <c r="B250" s="12" t="inlineStr">
        <is>
          <t>P-04</t>
        </is>
      </c>
      <c r="C250" s="12" t="inlineStr">
        <is>
          <t>Roles</t>
        </is>
      </c>
      <c r="D250" s="14" t="inlineStr">
        <is>
          <t>Manager hierarchy</t>
        </is>
      </c>
      <c r="E250" s="14" t="inlineStr">
        <is>
          <t>Built</t>
        </is>
      </c>
      <c r="F250" s="12" t="inlineStr"/>
      <c r="G250" s="12" t="inlineStr">
        <is>
          <t>2.08, 10.09</t>
        </is>
      </c>
      <c r="H250" s="12" t="inlineStr"/>
      <c r="I250" s="17" t="n"/>
      <c r="J250" s="17" t="n"/>
    </row>
    <row r="251">
      <c r="A251" s="12" t="inlineStr">
        <is>
          <t>Leads</t>
        </is>
      </c>
      <c r="B251" s="12" t="inlineStr">
        <is>
          <t>P-05</t>
        </is>
      </c>
      <c r="C251" s="12" t="inlineStr">
        <is>
          <t>Roles</t>
        </is>
      </c>
      <c r="D251" s="14" t="inlineStr">
        <is>
          <t>Who may do what with leads</t>
        </is>
      </c>
      <c r="E251" s="14" t="inlineStr">
        <is>
          <t>Built in parity round 1</t>
        </is>
      </c>
      <c r="F251" s="12" t="inlineStr">
        <is>
          <t>Delete, Settings and Reports › Leads for Owners and Admins (Q-41)</t>
        </is>
      </c>
      <c r="G251" s="12" t="inlineStr">
        <is>
          <t>2.16, 9.14, 10.03, 10.04, 10.10</t>
        </is>
      </c>
      <c r="H251" s="12" t="inlineStr"/>
      <c r="I251" s="17" t="n"/>
      <c r="J251" s="17" t="n"/>
    </row>
    <row r="252">
      <c r="A252" s="12" t="inlineStr">
        <is>
          <t>Leads</t>
        </is>
      </c>
      <c r="B252" s="12" t="inlineStr">
        <is>
          <t>N-01</t>
        </is>
      </c>
      <c r="C252" s="12" t="inlineStr">
        <is>
          <t>Notifications</t>
        </is>
      </c>
      <c r="D252" s="14" t="inlineStr">
        <is>
          <t>Lead assigned</t>
        </is>
      </c>
      <c r="E252" s="14" t="inlineStr">
        <is>
          <t>Built</t>
        </is>
      </c>
      <c r="F252" s="12" t="inlineStr"/>
      <c r="G252" s="12" t="inlineStr">
        <is>
          <t>4.18, 5.04</t>
        </is>
      </c>
      <c r="H252" s="12" t="inlineStr"/>
      <c r="I252" s="17" t="n"/>
      <c r="J252" s="17" t="n"/>
    </row>
    <row r="253">
      <c r="A253" s="12" t="inlineStr">
        <is>
          <t>Leads</t>
        </is>
      </c>
      <c r="B253" s="12" t="inlineStr">
        <is>
          <t>N-02</t>
        </is>
      </c>
      <c r="C253" s="12" t="inlineStr">
        <is>
          <t>Notifications</t>
        </is>
      </c>
      <c r="D253" s="14" t="inlineStr">
        <is>
          <t>Lead status changed</t>
        </is>
      </c>
      <c r="E253" s="14" t="inlineStr">
        <is>
          <t>Built in parity round 2</t>
        </is>
      </c>
      <c r="F253" s="12" t="inlineStr"/>
      <c r="G253" s="12" t="inlineStr">
        <is>
          <t>5.08</t>
        </is>
      </c>
      <c r="H253" s="12" t="inlineStr"/>
      <c r="I253" s="17" t="n"/>
      <c r="J253" s="17" t="n"/>
    </row>
    <row r="254">
      <c r="A254" s="12" t="inlineStr">
        <is>
          <t>Leads</t>
        </is>
      </c>
      <c r="B254" s="12" t="inlineStr">
        <is>
          <t>N-03</t>
        </is>
      </c>
      <c r="C254" s="12" t="inlineStr">
        <is>
          <t>Notifications</t>
        </is>
      </c>
      <c r="D254" s="14" t="inlineStr">
        <is>
          <t>Lead captured</t>
        </is>
      </c>
      <c r="E254" s="14" t="inlineStr">
        <is>
          <t>Built</t>
        </is>
      </c>
      <c r="F254" s="12" t="inlineStr"/>
      <c r="G254" s="12" t="inlineStr">
        <is>
          <t>1.08, 4.07</t>
        </is>
      </c>
      <c r="H254" s="12" t="inlineStr"/>
      <c r="I254" s="17" t="n"/>
      <c r="J254" s="17" t="n"/>
    </row>
    <row r="255">
      <c r="A255" s="12" t="inlineStr">
        <is>
          <t>Leads</t>
        </is>
      </c>
      <c r="B255" s="12" t="inlineStr">
        <is>
          <t>N-04</t>
        </is>
      </c>
      <c r="C255" s="12" t="inlineStr">
        <is>
          <t>Notifications</t>
        </is>
      </c>
      <c r="D255" s="14" t="inlineStr">
        <is>
          <t>Follow-up reminder 30 minutes before</t>
        </is>
      </c>
      <c r="E255" s="14" t="inlineStr">
        <is>
          <t>Built in parity round 2</t>
        </is>
      </c>
      <c r="F255" s="12" t="inlineStr"/>
      <c r="G255" s="12" t="inlineStr">
        <is>
          <t>5.05</t>
        </is>
      </c>
      <c r="H255" s="12" t="inlineStr"/>
      <c r="I255" s="17" t="n"/>
      <c r="J255" s="17" t="n"/>
    </row>
    <row r="256">
      <c r="A256" s="12" t="inlineStr">
        <is>
          <t>Leads</t>
        </is>
      </c>
      <c r="B256" s="12" t="inlineStr">
        <is>
          <t>N-05</t>
        </is>
      </c>
      <c r="C256" s="12" t="inlineStr">
        <is>
          <t>Notifications</t>
        </is>
      </c>
      <c r="D256" s="14" t="inlineStr">
        <is>
          <t>Hold ended — revisit</t>
        </is>
      </c>
      <c r="E256" s="14" t="inlineStr">
        <is>
          <t>Built in parity round 2</t>
        </is>
      </c>
      <c r="F256" s="12" t="inlineStr"/>
      <c r="G256" s="12" t="inlineStr">
        <is>
          <t>9.05</t>
        </is>
      </c>
      <c r="H256" s="12" t="inlineStr"/>
      <c r="I256" s="17" t="n"/>
      <c r="J256" s="17" t="n"/>
    </row>
    <row r="257">
      <c r="A257" s="12" t="inlineStr">
        <is>
          <t>Leads</t>
        </is>
      </c>
      <c r="B257" s="12" t="inlineStr">
        <is>
          <t>N-06</t>
        </is>
      </c>
      <c r="C257" s="12" t="inlineStr">
        <is>
          <t>Notifications</t>
        </is>
      </c>
      <c r="D257" s="14" t="inlineStr">
        <is>
          <t>Questionnaire requested and answered</t>
        </is>
      </c>
      <c r="E257" s="14" t="inlineStr">
        <is>
          <t>Built in parity round 3</t>
        </is>
      </c>
      <c r="F257" s="12" t="inlineStr">
        <is>
          <t>The client answers on their portal; the bell tells the members</t>
        </is>
      </c>
      <c r="G257" s="12" t="inlineStr">
        <is>
          <t>5.18</t>
        </is>
      </c>
      <c r="H257" s="12" t="inlineStr"/>
      <c r="I257" s="17" t="n"/>
      <c r="J257" s="17" t="n"/>
    </row>
    <row r="258">
      <c r="A258" s="12" t="inlineStr">
        <is>
          <t>Leads</t>
        </is>
      </c>
      <c r="B258" s="12" t="inlineStr">
        <is>
          <t>N-07</t>
        </is>
      </c>
      <c r="C258" s="12" t="inlineStr">
        <is>
          <t>Notifications</t>
        </is>
      </c>
      <c r="D258" s="14" t="inlineStr">
        <is>
          <t>Task assigned and task due soon</t>
        </is>
      </c>
      <c r="E258" s="14" t="inlineStr">
        <is>
          <t>Built in parity round 2</t>
        </is>
      </c>
      <c r="F258" s="12" t="inlineStr"/>
      <c r="G258" s="12" t="inlineStr"/>
      <c r="H258" s="28" t="inlineStr">
        <is>
          <t>Team check</t>
        </is>
      </c>
      <c r="I258" s="17" t="n"/>
      <c r="J258" s="17" t="n"/>
    </row>
    <row r="259">
      <c r="A259" s="12" t="inlineStr">
        <is>
          <t>Leads</t>
        </is>
      </c>
      <c r="B259" s="12" t="inlineStr">
        <is>
          <t>N-08</t>
        </is>
      </c>
      <c r="C259" s="12" t="inlineStr">
        <is>
          <t>Notifications</t>
        </is>
      </c>
      <c r="D259" s="14" t="inlineStr">
        <is>
          <t>Untouched lead</t>
        </is>
      </c>
      <c r="E259" s="14" t="inlineStr">
        <is>
          <t>2.0 only</t>
        </is>
      </c>
      <c r="F259" s="12" t="inlineStr">
        <is>
          <t>No 1.0 counterpart</t>
        </is>
      </c>
      <c r="G259" s="12" t="inlineStr">
        <is>
          <t>11.04, 11.07</t>
        </is>
      </c>
      <c r="H259" s="12" t="inlineStr"/>
      <c r="I259" s="17" t="n"/>
      <c r="J259" s="17" t="n"/>
    </row>
    <row r="260">
      <c r="A260" s="12" t="inlineStr">
        <is>
          <t>Leads</t>
        </is>
      </c>
      <c r="B260" s="12" t="inlineStr">
        <is>
          <t>N-09</t>
        </is>
      </c>
      <c r="C260" s="12" t="inlineStr">
        <is>
          <t>Notifications</t>
        </is>
      </c>
      <c r="D260" s="14" t="inlineStr">
        <is>
          <t>Sending rules and who hears what</t>
        </is>
      </c>
      <c r="E260" s="14" t="inlineStr">
        <is>
          <t>Built</t>
        </is>
      </c>
      <c r="F260" s="12" t="inlineStr"/>
      <c r="G260" s="12" t="inlineStr"/>
      <c r="H260" s="28" t="inlineStr">
        <is>
          <t>Team check</t>
        </is>
      </c>
      <c r="I260" s="17" t="n"/>
      <c r="J260" s="17" t="n"/>
    </row>
    <row r="261">
      <c r="A261" s="12" t="inlineStr">
        <is>
          <t>Leads</t>
        </is>
      </c>
      <c r="B261" s="12" t="inlineStr">
        <is>
          <t>N-10</t>
        </is>
      </c>
      <c r="C261" s="12" t="inlineStr">
        <is>
          <t>Notifications</t>
        </is>
      </c>
      <c r="D261" s="14" t="inlineStr">
        <is>
          <t>Scheduled sends and daily digest</t>
        </is>
      </c>
      <c r="E261" s="14" t="inlineStr">
        <is>
          <t>Built</t>
        </is>
      </c>
      <c r="F261" s="12" t="inlineStr">
        <is>
          <t>Daily summary on Your profile (S18); timed sends through /api/cron (S34)</t>
        </is>
      </c>
      <c r="G261" s="12" t="inlineStr"/>
      <c r="H261" s="28" t="inlineStr">
        <is>
          <t>Team check</t>
        </is>
      </c>
      <c r="I261" s="17" t="n"/>
      <c r="J261" s="17" t="n"/>
    </row>
    <row r="262">
      <c r="A262" s="12" t="inlineStr">
        <is>
          <t>Leads</t>
        </is>
      </c>
      <c r="B262" s="12" t="inlineStr">
        <is>
          <t>N-11</t>
        </is>
      </c>
      <c r="C262" s="12" t="inlineStr">
        <is>
          <t>Notifications</t>
        </is>
      </c>
      <c r="D262" s="14" t="inlineStr">
        <is>
          <t>Notification settings page</t>
        </is>
      </c>
      <c r="E262" s="14" t="inlineStr">
        <is>
          <t>Built</t>
        </is>
      </c>
      <c r="F262" s="12" t="inlineStr"/>
      <c r="G262" s="12" t="inlineStr">
        <is>
          <t>2.32, 2.33, 11.07</t>
        </is>
      </c>
      <c r="H262" s="12" t="inlineStr"/>
      <c r="I262" s="17" t="n"/>
      <c r="J262" s="17" t="n"/>
    </row>
    <row r="263">
      <c r="A263" s="12" t="inlineStr">
        <is>
          <t>Leads</t>
        </is>
      </c>
      <c r="B263" s="12" t="inlineStr">
        <is>
          <t>T-01</t>
        </is>
      </c>
      <c r="C263" s="12" t="inlineStr">
        <is>
          <t>Touchpoints</t>
        </is>
      </c>
      <c r="D263" s="14" t="inlineStr">
        <is>
          <t>Dashboard lead widgets</t>
        </is>
      </c>
      <c r="E263" s="14" t="inlineStr">
        <is>
          <t>Built</t>
        </is>
      </c>
      <c r="F263" s="12" t="inlineStr">
        <is>
          <t>/dashboard: a Leads tile and lead rows in Needs you (S22)</t>
        </is>
      </c>
      <c r="G263" s="12" t="inlineStr"/>
      <c r="H263" s="28" t="inlineStr">
        <is>
          <t>Team check</t>
        </is>
      </c>
      <c r="I263" s="17" t="n"/>
      <c r="J263" s="17" t="n"/>
    </row>
    <row r="264">
      <c r="A264" s="12" t="inlineStr">
        <is>
          <t>Leads</t>
        </is>
      </c>
      <c r="B264" s="12" t="inlineStr">
        <is>
          <t>T-02</t>
        </is>
      </c>
      <c r="C264" s="12" t="inlineStr">
        <is>
          <t>Touchpoints</t>
        </is>
      </c>
      <c r="D264" s="14" t="inlineStr">
        <is>
          <t>Inbox</t>
        </is>
      </c>
      <c r="E264" s="14" t="inlineStr">
        <is>
          <t>Built</t>
        </is>
      </c>
      <c r="F264" s="12" t="inlineStr"/>
      <c r="G264" s="12" t="inlineStr"/>
      <c r="H264" s="28" t="inlineStr">
        <is>
          <t>Team check</t>
        </is>
      </c>
      <c r="I264" s="17" t="n"/>
      <c r="J264" s="17" t="n"/>
    </row>
    <row r="265">
      <c r="A265" s="12" t="inlineStr">
        <is>
          <t>Leads</t>
        </is>
      </c>
      <c r="B265" s="12" t="inlineStr">
        <is>
          <t>T-03</t>
        </is>
      </c>
      <c r="C265" s="12" t="inlineStr">
        <is>
          <t>Touchpoints</t>
        </is>
      </c>
      <c r="D265" s="14" t="inlineStr">
        <is>
          <t>Tasks linked to leads, follow-up type</t>
        </is>
      </c>
      <c r="E265" s="14" t="inlineStr">
        <is>
          <t>Built in parity round 2</t>
        </is>
      </c>
      <c r="F265" s="12" t="inlineStr"/>
      <c r="G265" s="12" t="inlineStr">
        <is>
          <t>5.05, 5.12, 11.01, 11.02, 11.03</t>
        </is>
      </c>
      <c r="H265" s="12" t="inlineStr"/>
      <c r="I265" s="17" t="n"/>
      <c r="J265" s="17" t="n"/>
    </row>
    <row r="266">
      <c r="A266" s="12" t="inlineStr">
        <is>
          <t>Leads</t>
        </is>
      </c>
      <c r="B266" s="12" t="inlineStr">
        <is>
          <t>T-04</t>
        </is>
      </c>
      <c r="C266" s="12" t="inlineStr">
        <is>
          <t>Touchpoints</t>
        </is>
      </c>
      <c r="D266" s="14" t="inlineStr">
        <is>
          <t>Convert to a project</t>
        </is>
      </c>
      <c r="E266" s="14" t="inlineStr">
        <is>
          <t>Built</t>
        </is>
      </c>
      <c r="F266" s="12" t="inlineStr">
        <is>
          <t>Convert to Project opens Won, which creates the project (Projects build)</t>
        </is>
      </c>
      <c r="G266" s="12" t="inlineStr"/>
      <c r="H266" s="28" t="inlineStr">
        <is>
          <t>Team check</t>
        </is>
      </c>
      <c r="I266" s="17" t="n"/>
      <c r="J266" s="17" t="n"/>
    </row>
    <row r="267">
      <c r="A267" s="12" t="inlineStr">
        <is>
          <t>Leads</t>
        </is>
      </c>
      <c r="B267" s="12" t="inlineStr">
        <is>
          <t>T-05</t>
        </is>
      </c>
      <c r="C267" s="12" t="inlineStr">
        <is>
          <t>Touchpoints</t>
        </is>
      </c>
      <c r="D267" s="14" t="inlineStr">
        <is>
          <t>Escalations</t>
        </is>
      </c>
      <c r="E267" s="14" t="inlineStr">
        <is>
          <t>Built</t>
        </is>
      </c>
      <c r="F267" s="12" t="inlineStr"/>
      <c r="G267" s="12" t="inlineStr"/>
      <c r="H267" s="28" t="inlineStr">
        <is>
          <t>Team check</t>
        </is>
      </c>
      <c r="I267" s="17" t="n"/>
      <c r="J267" s="17" t="n"/>
    </row>
    <row r="268">
      <c r="A268" s="12" t="inlineStr">
        <is>
          <t>Leads</t>
        </is>
      </c>
      <c r="B268" s="12" t="inlineStr">
        <is>
          <t>T-06</t>
        </is>
      </c>
      <c r="C268" s="12" t="inlineStr">
        <is>
          <t>Touchpoints</t>
        </is>
      </c>
      <c r="D268" s="14" t="inlineStr">
        <is>
          <t>Return and refund</t>
        </is>
      </c>
      <c r="E268" s="14" t="inlineStr">
        <is>
          <t>Built in parity round 3</t>
        </is>
      </c>
      <c r="F268" s="12" t="inlineStr"/>
      <c r="G268" s="12" t="inlineStr">
        <is>
          <t>9.10, 9.11</t>
        </is>
      </c>
      <c r="H268" s="12" t="inlineStr"/>
      <c r="I268" s="17" t="n"/>
      <c r="J268" s="17" t="n"/>
    </row>
    <row r="269">
      <c r="A269" s="12" t="inlineStr">
        <is>
          <t>Leads</t>
        </is>
      </c>
      <c r="B269" s="12" t="inlineStr">
        <is>
          <t>T-07</t>
        </is>
      </c>
      <c r="C269" s="12" t="inlineStr">
        <is>
          <t>Touchpoints</t>
        </is>
      </c>
      <c r="D269" s="14" t="inlineStr">
        <is>
          <t>Homeowner page and automatic link</t>
        </is>
      </c>
      <c r="E269" s="14" t="inlineStr">
        <is>
          <t>Built</t>
        </is>
      </c>
      <c r="F269" s="12" t="inlineStr">
        <is>
          <t>The client portal /my/&lt;address&gt;; access by Invite to Portal, not automatic (Q-22)</t>
        </is>
      </c>
      <c r="G269" s="12" t="inlineStr">
        <is>
          <t>9.13</t>
        </is>
      </c>
      <c r="H269" s="12" t="inlineStr"/>
      <c r="I269" s="17" t="n"/>
      <c r="J269" s="17" t="n"/>
    </row>
    <row r="270">
      <c r="A270" s="12" t="inlineStr">
        <is>
          <t>Leads</t>
        </is>
      </c>
      <c r="B270" s="12" t="inlineStr">
        <is>
          <t>T-08</t>
        </is>
      </c>
      <c r="C270" s="12" t="inlineStr">
        <is>
          <t>Touchpoints</t>
        </is>
      </c>
      <c r="D270" s="14" t="inlineStr">
        <is>
          <t>Scope questionnaire builder</t>
        </is>
      </c>
      <c r="E270" s="14" t="inlineStr">
        <is>
          <t>Built in parity round 6</t>
        </is>
      </c>
      <c r="F270" s="12" t="inlineStr"/>
      <c r="G270" s="12" t="inlineStr">
        <is>
          <t>3.37, 5.17</t>
        </is>
      </c>
      <c r="H270" s="12" t="inlineStr"/>
      <c r="I270" s="17" t="n"/>
      <c r="J270" s="17" t="n"/>
    </row>
    <row r="271">
      <c r="A271" s="12" t="inlineStr">
        <is>
          <t>Leads</t>
        </is>
      </c>
      <c r="B271" s="12" t="inlineStr">
        <is>
          <t>T-09</t>
        </is>
      </c>
      <c r="C271" s="12" t="inlineStr">
        <is>
          <t>Touchpoints</t>
        </is>
      </c>
      <c r="D271" s="14" t="inlineStr">
        <is>
          <t>Admin studio detail</t>
        </is>
      </c>
      <c r="E271" s="14" t="inlineStr">
        <is>
          <t>Platform</t>
        </is>
      </c>
      <c r="F271" s="12" t="inlineStr">
        <is>
          <t>Platform admin; Qanvast Ops › Studios has only the portal switch and usage</t>
        </is>
      </c>
      <c r="G271" s="12" t="inlineStr"/>
      <c r="H271" s="12" t="inlineStr"/>
      <c r="I271" s="17" t="n"/>
      <c r="J271" s="17" t="n"/>
    </row>
    <row r="272">
      <c r="A272" s="12" t="inlineStr">
        <is>
          <t>Leads</t>
        </is>
      </c>
      <c r="B272" s="12" t="inlineStr">
        <is>
          <t>T-10</t>
        </is>
      </c>
      <c r="C272" s="12" t="inlineStr">
        <is>
          <t>Touchpoints</t>
        </is>
      </c>
      <c r="D272" s="14" t="inlineStr">
        <is>
          <t>Qanvast Ops leads with export and return rules</t>
        </is>
      </c>
      <c r="E272" s="14" t="inlineStr">
        <is>
          <t>Built in parity round 3</t>
        </is>
      </c>
      <c r="F272" s="12" t="inlineStr"/>
      <c r="G272" s="12" t="inlineStr">
        <is>
          <t>4.15, 9.12</t>
        </is>
      </c>
      <c r="H272" s="12" t="inlineStr"/>
      <c r="I272" s="17" t="n"/>
      <c r="J272" s="17" t="n"/>
    </row>
    <row r="273">
      <c r="A273" s="12" t="inlineStr">
        <is>
          <t>Leads</t>
        </is>
      </c>
      <c r="B273" s="12" t="inlineStr">
        <is>
          <t>T-11</t>
        </is>
      </c>
      <c r="C273" s="12" t="inlineStr">
        <is>
          <t>Touchpoints</t>
        </is>
      </c>
      <c r="D273" s="14" t="inlineStr">
        <is>
          <t>Hangouts, copilot and entity</t>
        </is>
      </c>
      <c r="E273" s="14" t="inlineStr">
        <is>
          <t>Built</t>
        </is>
      </c>
      <c r="F273" s="12" t="inlineStr">
        <is>
          <t>Hangouts (S27), the co-pilot (S23); the entity stays on quotes and contracts</t>
        </is>
      </c>
      <c r="G273" s="12" t="inlineStr"/>
      <c r="H273" s="28" t="inlineStr">
        <is>
          <t>Team check</t>
        </is>
      </c>
      <c r="I273" s="17" t="n"/>
      <c r="J273" s="17" t="n"/>
    </row>
    <row r="274">
      <c r="A274" s="12" t="inlineStr">
        <is>
          <t>Quote templates</t>
        </is>
      </c>
      <c r="B274" s="12" t="inlineStr">
        <is>
          <t>DEF-01</t>
        </is>
      </c>
      <c r="C274" s="12" t="inlineStr">
        <is>
          <t>Definitions</t>
        </is>
      </c>
      <c r="D274" s="14" t="inlineStr">
        <is>
          <t>What 'template' means: a design, a starter quote, a package</t>
        </is>
      </c>
      <c r="E274" s="14" t="inlineStr">
        <is>
          <t>Built</t>
        </is>
      </c>
      <c r="F274" s="12" t="inlineStr">
        <is>
          <t>One quote template; priced lines live in My Sections (Q-01)</t>
        </is>
      </c>
      <c r="G274" s="12" t="inlineStr">
        <is>
          <t>3.23</t>
        </is>
      </c>
      <c r="H274" s="12" t="inlineStr"/>
      <c r="I274" s="17" t="n"/>
      <c r="J274" s="17" t="n"/>
    </row>
    <row r="275">
      <c r="A275" s="12" t="inlineStr">
        <is>
          <t>Quote templates</t>
        </is>
      </c>
      <c r="B275" s="12" t="inlineStr">
        <is>
          <t>DEF-02</t>
        </is>
      </c>
      <c r="C275" s="12" t="inlineStr">
        <is>
          <t>Definitions</t>
        </is>
      </c>
      <c r="D275" s="14" t="inlineStr">
        <is>
          <t>Two template editors and three print engines</t>
        </is>
      </c>
      <c r="E275" s="14" t="inlineStr">
        <is>
          <t>Built</t>
        </is>
      </c>
      <c r="F275" s="12" t="inlineStr">
        <is>
          <t>One editor and one renderer for every surface</t>
        </is>
      </c>
      <c r="G275" s="12" t="inlineStr"/>
      <c r="H275" s="28" t="inlineStr">
        <is>
          <t>Team check</t>
        </is>
      </c>
      <c r="I275" s="17" t="n"/>
      <c r="J275" s="17" t="n"/>
    </row>
    <row r="276">
      <c r="A276" s="12" t="inlineStr">
        <is>
          <t>Quote templates</t>
        </is>
      </c>
      <c r="B276" s="12" t="inlineStr">
        <is>
          <t>DEF-03</t>
        </is>
      </c>
      <c r="C276" s="12" t="inlineStr">
        <is>
          <t>Definitions</t>
        </is>
      </c>
      <c r="D276" s="14" t="inlineStr">
        <is>
          <t>A quote's design edited per lead (Layout tab)</t>
        </is>
      </c>
      <c r="E276" s="14" t="inlineStr">
        <is>
          <t>Not built — by design</t>
        </is>
      </c>
      <c r="F276" s="12" t="inlineStr">
        <is>
          <t>Designs live on the template; edit it from the quote (Q-02)</t>
        </is>
      </c>
      <c r="G276" s="12" t="inlineStr"/>
      <c r="H276" s="12" t="inlineStr"/>
      <c r="I276" s="17" t="n"/>
      <c r="J276" s="17" t="n"/>
    </row>
    <row r="277">
      <c r="A277" s="12" t="inlineStr">
        <is>
          <t>Quote templates</t>
        </is>
      </c>
      <c r="B277" s="12" t="inlineStr">
        <is>
          <t>DEF-04</t>
        </is>
      </c>
      <c r="C277" s="12" t="inlineStr">
        <is>
          <t>Definitions</t>
        </is>
      </c>
      <c r="D277" s="14" t="inlineStr">
        <is>
          <t>Knobs: the fine settings on each block</t>
        </is>
      </c>
      <c r="E277" s="14" t="inlineStr">
        <is>
          <t>Built</t>
        </is>
      </c>
      <c r="F277" s="12" t="inlineStr"/>
      <c r="G277" s="12" t="inlineStr">
        <is>
          <t>3.24</t>
        </is>
      </c>
      <c r="H277" s="12" t="inlineStr"/>
      <c r="I277" s="17" t="n"/>
      <c r="J277" s="17" t="n"/>
    </row>
    <row r="278">
      <c r="A278" s="12" t="inlineStr">
        <is>
          <t>Quote templates</t>
        </is>
      </c>
      <c r="B278" s="12" t="inlineStr">
        <is>
          <t>DEF-05</t>
        </is>
      </c>
      <c r="C278" s="12" t="inlineStr">
        <is>
          <t>Definitions</t>
        </is>
      </c>
      <c r="D278" s="14" t="inlineStr">
        <is>
          <t>Theme presets and house styles</t>
        </is>
      </c>
      <c r="E278" s="14" t="inlineStr">
        <is>
          <t>Built</t>
        </is>
      </c>
      <c r="F278" s="12" t="inlineStr">
        <is>
          <t>Four ready-made designs start a template; no preset overlay (Q-03)</t>
        </is>
      </c>
      <c r="G278" s="12" t="inlineStr">
        <is>
          <t>3.23</t>
        </is>
      </c>
      <c r="H278" s="12" t="inlineStr"/>
      <c r="I278" s="17" t="n"/>
      <c r="J278" s="17" t="n"/>
    </row>
    <row r="279">
      <c r="A279" s="12" t="inlineStr">
        <is>
          <t>Quote templates</t>
        </is>
      </c>
      <c r="B279" s="12" t="inlineStr">
        <is>
          <t>DEF-06</t>
        </is>
      </c>
      <c r="C279" s="12" t="inlineStr">
        <is>
          <t>Definitions</t>
        </is>
      </c>
      <c r="D279" s="14" t="inlineStr">
        <is>
          <t>One default template</t>
        </is>
      </c>
      <c r="E279" s="14" t="inlineStr">
        <is>
          <t>Built</t>
        </is>
      </c>
      <c r="F279" s="12" t="inlineStr">
        <is>
          <t>One default per studio; published templates only</t>
        </is>
      </c>
      <c r="G279" s="12" t="inlineStr">
        <is>
          <t>3.17, 3.31, 3.36</t>
        </is>
      </c>
      <c r="H279" s="12" t="inlineStr"/>
      <c r="I279" s="17" t="n"/>
      <c r="J279" s="17" t="n"/>
    </row>
    <row r="280">
      <c r="A280" s="12" t="inlineStr">
        <is>
          <t>Quote templates</t>
        </is>
      </c>
      <c r="B280" s="12" t="inlineStr">
        <is>
          <t>DEF-07</t>
        </is>
      </c>
      <c r="C280" s="12" t="inlineStr">
        <is>
          <t>Definitions</t>
        </is>
      </c>
      <c r="D280" s="14" t="inlineStr">
        <is>
          <t>Quote templates per legal entity</t>
        </is>
      </c>
      <c r="E280" s="14" t="inlineStr">
        <is>
          <t>Not built — by design</t>
        </is>
      </c>
      <c r="F280" s="12" t="inlineStr">
        <is>
          <t>The quote's issuing entity picks bank, QR, GST and letterhead (Q-04)</t>
        </is>
      </c>
      <c r="G280" s="12" t="inlineStr"/>
      <c r="H280" s="12" t="inlineStr"/>
      <c r="I280" s="17" t="n"/>
      <c r="J280" s="17" t="n"/>
    </row>
    <row r="281">
      <c r="A281" s="12" t="inlineStr">
        <is>
          <t>Quote templates</t>
        </is>
      </c>
      <c r="B281" s="12" t="inlineStr">
        <is>
          <t>DEF-08</t>
        </is>
      </c>
      <c r="C281" s="12" t="inlineStr">
        <is>
          <t>Definitions</t>
        </is>
      </c>
      <c r="D281" s="14" t="inlineStr">
        <is>
          <t>Template lifecycle (a save is live at once)</t>
        </is>
      </c>
      <c r="E281" s="14" t="inlineStr">
        <is>
          <t>2.0 only</t>
        </is>
      </c>
      <c r="F281" s="12" t="inlineStr">
        <is>
          <t>Draft, publish, versions, roll back and pinned quotes are new</t>
        </is>
      </c>
      <c r="G281" s="12" t="inlineStr">
        <is>
          <t>3.31</t>
        </is>
      </c>
      <c r="H281" s="12" t="inlineStr"/>
      <c r="I281" s="17" t="n"/>
      <c r="J281" s="17" t="n"/>
    </row>
    <row r="282">
      <c r="A282" s="12" t="inlineStr">
        <is>
          <t>Quote templates</t>
        </is>
      </c>
      <c r="B282" s="12" t="inlineStr">
        <is>
          <t>DEF-09</t>
        </is>
      </c>
      <c r="C282" s="12" t="inlineStr">
        <is>
          <t>Definitions</t>
        </is>
      </c>
      <c r="D282" s="14" t="inlineStr">
        <is>
          <t>Who may edit templates</t>
        </is>
      </c>
      <c r="E282" s="14" t="inlineStr">
        <is>
          <t>Built</t>
        </is>
      </c>
      <c r="F282" s="12" t="inlineStr">
        <is>
          <t>Owners and Admins publish; Designers submit for approval (Q-05)</t>
        </is>
      </c>
      <c r="G282" s="12" t="inlineStr">
        <is>
          <t>10.06, 10.14</t>
        </is>
      </c>
      <c r="H282" s="12" t="inlineStr"/>
      <c r="I282" s="17" t="n"/>
      <c r="J282" s="17" t="n"/>
    </row>
    <row r="283">
      <c r="A283" s="12" t="inlineStr">
        <is>
          <t>Quote templates</t>
        </is>
      </c>
      <c r="B283" s="12" t="inlineStr">
        <is>
          <t>DEF-10</t>
        </is>
      </c>
      <c r="C283" s="12" t="inlineStr">
        <is>
          <t>Definitions</t>
        </is>
      </c>
      <c r="D283" s="14" t="inlineStr">
        <is>
          <t>Deleting a template</t>
        </is>
      </c>
      <c r="E283" s="14" t="inlineStr">
        <is>
          <t>Built</t>
        </is>
      </c>
      <c r="F283" s="12" t="inlineStr"/>
      <c r="G283" s="12" t="inlineStr">
        <is>
          <t>3.35</t>
        </is>
      </c>
      <c r="H283" s="12" t="inlineStr"/>
      <c r="I283" s="17" t="n"/>
      <c r="J283" s="17" t="n"/>
    </row>
    <row r="284">
      <c r="A284" s="12" t="inlineStr">
        <is>
          <t>Quote templates</t>
        </is>
      </c>
      <c r="B284" s="12" t="inlineStr">
        <is>
          <t>DEF-11</t>
        </is>
      </c>
      <c r="C284" s="12" t="inlineStr">
        <is>
          <t>Definitions</t>
        </is>
      </c>
      <c r="D284" s="14" t="inlineStr">
        <is>
          <t>Tokens in a template's text</t>
        </is>
      </c>
      <c r="E284" s="14" t="inlineStr">
        <is>
          <t>Built</t>
        </is>
      </c>
      <c r="F284" s="12" t="inlineStr"/>
      <c r="G284" s="12" t="inlineStr">
        <is>
          <t>3.25</t>
        </is>
      </c>
      <c r="H284" s="12" t="inlineStr"/>
      <c r="I284" s="17" t="n"/>
      <c r="J284" s="17" t="n"/>
    </row>
    <row r="285">
      <c r="A285" s="12" t="inlineStr">
        <is>
          <t>Quote templates</t>
        </is>
      </c>
      <c r="B285" s="12" t="inlineStr">
        <is>
          <t>DEF-12</t>
        </is>
      </c>
      <c r="C285" s="12" t="inlineStr">
        <is>
          <t>Definitions</t>
        </is>
      </c>
      <c r="D285" s="14" t="inlineStr">
        <is>
          <t>Per-quote design overrides within a lock map</t>
        </is>
      </c>
      <c r="E285" s="14" t="inlineStr">
        <is>
          <t>Not built — by design</t>
        </is>
      </c>
      <c r="F285" s="12" t="inlineStr">
        <is>
          <t>A quote keeps client-view switches, not design edits (Q-02)</t>
        </is>
      </c>
      <c r="G285" s="12" t="inlineStr"/>
      <c r="H285" s="12" t="inlineStr"/>
      <c r="I285" s="17" t="n"/>
      <c r="J285" s="17" t="n"/>
    </row>
    <row r="286">
      <c r="A286" s="12" t="inlineStr">
        <is>
          <t>Quote templates</t>
        </is>
      </c>
      <c r="B286" s="12" t="inlineStr">
        <is>
          <t>DEF-13</t>
        </is>
      </c>
      <c r="C286" s="12" t="inlineStr">
        <is>
          <t>Definitions</t>
        </is>
      </c>
      <c r="D286" s="14" t="inlineStr">
        <is>
          <t>Sample data drawn in the editor</t>
        </is>
      </c>
      <c r="E286" s="14" t="inlineStr">
        <is>
          <t>Built</t>
        </is>
      </c>
      <c r="F286" s="12" t="inlineStr"/>
      <c r="G286" s="12" t="inlineStr">
        <is>
          <t>3.27</t>
        </is>
      </c>
      <c r="H286" s="12" t="inlineStr"/>
      <c r="I286" s="17" t="n"/>
      <c r="J286" s="17" t="n"/>
    </row>
    <row r="287">
      <c r="A287" s="12" t="inlineStr">
        <is>
          <t>Quote templates</t>
        </is>
      </c>
      <c r="B287" s="12" t="inlineStr">
        <is>
          <t>DEF-14</t>
        </is>
      </c>
      <c r="C287" s="12" t="inlineStr">
        <is>
          <t>Definitions</t>
        </is>
      </c>
      <c r="D287" s="14" t="inlineStr">
        <is>
          <t>Starter content with priced items</t>
        </is>
      </c>
      <c r="E287" s="14" t="inlineStr">
        <is>
          <t>Not built — by design</t>
        </is>
      </c>
      <c r="F287" s="12" t="inlineStr">
        <is>
          <t>Templates start empty sections; priced lines come from My Sections (Q-06)</t>
        </is>
      </c>
      <c r="G287" s="12" t="inlineStr">
        <is>
          <t>3.30</t>
        </is>
      </c>
      <c r="H287" s="12" t="inlineStr"/>
      <c r="I287" s="17" t="n"/>
      <c r="J287" s="17" t="n"/>
    </row>
    <row r="288">
      <c r="A288" s="12" t="inlineStr">
        <is>
          <t>Quote templates</t>
        </is>
      </c>
      <c r="B288" s="12" t="inlineStr">
        <is>
          <t>DEF-15</t>
        </is>
      </c>
      <c r="C288" s="12" t="inlineStr">
        <is>
          <t>Definitions</t>
        </is>
      </c>
      <c r="D288" s="14" t="inlineStr">
        <is>
          <t>Sections / trades with a printed description</t>
        </is>
      </c>
      <c r="E288" s="14" t="inlineStr">
        <is>
          <t>Built in parity round 1</t>
        </is>
      </c>
      <c r="F288" s="12" t="inlineStr"/>
      <c r="G288" s="12" t="inlineStr">
        <is>
          <t>2.26</t>
        </is>
      </c>
      <c r="H288" s="12" t="inlineStr"/>
      <c r="I288" s="17" t="n"/>
      <c r="J288" s="17" t="n"/>
    </row>
    <row r="289">
      <c r="A289" s="12" t="inlineStr">
        <is>
          <t>Quote templates</t>
        </is>
      </c>
      <c r="B289" s="12" t="inlineStr">
        <is>
          <t>DEF-16</t>
        </is>
      </c>
      <c r="C289" s="12" t="inlineStr">
        <is>
          <t>Definitions</t>
        </is>
      </c>
      <c r="D289" s="14" t="inlineStr">
        <is>
          <t>Quote Sharing settings (link expiry, switches)</t>
        </is>
      </c>
      <c r="E289" s="14" t="inlineStr">
        <is>
          <t>Dead</t>
        </is>
      </c>
      <c r="F289" s="12" t="inlineStr">
        <is>
          <t>Saved but never read in 1.0; nothing to port (Q-09)</t>
        </is>
      </c>
      <c r="G289" s="12" t="inlineStr"/>
      <c r="H289" s="12" t="inlineStr"/>
      <c r="I289" s="17" t="n"/>
      <c r="J289" s="17" t="n"/>
    </row>
    <row r="290">
      <c r="A290" s="12" t="inlineStr">
        <is>
          <t>Quote templates</t>
        </is>
      </c>
      <c r="B290" s="12" t="inlineStr">
        <is>
          <t>MM-01</t>
        </is>
      </c>
      <c r="C290" s="12" t="inlineStr">
        <is>
          <t>Mismatches</t>
        </is>
      </c>
      <c r="D290" s="14" t="inlineStr">
        <is>
          <t>Where a quote's design is stored (per lead)</t>
        </is>
      </c>
      <c r="E290" s="14" t="inlineStr">
        <is>
          <t>Not built — by design</t>
        </is>
      </c>
      <c r="F290" s="12" t="inlineStr">
        <is>
          <t>The design lives on a template version pinned per quote (Q-02)</t>
        </is>
      </c>
      <c r="G290" s="12" t="inlineStr"/>
      <c r="H290" s="12" t="inlineStr"/>
      <c r="I290" s="17" t="n"/>
      <c r="J290" s="17" t="n"/>
    </row>
    <row r="291">
      <c r="A291" s="12" t="inlineStr">
        <is>
          <t>Quote templates</t>
        </is>
      </c>
      <c r="B291" s="12" t="inlineStr">
        <is>
          <t>MM-02</t>
        </is>
      </c>
      <c r="C291" s="12" t="inlineStr">
        <is>
          <t>Mismatches</t>
        </is>
      </c>
      <c r="D291" s="14" t="inlineStr">
        <is>
          <t>Editing one quote's look</t>
        </is>
      </c>
      <c r="E291" s="14" t="inlineStr">
        <is>
          <t>Built</t>
        </is>
      </c>
      <c r="F291" s="12" t="inlineStr">
        <is>
          <t>Edit the template from the quote, or change template (Q-02)</t>
        </is>
      </c>
      <c r="G291" s="12" t="inlineStr"/>
      <c r="H291" s="28" t="inlineStr">
        <is>
          <t>Team check</t>
        </is>
      </c>
      <c r="I291" s="17" t="n"/>
      <c r="J291" s="17" t="n"/>
    </row>
    <row r="292">
      <c r="A292" s="12" t="inlineStr">
        <is>
          <t>Quote templates</t>
        </is>
      </c>
      <c r="B292" s="12" t="inlineStr">
        <is>
          <t>MM-03</t>
        </is>
      </c>
      <c r="C292" s="12" t="inlineStr">
        <is>
          <t>Mismatches</t>
        </is>
      </c>
      <c r="D292" s="14" t="inlineStr">
        <is>
          <t>Presets as overlays plus one custom slot</t>
        </is>
      </c>
      <c r="E292" s="14" t="inlineStr">
        <is>
          <t>Built</t>
        </is>
      </c>
      <c r="F292" s="12" t="inlineStr">
        <is>
          <t>Whole ready-made designs; save a look as a template (Q-03)</t>
        </is>
      </c>
      <c r="G292" s="12" t="inlineStr">
        <is>
          <t>3.23</t>
        </is>
      </c>
      <c r="H292" s="12" t="inlineStr"/>
      <c r="I292" s="17" t="n"/>
      <c r="J292" s="17" t="n"/>
    </row>
    <row r="293">
      <c r="A293" s="12" t="inlineStr">
        <is>
          <t>Quote templates</t>
        </is>
      </c>
      <c r="B293" s="12" t="inlineStr">
        <is>
          <t>MM-04</t>
        </is>
      </c>
      <c r="C293" s="12" t="inlineStr">
        <is>
          <t>Mismatches</t>
        </is>
      </c>
      <c r="D293" s="14" t="inlineStr">
        <is>
          <t>Templates per legal entity</t>
        </is>
      </c>
      <c r="E293" s="14" t="inlineStr">
        <is>
          <t>Not built — by design</t>
        </is>
      </c>
      <c r="F293" s="12" t="inlineStr">
        <is>
          <t>Never applied in 1.0; the entity sets bank and letterhead (Q-04)</t>
        </is>
      </c>
      <c r="G293" s="12" t="inlineStr"/>
      <c r="H293" s="12" t="inlineStr"/>
      <c r="I293" s="17" t="n"/>
      <c r="J293" s="17" t="n"/>
    </row>
    <row r="294">
      <c r="A294" s="12" t="inlineStr">
        <is>
          <t>Quote templates</t>
        </is>
      </c>
      <c r="B294" s="12" t="inlineStr">
        <is>
          <t>MM-05</t>
        </is>
      </c>
      <c r="C294" s="12" t="inlineStr">
        <is>
          <t>Mismatches</t>
        </is>
      </c>
      <c r="D294" s="14" t="inlineStr">
        <is>
          <t>Everyone may edit templates</t>
        </is>
      </c>
      <c r="E294" s="14" t="inlineStr">
        <is>
          <t>Built</t>
        </is>
      </c>
      <c r="F294" s="12" t="inlineStr">
        <is>
          <t>Owners and Admins publish; Designers submit (Q-05)</t>
        </is>
      </c>
      <c r="G294" s="12" t="inlineStr">
        <is>
          <t>10.06</t>
        </is>
      </c>
      <c r="H294" s="12" t="inlineStr"/>
      <c r="I294" s="17" t="n"/>
      <c r="J294" s="17" t="n"/>
    </row>
    <row r="295">
      <c r="A295" s="12" t="inlineStr">
        <is>
          <t>Quote templates</t>
        </is>
      </c>
      <c r="B295" s="12" t="inlineStr">
        <is>
          <t>MM-06</t>
        </is>
      </c>
      <c r="C295" s="12" t="inlineStr">
        <is>
          <t>Mismatches</t>
        </is>
      </c>
      <c r="D295" s="14" t="inlineStr">
        <is>
          <t>Templates carry priced starter lines</t>
        </is>
      </c>
      <c r="E295" s="14" t="inlineStr">
        <is>
          <t>Not built — by design</t>
        </is>
      </c>
      <c r="F295" s="12" t="inlineStr">
        <is>
          <t>Starter sections only; priced lines via My Sections (Q-06)</t>
        </is>
      </c>
      <c r="G295" s="12" t="inlineStr">
        <is>
          <t>3.30</t>
        </is>
      </c>
      <c r="H295" s="12" t="inlineStr"/>
      <c r="I295" s="17" t="n"/>
      <c r="J295" s="17" t="n"/>
    </row>
    <row r="296">
      <c r="A296" s="12" t="inlineStr">
        <is>
          <t>Quote templates</t>
        </is>
      </c>
      <c r="B296" s="12" t="inlineStr">
        <is>
          <t>MM-07</t>
        </is>
      </c>
      <c r="C296" s="12" t="inlineStr">
        <is>
          <t>Mismatches</t>
        </is>
      </c>
      <c r="D296" s="14" t="inlineStr">
        <is>
          <t>Save as template, full or clean</t>
        </is>
      </c>
      <c r="E296" s="14" t="inlineStr">
        <is>
          <t>Not built — by design</t>
        </is>
      </c>
      <c r="F296" s="12" t="inlineStr">
        <is>
          <t>Save as template carries design and defaults, never lines (Q-06)</t>
        </is>
      </c>
      <c r="G296" s="12" t="inlineStr"/>
      <c r="H296" s="12" t="inlineStr"/>
      <c r="I296" s="17" t="n"/>
      <c r="J296" s="17" t="n"/>
    </row>
    <row r="297">
      <c r="A297" s="12" t="inlineStr">
        <is>
          <t>Quote templates</t>
        </is>
      </c>
      <c r="B297" s="12" t="inlineStr">
        <is>
          <t>MM-08</t>
        </is>
      </c>
      <c r="C297" s="12" t="inlineStr">
        <is>
          <t>Mismatches</t>
        </is>
      </c>
      <c r="D297" s="14" t="inlineStr">
        <is>
          <t>Seven item-numbering modes (A1, A2…)</t>
        </is>
      </c>
      <c r="E297" s="14" t="inlineStr">
        <is>
          <t>Built in parity round 1</t>
        </is>
      </c>
      <c r="F297" s="12" t="inlineStr"/>
      <c r="G297" s="12" t="inlineStr">
        <is>
          <t>3.29</t>
        </is>
      </c>
      <c r="H297" s="12" t="inlineStr"/>
      <c r="I297" s="17" t="n"/>
      <c r="J297" s="17" t="n"/>
    </row>
    <row r="298">
      <c r="A298" s="12" t="inlineStr">
        <is>
          <t>Quote templates</t>
        </is>
      </c>
      <c r="B298" s="12" t="inlineStr">
        <is>
          <t>MM-09</t>
        </is>
      </c>
      <c r="C298" s="12" t="inlineStr">
        <is>
          <t>Mismatches</t>
        </is>
      </c>
      <c r="D298" s="14" t="inlineStr">
        <is>
          <t>Optional lines counted in totals, or their own column</t>
        </is>
      </c>
      <c r="E298" s="14" t="inlineStr">
        <is>
          <t>Built in parity round 1</t>
        </is>
      </c>
      <c r="F298" s="12" t="inlineStr">
        <is>
          <t>Optional price column built; optional lines stay out of the totals</t>
        </is>
      </c>
      <c r="G298" s="12" t="inlineStr"/>
      <c r="H298" s="28" t="inlineStr">
        <is>
          <t>Team check</t>
        </is>
      </c>
      <c r="I298" s="17" t="n"/>
      <c r="J298" s="17" t="n"/>
    </row>
    <row r="299">
      <c r="A299" s="12" t="inlineStr">
        <is>
          <t>Quote templates</t>
        </is>
      </c>
      <c r="B299" s="12" t="inlineStr">
        <is>
          <t>MM-10</t>
        </is>
      </c>
      <c r="C299" s="12" t="inlineStr">
        <is>
          <t>Mismatches</t>
        </is>
      </c>
      <c r="D299" s="14" t="inlineStr">
        <is>
          <t>Totals shapes and a Round Off row</t>
        </is>
      </c>
      <c r="E299" s="14" t="inlineStr">
        <is>
          <t>Built</t>
        </is>
      </c>
      <c r="F299" s="12" t="inlineStr">
        <is>
          <t>Every totals shape is a setting; no Round off line (Q-12)</t>
        </is>
      </c>
      <c r="G299" s="12" t="inlineStr"/>
      <c r="H299" s="28" t="inlineStr">
        <is>
          <t>Team check</t>
        </is>
      </c>
      <c r="I299" s="17" t="n"/>
      <c r="J299" s="17" t="n"/>
    </row>
    <row r="300">
      <c r="A300" s="12" t="inlineStr">
        <is>
          <t>Quote templates</t>
        </is>
      </c>
      <c r="B300" s="12" t="inlineStr">
        <is>
          <t>MM-11</t>
        </is>
      </c>
      <c r="C300" s="12" t="inlineStr">
        <is>
          <t>Mismatches</t>
        </is>
      </c>
      <c r="D300" s="14" t="inlineStr">
        <is>
          <t>Printing prices GST-inclusive</t>
        </is>
      </c>
      <c r="E300" s="14" t="inlineStr">
        <is>
          <t>Later</t>
        </is>
      </c>
      <c r="F300" s="12" t="inlineStr">
        <is>
          <t>Held — ask the studios first (Q-13)</t>
        </is>
      </c>
      <c r="G300" s="12" t="inlineStr"/>
      <c r="H300" s="12" t="inlineStr"/>
      <c r="I300" s="17" t="n"/>
      <c r="J300" s="17" t="n"/>
    </row>
    <row r="301">
      <c r="A301" s="12" t="inlineStr">
        <is>
          <t>Quote templates</t>
        </is>
      </c>
      <c r="B301" s="12" t="inlineStr">
        <is>
          <t>MM-12</t>
        </is>
      </c>
      <c r="C301" s="12" t="inlineStr">
        <is>
          <t>Mismatches</t>
        </is>
      </c>
      <c r="D301" s="14" t="inlineStr">
        <is>
          <t>Header and footer repetition</t>
        </is>
      </c>
      <c r="E301" s="14" t="inlineStr">
        <is>
          <t>Built</t>
        </is>
      </c>
      <c r="F301" s="12" t="inlineStr"/>
      <c r="G301" s="12" t="inlineStr"/>
      <c r="H301" s="28" t="inlineStr">
        <is>
          <t>Team check</t>
        </is>
      </c>
      <c r="I301" s="17" t="n"/>
      <c r="J301" s="17" t="n"/>
    </row>
    <row r="302">
      <c r="A302" s="12" t="inlineStr">
        <is>
          <t>Quote templates</t>
        </is>
      </c>
      <c r="B302" s="12" t="inlineStr">
        <is>
          <t>MM-13</t>
        </is>
      </c>
      <c r="C302" s="12" t="inlineStr">
        <is>
          <t>Mismatches</t>
        </is>
      </c>
      <c r="D302" s="14" t="inlineStr">
        <is>
          <t>Fonts, incl. Outfit and uploaded fonts</t>
        </is>
      </c>
      <c r="E302" s="14" t="inlineStr">
        <is>
          <t>Built</t>
        </is>
      </c>
      <c r="F302" s="12" t="inlineStr">
        <is>
          <t>Outfit joins the fonts; Brand kit › “Your own fonts” takes uploads (S11)</t>
        </is>
      </c>
      <c r="G302" s="12" t="inlineStr"/>
      <c r="H302" s="28" t="inlineStr">
        <is>
          <t>Team check</t>
        </is>
      </c>
      <c r="I302" s="17" t="n"/>
      <c r="J302" s="17" t="n"/>
    </row>
    <row r="303">
      <c r="A303" s="12" t="inlineStr">
        <is>
          <t>Quote templates</t>
        </is>
      </c>
      <c r="B303" s="12" t="inlineStr">
        <is>
          <t>MM-14</t>
        </is>
      </c>
      <c r="C303" s="12" t="inlineStr">
        <is>
          <t>Mismatches</t>
        </is>
      </c>
      <c r="D303" s="14" t="inlineStr">
        <is>
          <t>Platform accreditation catalogue</t>
        </is>
      </c>
      <c r="E303" s="14" t="inlineStr">
        <is>
          <t>Built</t>
        </is>
      </c>
      <c r="F303" s="12" t="inlineStr">
        <is>
          <t>The studio's own badges in the brand kit (Q-15)</t>
        </is>
      </c>
      <c r="G303" s="12" t="inlineStr"/>
      <c r="H303" s="28" t="inlineStr">
        <is>
          <t>Team check</t>
        </is>
      </c>
      <c r="I303" s="17" t="n"/>
      <c r="J303" s="17" t="n"/>
    </row>
    <row r="304">
      <c r="A304" s="12" t="inlineStr">
        <is>
          <t>Quote templates</t>
        </is>
      </c>
      <c r="B304" s="12" t="inlineStr">
        <is>
          <t>MM-15</t>
        </is>
      </c>
      <c r="C304" s="12" t="inlineStr">
        <is>
          <t>Mismatches</t>
        </is>
      </c>
      <c r="D304" s="14" t="inlineStr">
        <is>
          <t>Payment milestones: fixed amounts, ordinals, footnote</t>
        </is>
      </c>
      <c r="E304" s="14" t="inlineStr">
        <is>
          <t>Built in parity round 2</t>
        </is>
      </c>
      <c r="F304" s="12" t="inlineStr">
        <is>
          <t>Ordinals and footnote built; a fixed fee first prints “Fixed fee” (parity map P-A)</t>
        </is>
      </c>
      <c r="G304" s="12" t="inlineStr"/>
      <c r="H304" s="28" t="inlineStr">
        <is>
          <t>Team check</t>
        </is>
      </c>
      <c r="I304" s="17" t="n"/>
      <c r="J304" s="17" t="n"/>
    </row>
    <row r="305">
      <c r="A305" s="12" t="inlineStr">
        <is>
          <t>Quote templates</t>
        </is>
      </c>
      <c r="B305" s="12" t="inlineStr">
        <is>
          <t>MM-16</t>
        </is>
      </c>
      <c r="C305" s="12" t="inlineStr">
        <is>
          <t>Mismatches</t>
        </is>
      </c>
      <c r="D305" s="14" t="inlineStr">
        <is>
          <t>Signature stamped on the PDF, fallback signature footer</t>
        </is>
      </c>
      <c r="E305" s="14" t="inlineStr">
        <is>
          <t>Not built — by design</t>
        </is>
      </c>
      <c r="F305" s="12" t="inlineStr">
        <is>
          <t>No automatic signature block; Client signs online is per quote (Q-17)</t>
        </is>
      </c>
      <c r="G305" s="12" t="inlineStr"/>
      <c r="H305" s="12" t="inlineStr"/>
      <c r="I305" s="17" t="n"/>
      <c r="J305" s="17" t="n"/>
    </row>
    <row r="306">
      <c r="A306" s="12" t="inlineStr">
        <is>
          <t>Quote templates</t>
        </is>
      </c>
      <c r="B306" s="12" t="inlineStr">
        <is>
          <t>MM-17</t>
        </is>
      </c>
      <c r="C306" s="12" t="inlineStr">
        <is>
          <t>Mismatches</t>
        </is>
      </c>
      <c r="D306" s="14" t="inlineStr">
        <is>
          <t>Unknown tokens print empty in documents</t>
        </is>
      </c>
      <c r="E306" s="14" t="inlineStr">
        <is>
          <t>Built</t>
        </is>
      </c>
      <c r="F306" s="12" t="inlineStr">
        <is>
          <t>An unknown field prints as typed, so typos show</t>
        </is>
      </c>
      <c r="G306" s="12" t="inlineStr"/>
      <c r="H306" s="28" t="inlineStr">
        <is>
          <t>Team check</t>
        </is>
      </c>
      <c r="I306" s="17" t="n"/>
      <c r="J306" s="17" t="n"/>
    </row>
    <row r="307">
      <c r="A307" s="12" t="inlineStr">
        <is>
          <t>Quote templates</t>
        </is>
      </c>
      <c r="B307" s="12" t="inlineStr">
        <is>
          <t>MM-18</t>
        </is>
      </c>
      <c r="C307" s="12" t="inlineStr">
        <is>
          <t>Mismatches</t>
        </is>
      </c>
      <c r="D307" s="14" t="inlineStr">
        <is>
          <t>Watermark: text, opacity, rotation, logo</t>
        </is>
      </c>
      <c r="E307" s="14" t="inlineStr">
        <is>
          <t>Built in parity round 2</t>
        </is>
      </c>
      <c r="F307" s="12" t="inlineStr">
        <is>
          <t>A word with a strength; no angle or logo watermark (Q-18)</t>
        </is>
      </c>
      <c r="G307" s="12" t="inlineStr"/>
      <c r="H307" s="28" t="inlineStr">
        <is>
          <t>Team check</t>
        </is>
      </c>
      <c r="I307" s="17" t="n"/>
      <c r="J307" s="17" t="n"/>
    </row>
    <row r="308">
      <c r="A308" s="12" t="inlineStr">
        <is>
          <t>Quote templates</t>
        </is>
      </c>
      <c r="B308" s="12" t="inlineStr">
        <is>
          <t>TL-01</t>
        </is>
      </c>
      <c r="C308" s="12" t="inlineStr">
        <is>
          <t>Library and lifecycle</t>
        </is>
      </c>
      <c r="D308" s="14" t="inlineStr">
        <is>
          <t>Document Templates page with six kinds</t>
        </is>
      </c>
      <c r="E308" s="14" t="inlineStr">
        <is>
          <t>Built</t>
        </is>
      </c>
      <c r="F308" s="12" t="inlineStr">
        <is>
          <t>Invoice and PO paper: Settings › Finance; a VO prints through its quote template (S11)</t>
        </is>
      </c>
      <c r="G308" s="12" t="inlineStr">
        <is>
          <t>3.17</t>
        </is>
      </c>
      <c r="H308" s="12" t="inlineStr"/>
      <c r="I308" s="17" t="n"/>
      <c r="J308" s="17" t="n"/>
    </row>
    <row r="309">
      <c r="A309" s="12" t="inlineStr">
        <is>
          <t>Quote templates</t>
        </is>
      </c>
      <c r="B309" s="12" t="inlineStr">
        <is>
          <t>TL-02</t>
        </is>
      </c>
      <c r="C309" s="12" t="inlineStr">
        <is>
          <t>Library and lifecycle</t>
        </is>
      </c>
      <c r="D309" s="14" t="inlineStr">
        <is>
          <t>Template list with name and default badge</t>
        </is>
      </c>
      <c r="E309" s="14" t="inlineStr">
        <is>
          <t>Built</t>
        </is>
      </c>
      <c r="F309" s="12" t="inlineStr"/>
      <c r="G309" s="12" t="inlineStr">
        <is>
          <t>3.17, 3.33</t>
        </is>
      </c>
      <c r="H309" s="12" t="inlineStr"/>
      <c r="I309" s="17" t="n"/>
      <c r="J309" s="17" t="n"/>
    </row>
    <row r="310">
      <c r="A310" s="12" t="inlineStr">
        <is>
          <t>Quote templates</t>
        </is>
      </c>
      <c r="B310" s="12" t="inlineStr">
        <is>
          <t>TL-03</t>
        </is>
      </c>
      <c r="C310" s="12" t="inlineStr">
        <is>
          <t>Library and lifecycle</t>
        </is>
      </c>
      <c r="D310" s="14" t="inlineStr">
        <is>
          <t>Add a template</t>
        </is>
      </c>
      <c r="E310" s="14" t="inlineStr">
        <is>
          <t>Built</t>
        </is>
      </c>
      <c r="F310" s="12" t="inlineStr"/>
      <c r="G310" s="12" t="inlineStr">
        <is>
          <t>3.23</t>
        </is>
      </c>
      <c r="H310" s="12" t="inlineStr"/>
      <c r="I310" s="17" t="n"/>
      <c r="J310" s="17" t="n"/>
    </row>
    <row r="311">
      <c r="A311" s="12" t="inlineStr">
        <is>
          <t>Quote templates</t>
        </is>
      </c>
      <c r="B311" s="12" t="inlineStr">
        <is>
          <t>TL-04</t>
        </is>
      </c>
      <c r="C311" s="12" t="inlineStr">
        <is>
          <t>Library and lifecycle</t>
        </is>
      </c>
      <c r="D311" s="14" t="inlineStr">
        <is>
          <t>Save, discard and unsaved changes</t>
        </is>
      </c>
      <c r="E311" s="14" t="inlineStr">
        <is>
          <t>Built</t>
        </is>
      </c>
      <c r="F311" s="12" t="inlineStr"/>
      <c r="G311" s="12" t="inlineStr"/>
      <c r="H311" s="28" t="inlineStr">
        <is>
          <t>Team check</t>
        </is>
      </c>
      <c r="I311" s="17" t="n"/>
      <c r="J311" s="17" t="n"/>
    </row>
    <row r="312">
      <c r="A312" s="12" t="inlineStr">
        <is>
          <t>Quote templates</t>
        </is>
      </c>
      <c r="B312" s="12" t="inlineStr">
        <is>
          <t>TL-05</t>
        </is>
      </c>
      <c r="C312" s="12" t="inlineStr">
        <is>
          <t>Library and lifecycle</t>
        </is>
      </c>
      <c r="D312" s="14" t="inlineStr">
        <is>
          <t>Set as default</t>
        </is>
      </c>
      <c r="E312" s="14" t="inlineStr">
        <is>
          <t>Built</t>
        </is>
      </c>
      <c r="F312" s="12" t="inlineStr"/>
      <c r="G312" s="12" t="inlineStr">
        <is>
          <t>3.31, 3.33, 3.36</t>
        </is>
      </c>
      <c r="H312" s="12" t="inlineStr"/>
      <c r="I312" s="17" t="n"/>
      <c r="J312" s="17" t="n"/>
    </row>
    <row r="313">
      <c r="A313" s="12" t="inlineStr">
        <is>
          <t>Quote templates</t>
        </is>
      </c>
      <c r="B313" s="12" t="inlineStr">
        <is>
          <t>TL-06</t>
        </is>
      </c>
      <c r="C313" s="12" t="inlineStr">
        <is>
          <t>Library and lifecycle</t>
        </is>
      </c>
      <c r="D313" s="14" t="inlineStr">
        <is>
          <t>Rename and duplicate</t>
        </is>
      </c>
      <c r="E313" s="14" t="inlineStr">
        <is>
          <t>Built</t>
        </is>
      </c>
      <c r="F313" s="12" t="inlineStr"/>
      <c r="G313" s="12" t="inlineStr"/>
      <c r="H313" s="28" t="inlineStr">
        <is>
          <t>Team check</t>
        </is>
      </c>
      <c r="I313" s="17" t="n"/>
      <c r="J313" s="17" t="n"/>
    </row>
    <row r="314">
      <c r="A314" s="12" t="inlineStr">
        <is>
          <t>Quote templates</t>
        </is>
      </c>
      <c r="B314" s="12" t="inlineStr">
        <is>
          <t>TL-07</t>
        </is>
      </c>
      <c r="C314" s="12" t="inlineStr">
        <is>
          <t>Library and lifecycle</t>
        </is>
      </c>
      <c r="D314" s="14" t="inlineStr">
        <is>
          <t>Delete a template</t>
        </is>
      </c>
      <c r="E314" s="14" t="inlineStr">
        <is>
          <t>Built</t>
        </is>
      </c>
      <c r="F314" s="12" t="inlineStr"/>
      <c r="G314" s="12" t="inlineStr">
        <is>
          <t>3.35</t>
        </is>
      </c>
      <c r="H314" s="12" t="inlineStr"/>
      <c r="I314" s="17" t="n"/>
      <c r="J314" s="17" t="n"/>
    </row>
    <row r="315">
      <c r="A315" s="12" t="inlineStr">
        <is>
          <t>Quote templates</t>
        </is>
      </c>
      <c r="B315" s="12" t="inlineStr">
        <is>
          <t>TL-08</t>
        </is>
      </c>
      <c r="C315" s="12" t="inlineStr">
        <is>
          <t>Library and lifecycle</t>
        </is>
      </c>
      <c r="D315" s="14" t="inlineStr">
        <is>
          <t>Last used order</t>
        </is>
      </c>
      <c r="E315" s="14" t="inlineStr">
        <is>
          <t>Built</t>
        </is>
      </c>
      <c r="F315" s="12" t="inlineStr"/>
      <c r="G315" s="12" t="inlineStr"/>
      <c r="H315" s="28" t="inlineStr">
        <is>
          <t>Team check</t>
        </is>
      </c>
      <c r="I315" s="17" t="n"/>
      <c r="J315" s="17" t="n"/>
    </row>
    <row r="316">
      <c r="A316" s="12" t="inlineStr">
        <is>
          <t>Quote templates</t>
        </is>
      </c>
      <c r="B316" s="12" t="inlineStr">
        <is>
          <t>TL-09</t>
        </is>
      </c>
      <c r="C316" s="12" t="inlineStr">
        <is>
          <t>Library and lifecycle</t>
        </is>
      </c>
      <c r="D316" s="14" t="inlineStr">
        <is>
          <t>Versions, history, roll back</t>
        </is>
      </c>
      <c r="E316" s="14" t="inlineStr">
        <is>
          <t>2.0 only</t>
        </is>
      </c>
      <c r="F316" s="12" t="inlineStr">
        <is>
          <t>1.0 had none; 2.0 keeps every published version</t>
        </is>
      </c>
      <c r="G316" s="12" t="inlineStr">
        <is>
          <t>3.32</t>
        </is>
      </c>
      <c r="H316" s="12" t="inlineStr"/>
      <c r="I316" s="17" t="n"/>
      <c r="J316" s="17" t="n"/>
    </row>
    <row r="317">
      <c r="A317" s="12" t="inlineStr">
        <is>
          <t>Quote templates</t>
        </is>
      </c>
      <c r="B317" s="12" t="inlineStr">
        <is>
          <t>TL-10</t>
        </is>
      </c>
      <c r="C317" s="12" t="inlineStr">
        <is>
          <t>Library and lifecycle</t>
        </is>
      </c>
      <c r="D317" s="14" t="inlineStr">
        <is>
          <t>Approval before publishing</t>
        </is>
      </c>
      <c r="E317" s="14" t="inlineStr">
        <is>
          <t>2.0 only</t>
        </is>
      </c>
      <c r="F317" s="12" t="inlineStr">
        <is>
          <t>1.0 had none; Designers submit, Owners and Admins approve</t>
        </is>
      </c>
      <c r="G317" s="12" t="inlineStr">
        <is>
          <t>10.06, 10.14</t>
        </is>
      </c>
      <c r="H317" s="12" t="inlineStr"/>
      <c r="I317" s="17" t="n"/>
      <c r="J317" s="17" t="n"/>
    </row>
    <row r="318">
      <c r="A318" s="12" t="inlineStr">
        <is>
          <t>Quote templates</t>
        </is>
      </c>
      <c r="B318" s="12" t="inlineStr">
        <is>
          <t>TL-11</t>
        </is>
      </c>
      <c r="C318" s="12" t="inlineStr">
        <is>
          <t>Library and lifecycle</t>
        </is>
      </c>
      <c r="D318" s="14" t="inlineStr">
        <is>
          <t>Editing templates per entity</t>
        </is>
      </c>
      <c r="E318" s="14" t="inlineStr">
        <is>
          <t>Not built — by design</t>
        </is>
      </c>
      <c r="F318" s="12" t="inlineStr">
        <is>
          <t>Never applied to a quote in 1.0 (Q-04)</t>
        </is>
      </c>
      <c r="G318" s="12" t="inlineStr"/>
      <c r="H318" s="12" t="inlineStr"/>
      <c r="I318" s="17" t="n"/>
      <c r="J318" s="17" t="n"/>
    </row>
    <row r="319">
      <c r="A319" s="12" t="inlineStr">
        <is>
          <t>Quote templates</t>
        </is>
      </c>
      <c r="B319" s="12" t="inlineStr">
        <is>
          <t>TL-12</t>
        </is>
      </c>
      <c r="C319" s="12" t="inlineStr">
        <is>
          <t>Library and lifecycle</t>
        </is>
      </c>
      <c r="D319" s="14" t="inlineStr">
        <is>
          <t>Old settings fallback when no template exists</t>
        </is>
      </c>
      <c r="E319" s="14" t="inlineStr">
        <is>
          <t>Platform</t>
        </is>
      </c>
      <c r="F319" s="12" t="inlineStr">
        <is>
          <t>Handled once by the data port</t>
        </is>
      </c>
      <c r="G319" s="12" t="inlineStr"/>
      <c r="H319" s="12" t="inlineStr"/>
      <c r="I319" s="17" t="n"/>
      <c r="J319" s="17" t="n"/>
    </row>
    <row r="320">
      <c r="A320" s="12" t="inlineStr">
        <is>
          <t>Quote templates</t>
        </is>
      </c>
      <c r="B320" s="12" t="inlineStr">
        <is>
          <t>TL-13</t>
        </is>
      </c>
      <c r="C320" s="12" t="inlineStr">
        <is>
          <t>Library and lifecycle</t>
        </is>
      </c>
      <c r="D320" s="14" t="inlineStr">
        <is>
          <t>Seeded starter templates</t>
        </is>
      </c>
      <c r="E320" s="14" t="inlineStr">
        <is>
          <t>Built</t>
        </is>
      </c>
      <c r="F320" s="12" t="inlineStr"/>
      <c r="G320" s="12" t="inlineStr">
        <is>
          <t>3.17</t>
        </is>
      </c>
      <c r="H320" s="12" t="inlineStr"/>
      <c r="I320" s="17" t="n"/>
      <c r="J320" s="17" t="n"/>
    </row>
    <row r="321">
      <c r="A321" s="12" t="inlineStr">
        <is>
          <t>Quote templates</t>
        </is>
      </c>
      <c r="B321" s="12" t="inlineStr">
        <is>
          <t>TE-01</t>
        </is>
      </c>
      <c r="C321" s="12" t="inlineStr">
        <is>
          <t>Editor frame</t>
        </is>
      </c>
      <c r="D321" s="14" t="inlineStr">
        <is>
          <t>The editor's tabs</t>
        </is>
      </c>
      <c r="E321" s="14" t="inlineStr">
        <is>
          <t>Built</t>
        </is>
      </c>
      <c r="F321" s="12" t="inlineStr"/>
      <c r="G321" s="12" t="inlineStr">
        <is>
          <t>3.24</t>
        </is>
      </c>
      <c r="H321" s="12" t="inlineStr"/>
      <c r="I321" s="17" t="n"/>
      <c r="J321" s="17" t="n"/>
    </row>
    <row r="322">
      <c r="A322" s="12" t="inlineStr">
        <is>
          <t>Quote templates</t>
        </is>
      </c>
      <c r="B322" s="12" t="inlineStr">
        <is>
          <t>TE-02</t>
        </is>
      </c>
      <c r="C322" s="12" t="inlineStr">
        <is>
          <t>Editor frame</t>
        </is>
      </c>
      <c r="D322" s="14" t="inlineStr">
        <is>
          <t>Live preview with sample data</t>
        </is>
      </c>
      <c r="E322" s="14" t="inlineStr">
        <is>
          <t>Built</t>
        </is>
      </c>
      <c r="F322" s="12" t="inlineStr"/>
      <c r="G322" s="12" t="inlineStr">
        <is>
          <t>3.27</t>
        </is>
      </c>
      <c r="H322" s="12" t="inlineStr"/>
      <c r="I322" s="17" t="n"/>
      <c r="J322" s="17" t="n"/>
    </row>
    <row r="323">
      <c r="A323" s="12" t="inlineStr">
        <is>
          <t>Quote templates</t>
        </is>
      </c>
      <c r="B323" s="12" t="inlineStr">
        <is>
          <t>TE-03</t>
        </is>
      </c>
      <c r="C323" s="12" t="inlineStr">
        <is>
          <t>Editor frame</t>
        </is>
      </c>
      <c r="D323" s="14" t="inlineStr">
        <is>
          <t>Undo, and delete with Undo</t>
        </is>
      </c>
      <c r="E323" s="14" t="inlineStr">
        <is>
          <t>Built</t>
        </is>
      </c>
      <c r="F323" s="12" t="inlineStr"/>
      <c r="G323" s="12" t="inlineStr">
        <is>
          <t>3.26</t>
        </is>
      </c>
      <c r="H323" s="12" t="inlineStr"/>
      <c r="I323" s="17" t="n"/>
      <c r="J323" s="17" t="n"/>
    </row>
    <row r="324">
      <c r="A324" s="12" t="inlineStr">
        <is>
          <t>Quote templates</t>
        </is>
      </c>
      <c r="B324" s="12" t="inlineStr">
        <is>
          <t>TE-04</t>
        </is>
      </c>
      <c r="C324" s="12" t="inlineStr">
        <is>
          <t>Editor frame</t>
        </is>
      </c>
      <c r="D324" s="14" t="inlineStr">
        <is>
          <t>Search for a setting by name</t>
        </is>
      </c>
      <c r="E324" s="14" t="inlineStr">
        <is>
          <t>Not built — by design</t>
        </is>
      </c>
      <c r="F324" s="12" t="inlineStr">
        <is>
          <t>One block at a time keeps the editor simple</t>
        </is>
      </c>
      <c r="G324" s="12" t="inlineStr"/>
      <c r="H324" s="12" t="inlineStr"/>
      <c r="I324" s="17" t="n"/>
      <c r="J324" s="17" t="n"/>
    </row>
    <row r="325">
      <c r="A325" s="12" t="inlineStr">
        <is>
          <t>Quote templates</t>
        </is>
      </c>
      <c r="B325" s="12" t="inlineStr">
        <is>
          <t>TE-05</t>
        </is>
      </c>
      <c r="C325" s="12" t="inlineStr">
        <is>
          <t>Editor frame</t>
        </is>
      </c>
      <c r="D325" s="14" t="inlineStr">
        <is>
          <t>Marks on changed settings and reset</t>
        </is>
      </c>
      <c r="E325" s="14" t="inlineStr">
        <is>
          <t>Built in parity round 2</t>
        </is>
      </c>
      <c r="F325" s="12" t="inlineStr"/>
      <c r="G325" s="12" t="inlineStr">
        <is>
          <t>3.28</t>
        </is>
      </c>
      <c r="H325" s="12" t="inlineStr"/>
      <c r="I325" s="17" t="n"/>
      <c r="J325" s="17" t="n"/>
    </row>
    <row r="326">
      <c r="A326" s="12" t="inlineStr">
        <is>
          <t>Quote templates</t>
        </is>
      </c>
      <c r="B326" s="12" t="inlineStr">
        <is>
          <t>TE-06</t>
        </is>
      </c>
      <c r="C326" s="12" t="inlineStr">
        <is>
          <t>Editor frame</t>
        </is>
      </c>
      <c r="D326" s="14" t="inlineStr">
        <is>
          <t>Grouped settings shown only when relevant</t>
        </is>
      </c>
      <c r="E326" s="14" t="inlineStr">
        <is>
          <t>Built</t>
        </is>
      </c>
      <c r="F326" s="12" t="inlineStr"/>
      <c r="G326" s="12" t="inlineStr">
        <is>
          <t>3.24</t>
        </is>
      </c>
      <c r="H326" s="12" t="inlineStr"/>
      <c r="I326" s="17" t="n"/>
      <c r="J326" s="17" t="n"/>
    </row>
    <row r="327">
      <c r="A327" s="12" t="inlineStr">
        <is>
          <t>Quote templates</t>
        </is>
      </c>
      <c r="B327" s="12" t="inlineStr">
        <is>
          <t>TE-07</t>
        </is>
      </c>
      <c r="C327" s="12" t="inlineStr">
        <is>
          <t>Editor frame</t>
        </is>
      </c>
      <c r="D327" s="14" t="inlineStr">
        <is>
          <t>Lock map of what a quote may override</t>
        </is>
      </c>
      <c r="E327" s="14" t="inlineStr">
        <is>
          <t>Not built — by design</t>
        </is>
      </c>
      <c r="F327" s="12" t="inlineStr">
        <is>
          <t>No per-quote design edits, so no lock map (Q-02)</t>
        </is>
      </c>
      <c r="G327" s="12" t="inlineStr"/>
      <c r="H327" s="12" t="inlineStr"/>
      <c r="I327" s="17" t="n"/>
      <c r="J327" s="17" t="n"/>
    </row>
    <row r="328">
      <c r="A328" s="12" t="inlineStr">
        <is>
          <t>Quote templates</t>
        </is>
      </c>
      <c r="B328" s="12" t="inlineStr">
        <is>
          <t>TE-08</t>
        </is>
      </c>
      <c r="C328" s="12" t="inlineStr">
        <is>
          <t>Editor frame</t>
        </is>
      </c>
      <c r="D328" s="14" t="inlineStr">
        <is>
          <t>Assets: badges and signatures</t>
        </is>
      </c>
      <c r="E328" s="14" t="inlineStr">
        <is>
          <t>Built</t>
        </is>
      </c>
      <c r="F328" s="12" t="inlineStr"/>
      <c r="G328" s="12" t="inlineStr"/>
      <c r="H328" s="28" t="inlineStr">
        <is>
          <t>Team check</t>
        </is>
      </c>
      <c r="I328" s="17" t="n"/>
      <c r="J328" s="17" t="n"/>
    </row>
    <row r="329">
      <c r="A329" s="12" t="inlineStr">
        <is>
          <t>Quote templates</t>
        </is>
      </c>
      <c r="B329" s="12" t="inlineStr">
        <is>
          <t>TE-09</t>
        </is>
      </c>
      <c r="C329" s="12" t="inlineStr">
        <is>
          <t>Editor frame</t>
        </is>
      </c>
      <c r="D329" s="14" t="inlineStr">
        <is>
          <t>Quote Template Sandbox page</t>
        </is>
      </c>
      <c r="E329" s="14" t="inlineStr">
        <is>
          <t>Dead</t>
        </is>
      </c>
      <c r="F329" s="12" t="inlineStr">
        <is>
          <t>A developer page no studio reached</t>
        </is>
      </c>
      <c r="G329" s="12" t="inlineStr"/>
      <c r="H329" s="12" t="inlineStr"/>
      <c r="I329" s="17" t="n"/>
      <c r="J329" s="17" t="n"/>
    </row>
    <row r="330">
      <c r="A330" s="12" t="inlineStr">
        <is>
          <t>Quote templates</t>
        </is>
      </c>
      <c r="B330" s="12" t="inlineStr">
        <is>
          <t>TP-01</t>
        </is>
      </c>
      <c r="C330" s="12" t="inlineStr">
        <is>
          <t>Page, header, footer, cover</t>
        </is>
      </c>
      <c r="D330" s="14" t="inlineStr">
        <is>
          <t>Paper size and margins</t>
        </is>
      </c>
      <c r="E330" s="14" t="inlineStr">
        <is>
          <t>Built</t>
        </is>
      </c>
      <c r="F330" s="12" t="inlineStr"/>
      <c r="G330" s="12" t="inlineStr"/>
      <c r="H330" s="28" t="inlineStr">
        <is>
          <t>Team check</t>
        </is>
      </c>
      <c r="I330" s="17" t="n"/>
      <c r="J330" s="17" t="n"/>
    </row>
    <row r="331">
      <c r="A331" s="12" t="inlineStr">
        <is>
          <t>Quote templates</t>
        </is>
      </c>
      <c r="B331" s="12" t="inlineStr">
        <is>
          <t>TP-02</t>
        </is>
      </c>
      <c r="C331" s="12" t="inlineStr">
        <is>
          <t>Page, header, footer, cover</t>
        </is>
      </c>
      <c r="D331" s="14" t="inlineStr">
        <is>
          <t>Page background colour or image</t>
        </is>
      </c>
      <c r="E331" s="14" t="inlineStr">
        <is>
          <t>Not built — by design</t>
        </is>
      </c>
      <c r="F331" s="12" t="inlineStr">
        <is>
          <t>Owner chose no page background (Q-18)</t>
        </is>
      </c>
      <c r="G331" s="12" t="inlineStr"/>
      <c r="H331" s="12" t="inlineStr"/>
      <c r="I331" s="17" t="n"/>
      <c r="J331" s="17" t="n"/>
    </row>
    <row r="332">
      <c r="A332" s="12" t="inlineStr">
        <is>
          <t>Quote templates</t>
        </is>
      </c>
      <c r="B332" s="12" t="inlineStr">
        <is>
          <t>TP-03</t>
        </is>
      </c>
      <c r="C332" s="12" t="inlineStr">
        <is>
          <t>Page, header, footer, cover</t>
        </is>
      </c>
      <c r="D332" s="14" t="inlineStr">
        <is>
          <t>Watermark</t>
        </is>
      </c>
      <c r="E332" s="14" t="inlineStr">
        <is>
          <t>Built in parity round 2</t>
        </is>
      </c>
      <c r="F332" s="12" t="inlineStr"/>
      <c r="G332" s="12" t="inlineStr"/>
      <c r="H332" s="28" t="inlineStr">
        <is>
          <t>Team check</t>
        </is>
      </c>
      <c r="I332" s="17" t="n"/>
      <c r="J332" s="17" t="n"/>
    </row>
    <row r="333">
      <c r="A333" s="12" t="inlineStr">
        <is>
          <t>Quote templates</t>
        </is>
      </c>
      <c r="B333" s="12" t="inlineStr">
        <is>
          <t>TP-04</t>
        </is>
      </c>
      <c r="C333" s="12" t="inlineStr">
        <is>
          <t>Page, header, footer, cover</t>
        </is>
      </c>
      <c r="D333" s="14" t="inlineStr">
        <is>
          <t>Header layouts</t>
        </is>
      </c>
      <c r="E333" s="14" t="inlineStr">
        <is>
          <t>Built</t>
        </is>
      </c>
      <c r="F333" s="12" t="inlineStr"/>
      <c r="G333" s="12" t="inlineStr"/>
      <c r="H333" s="28" t="inlineStr">
        <is>
          <t>Team check</t>
        </is>
      </c>
      <c r="I333" s="17" t="n"/>
      <c r="J333" s="17" t="n"/>
    </row>
    <row r="334">
      <c r="A334" s="12" t="inlineStr">
        <is>
          <t>Quote templates</t>
        </is>
      </c>
      <c r="B334" s="12" t="inlineStr">
        <is>
          <t>TP-05</t>
        </is>
      </c>
      <c r="C334" s="12" t="inlineStr">
        <is>
          <t>Page, header, footer, cover</t>
        </is>
      </c>
      <c r="D334" s="14" t="inlineStr">
        <is>
          <t>Where the customer's details sit</t>
        </is>
      </c>
      <c r="E334" s="14" t="inlineStr">
        <is>
          <t>Built</t>
        </is>
      </c>
      <c r="F334" s="12" t="inlineStr"/>
      <c r="G334" s="12" t="inlineStr"/>
      <c r="H334" s="28" t="inlineStr">
        <is>
          <t>Team check</t>
        </is>
      </c>
      <c r="I334" s="17" t="n"/>
      <c r="J334" s="17" t="n"/>
    </row>
    <row r="335">
      <c r="A335" s="12" t="inlineStr">
        <is>
          <t>Quote templates</t>
        </is>
      </c>
      <c r="B335" s="12" t="inlineStr">
        <is>
          <t>TP-06</t>
        </is>
      </c>
      <c r="C335" s="12" t="inlineStr">
        <is>
          <t>Page, header, footer, cover</t>
        </is>
      </c>
      <c r="D335" s="14" t="inlineStr">
        <is>
          <t>Where the registration line sits</t>
        </is>
      </c>
      <c r="E335" s="14" t="inlineStr">
        <is>
          <t>Built</t>
        </is>
      </c>
      <c r="F335" s="12" t="inlineStr"/>
      <c r="G335" s="12" t="inlineStr"/>
      <c r="H335" s="28" t="inlineStr">
        <is>
          <t>Team check</t>
        </is>
      </c>
      <c r="I335" s="17" t="n"/>
      <c r="J335" s="17" t="n"/>
    </row>
    <row r="336">
      <c r="A336" s="12" t="inlineStr">
        <is>
          <t>Quote templates</t>
        </is>
      </c>
      <c r="B336" s="12" t="inlineStr">
        <is>
          <t>TP-07</t>
        </is>
      </c>
      <c r="C336" s="12" t="inlineStr">
        <is>
          <t>Page, header, footer, cover</t>
        </is>
      </c>
      <c r="D336" s="14" t="inlineStr">
        <is>
          <t>Logo size and style</t>
        </is>
      </c>
      <c r="E336" s="14" t="inlineStr">
        <is>
          <t>Built</t>
        </is>
      </c>
      <c r="F336" s="12" t="inlineStr"/>
      <c r="G336" s="12" t="inlineStr"/>
      <c r="H336" s="28" t="inlineStr">
        <is>
          <t>Team check</t>
        </is>
      </c>
      <c r="I336" s="17" t="n"/>
      <c r="J336" s="17" t="n"/>
    </row>
    <row r="337">
      <c r="A337" s="12" t="inlineStr">
        <is>
          <t>Quote templates</t>
        </is>
      </c>
      <c r="B337" s="12" t="inlineStr">
        <is>
          <t>TP-08</t>
        </is>
      </c>
      <c r="C337" s="12" t="inlineStr">
        <is>
          <t>Page, header, footer, cover</t>
        </is>
      </c>
      <c r="D337" s="14" t="inlineStr">
        <is>
          <t>Divider colour, weight and style</t>
        </is>
      </c>
      <c r="E337" s="14" t="inlineStr">
        <is>
          <t>Built</t>
        </is>
      </c>
      <c r="F337" s="12" t="inlineStr">
        <is>
          <t>Dashed and dotted lines not built (owner: don't build)</t>
        </is>
      </c>
      <c r="G337" s="12" t="inlineStr"/>
      <c r="H337" s="28" t="inlineStr">
        <is>
          <t>Team check</t>
        </is>
      </c>
      <c r="I337" s="17" t="n"/>
      <c r="J337" s="17" t="n"/>
    </row>
    <row r="338">
      <c r="A338" s="12" t="inlineStr">
        <is>
          <t>Quote templates</t>
        </is>
      </c>
      <c r="B338" s="12" t="inlineStr">
        <is>
          <t>TP-09</t>
        </is>
      </c>
      <c r="C338" s="12" t="inlineStr">
        <is>
          <t>Page, header, footer, cover</t>
        </is>
      </c>
      <c r="D338" s="14" t="inlineStr">
        <is>
          <t>Subtitle band (VERSION 3, DRAFT)</t>
        </is>
      </c>
      <c r="E338" s="14" t="inlineStr">
        <is>
          <t>Built</t>
        </is>
      </c>
      <c r="F338" s="12" t="inlineStr"/>
      <c r="G338" s="12" t="inlineStr"/>
      <c r="H338" s="28" t="inlineStr">
        <is>
          <t>Team check</t>
        </is>
      </c>
      <c r="I338" s="17" t="n"/>
      <c r="J338" s="17" t="n"/>
    </row>
    <row r="339">
      <c r="A339" s="12" t="inlineStr">
        <is>
          <t>Quote templates</t>
        </is>
      </c>
      <c r="B339" s="12" t="inlineStr">
        <is>
          <t>TP-10</t>
        </is>
      </c>
      <c r="C339" s="12" t="inlineStr">
        <is>
          <t>Page, header, footer, cover</t>
        </is>
      </c>
      <c r="D339" s="14" t="inlineStr">
        <is>
          <t>Editable field labels</t>
        </is>
      </c>
      <c r="E339" s="14" t="inlineStr">
        <is>
          <t>Built</t>
        </is>
      </c>
      <c r="F339" s="12" t="inlineStr"/>
      <c r="G339" s="12" t="inlineStr"/>
      <c r="H339" s="28" t="inlineStr">
        <is>
          <t>Team check</t>
        </is>
      </c>
      <c r="I339" s="17" t="n"/>
      <c r="J339" s="17" t="n"/>
    </row>
    <row r="340">
      <c r="A340" s="12" t="inlineStr">
        <is>
          <t>Quote templates</t>
        </is>
      </c>
      <c r="B340" s="12" t="inlineStr">
        <is>
          <t>TP-11</t>
        </is>
      </c>
      <c r="C340" s="12" t="inlineStr">
        <is>
          <t>Page, header, footer, cover</t>
        </is>
      </c>
      <c r="D340" s="14" t="inlineStr">
        <is>
          <t>Header and footer text slots</t>
        </is>
      </c>
      <c r="E340" s="14" t="inlineStr">
        <is>
          <t>Built</t>
        </is>
      </c>
      <c r="F340" s="12" t="inlineStr"/>
      <c r="G340" s="12" t="inlineStr"/>
      <c r="H340" s="28" t="inlineStr">
        <is>
          <t>Team check</t>
        </is>
      </c>
      <c r="I340" s="17" t="n"/>
      <c r="J340" s="17" t="n"/>
    </row>
    <row r="341">
      <c r="A341" s="12" t="inlineStr">
        <is>
          <t>Quote templates</t>
        </is>
      </c>
      <c r="B341" s="12" t="inlineStr">
        <is>
          <t>TP-12</t>
        </is>
      </c>
      <c r="C341" s="12" t="inlineStr">
        <is>
          <t>Page, header, footer, cover</t>
        </is>
      </c>
      <c r="D341" s="14" t="inlineStr">
        <is>
          <t>Header and footer heights</t>
        </is>
      </c>
      <c r="E341" s="14" t="inlineStr">
        <is>
          <t>Built</t>
        </is>
      </c>
      <c r="F341" s="12" t="inlineStr"/>
      <c r="G341" s="12" t="inlineStr"/>
      <c r="H341" s="28" t="inlineStr">
        <is>
          <t>Team check</t>
        </is>
      </c>
      <c r="I341" s="17" t="n"/>
      <c r="J341" s="17" t="n"/>
    </row>
    <row r="342">
      <c r="A342" s="12" t="inlineStr">
        <is>
          <t>Quote templates</t>
        </is>
      </c>
      <c r="B342" s="12" t="inlineStr">
        <is>
          <t>TP-13</t>
        </is>
      </c>
      <c r="C342" s="12" t="inlineStr">
        <is>
          <t>Page, header, footer, cover</t>
        </is>
      </c>
      <c r="D342" s="14" t="inlineStr">
        <is>
          <t>Header repeats: first page, every page, never</t>
        </is>
      </c>
      <c r="E342" s="14" t="inlineStr">
        <is>
          <t>Built</t>
        </is>
      </c>
      <c r="F342" s="12" t="inlineStr"/>
      <c r="G342" s="12" t="inlineStr"/>
      <c r="H342" s="28" t="inlineStr">
        <is>
          <t>Team check</t>
        </is>
      </c>
      <c r="I342" s="17" t="n"/>
      <c r="J342" s="17" t="n"/>
    </row>
    <row r="343">
      <c r="A343" s="12" t="inlineStr">
        <is>
          <t>Quote templates</t>
        </is>
      </c>
      <c r="B343" s="12" t="inlineStr">
        <is>
          <t>TP-14</t>
        </is>
      </c>
      <c r="C343" s="12" t="inlineStr">
        <is>
          <t>Page, header, footer, cover</t>
        </is>
      </c>
      <c r="D343" s="14" t="inlineStr">
        <is>
          <t>Page numbers</t>
        </is>
      </c>
      <c r="E343" s="14" t="inlineStr">
        <is>
          <t>Built</t>
        </is>
      </c>
      <c r="F343" s="12" t="inlineStr"/>
      <c r="G343" s="12" t="inlineStr"/>
      <c r="H343" s="28" t="inlineStr">
        <is>
          <t>Team check</t>
        </is>
      </c>
      <c r="I343" s="17" t="n"/>
      <c r="J343" s="17" t="n"/>
    </row>
    <row r="344">
      <c r="A344" s="12" t="inlineStr">
        <is>
          <t>Quote templates</t>
        </is>
      </c>
      <c r="B344" s="12" t="inlineStr">
        <is>
          <t>TP-15</t>
        </is>
      </c>
      <c r="C344" s="12" t="inlineStr">
        <is>
          <t>Page, header, footer, cover</t>
        </is>
      </c>
      <c r="D344" s="14" t="inlineStr">
        <is>
          <t>Cover page</t>
        </is>
      </c>
      <c r="E344" s="14" t="inlineStr">
        <is>
          <t>Built</t>
        </is>
      </c>
      <c r="F344" s="12" t="inlineStr"/>
      <c r="G344" s="12" t="inlineStr"/>
      <c r="H344" s="28" t="inlineStr">
        <is>
          <t>Team check</t>
        </is>
      </c>
      <c r="I344" s="17" t="n"/>
      <c r="J344" s="17" t="n"/>
    </row>
    <row r="345">
      <c r="A345" s="12" t="inlineStr">
        <is>
          <t>Quote templates</t>
        </is>
      </c>
      <c r="B345" s="12" t="inlineStr">
        <is>
          <t>TP-16</t>
        </is>
      </c>
      <c r="C345" s="12" t="inlineStr">
        <is>
          <t>Page, header, footer, cover</t>
        </is>
      </c>
      <c r="D345" s="14" t="inlineStr">
        <is>
          <t>Social links with icons</t>
        </is>
      </c>
      <c r="E345" s="14" t="inlineStr">
        <is>
          <t>Built in parity round 2</t>
        </is>
      </c>
      <c r="F345" s="12" t="inlineStr"/>
      <c r="G345" s="12" t="inlineStr">
        <is>
          <t>2.02</t>
        </is>
      </c>
      <c r="H345" s="12" t="inlineStr"/>
      <c r="I345" s="17" t="n"/>
      <c r="J345" s="17" t="n"/>
    </row>
    <row r="346">
      <c r="A346" s="12" t="inlineStr">
        <is>
          <t>Quote templates</t>
        </is>
      </c>
      <c r="B346" s="12" t="inlineStr">
        <is>
          <t>TP-17</t>
        </is>
      </c>
      <c r="C346" s="12" t="inlineStr">
        <is>
          <t>Page, header, footer, cover</t>
        </is>
      </c>
      <c r="D346" s="14" t="inlineStr">
        <is>
          <t>Footer styles</t>
        </is>
      </c>
      <c r="E346" s="14" t="inlineStr">
        <is>
          <t>Built</t>
        </is>
      </c>
      <c r="F346" s="12" t="inlineStr"/>
      <c r="G346" s="12" t="inlineStr"/>
      <c r="H346" s="28" t="inlineStr">
        <is>
          <t>Team check</t>
        </is>
      </c>
      <c r="I346" s="17" t="n"/>
      <c r="J346" s="17" t="n"/>
    </row>
    <row r="347">
      <c r="A347" s="12" t="inlineStr">
        <is>
          <t>Quote templates</t>
        </is>
      </c>
      <c r="B347" s="12" t="inlineStr">
        <is>
          <t>TP-18</t>
        </is>
      </c>
      <c r="C347" s="12" t="inlineStr">
        <is>
          <t>Page, header, footer, cover</t>
        </is>
      </c>
      <c r="D347" s="14" t="inlineStr">
        <is>
          <t>Table of contents</t>
        </is>
      </c>
      <c r="E347" s="14" t="inlineStr">
        <is>
          <t>Dead</t>
        </is>
      </c>
      <c r="F347" s="12" t="inlineStr">
        <is>
          <t>No control in 1.0; not ported</t>
        </is>
      </c>
      <c r="G347" s="12" t="inlineStr"/>
      <c r="H347" s="12" t="inlineStr"/>
      <c r="I347" s="17" t="n"/>
      <c r="J347" s="17" t="n"/>
    </row>
    <row r="348">
      <c r="A348" s="12" t="inlineStr">
        <is>
          <t>Quote templates</t>
        </is>
      </c>
      <c r="B348" s="12" t="inlineStr">
        <is>
          <t>TP-19</t>
        </is>
      </c>
      <c r="C348" s="12" t="inlineStr">
        <is>
          <t>Page, header, footer, cover</t>
        </is>
      </c>
      <c r="D348" s="14" t="inlineStr">
        <is>
          <t>Document title (QUOTATION)</t>
        </is>
      </c>
      <c r="E348" s="14" t="inlineStr">
        <is>
          <t>Built</t>
        </is>
      </c>
      <c r="F348" s="12" t="inlineStr"/>
      <c r="G348" s="12" t="inlineStr"/>
      <c r="H348" s="28" t="inlineStr">
        <is>
          <t>Team check</t>
        </is>
      </c>
      <c r="I348" s="17" t="n"/>
      <c r="J348" s="17" t="n"/>
    </row>
    <row r="349">
      <c r="A349" s="12" t="inlineStr">
        <is>
          <t>Quote templates</t>
        </is>
      </c>
      <c r="B349" s="12" t="inlineStr">
        <is>
          <t>TP-20</t>
        </is>
      </c>
      <c r="C349" s="12" t="inlineStr">
        <is>
          <t>Page, header, footer, cover</t>
        </is>
      </c>
      <c r="D349" s="14" t="inlineStr">
        <is>
          <t>Date formats</t>
        </is>
      </c>
      <c r="E349" s="14" t="inlineStr">
        <is>
          <t>Built</t>
        </is>
      </c>
      <c r="F349" s="12" t="inlineStr"/>
      <c r="G349" s="12" t="inlineStr"/>
      <c r="H349" s="28" t="inlineStr">
        <is>
          <t>Team check</t>
        </is>
      </c>
      <c r="I349" s="17" t="n"/>
      <c r="J349" s="17" t="n"/>
    </row>
    <row r="350">
      <c r="A350" s="12" t="inlineStr">
        <is>
          <t>Quote templates</t>
        </is>
      </c>
      <c r="B350" s="12" t="inlineStr">
        <is>
          <t>TI-01</t>
        </is>
      </c>
      <c r="C350" s="12" t="inlineStr">
        <is>
          <t>Items table</t>
        </is>
      </c>
      <c r="D350" s="14" t="inlineStr">
        <is>
          <t>Table columns: on / off, words, widths</t>
        </is>
      </c>
      <c r="E350" s="14" t="inlineStr">
        <is>
          <t>Built in parity round 1</t>
        </is>
      </c>
      <c r="F350" s="12" t="inlineStr"/>
      <c r="G350" s="12" t="inlineStr"/>
      <c r="H350" s="28" t="inlineStr">
        <is>
          <t>Team check</t>
        </is>
      </c>
      <c r="I350" s="17" t="n"/>
      <c r="J350" s="17" t="n"/>
    </row>
    <row r="351">
      <c r="A351" s="12" t="inlineStr">
        <is>
          <t>Quote templates</t>
        </is>
      </c>
      <c r="B351" s="12" t="inlineStr">
        <is>
          <t>TI-02</t>
        </is>
      </c>
      <c r="C351" s="12" t="inlineStr">
        <is>
          <t>Items table</t>
        </is>
      </c>
      <c r="D351" s="14" t="inlineStr">
        <is>
          <t>Column heading row style</t>
        </is>
      </c>
      <c r="E351" s="14" t="inlineStr">
        <is>
          <t>Built</t>
        </is>
      </c>
      <c r="F351" s="12" t="inlineStr"/>
      <c r="G351" s="12" t="inlineStr"/>
      <c r="H351" s="28" t="inlineStr">
        <is>
          <t>Team check</t>
        </is>
      </c>
      <c r="I351" s="17" t="n"/>
      <c r="J351" s="17" t="n"/>
    </row>
    <row r="352">
      <c r="A352" s="12" t="inlineStr">
        <is>
          <t>Quote templates</t>
        </is>
      </c>
      <c r="B352" s="12" t="inlineStr">
        <is>
          <t>TI-03</t>
        </is>
      </c>
      <c r="C352" s="12" t="inlineStr">
        <is>
          <t>Items table</t>
        </is>
      </c>
      <c r="D352" s="14" t="inlineStr">
        <is>
          <t>Section heading styles</t>
        </is>
      </c>
      <c r="E352" s="14" t="inlineStr">
        <is>
          <t>Built</t>
        </is>
      </c>
      <c r="F352" s="12" t="inlineStr"/>
      <c r="G352" s="12" t="inlineStr"/>
      <c r="H352" s="28" t="inlineStr">
        <is>
          <t>Team check</t>
        </is>
      </c>
      <c r="I352" s="17" t="n"/>
      <c r="J352" s="17" t="n"/>
    </row>
    <row r="353">
      <c r="A353" s="12" t="inlineStr">
        <is>
          <t>Quote templates</t>
        </is>
      </c>
      <c r="B353" s="12" t="inlineStr">
        <is>
          <t>TI-04</t>
        </is>
      </c>
      <c r="C353" s="12" t="inlineStr">
        <is>
          <t>Items table</t>
        </is>
      </c>
      <c r="D353" s="14" t="inlineStr">
        <is>
          <t>Sub-section style</t>
        </is>
      </c>
      <c r="E353" s="14" t="inlineStr">
        <is>
          <t>Built</t>
        </is>
      </c>
      <c r="F353" s="12" t="inlineStr"/>
      <c r="G353" s="12" t="inlineStr"/>
      <c r="H353" s="28" t="inlineStr">
        <is>
          <t>Team check</t>
        </is>
      </c>
      <c r="I353" s="17" t="n"/>
      <c r="J353" s="17" t="n"/>
    </row>
    <row r="354">
      <c r="A354" s="12" t="inlineStr">
        <is>
          <t>Quote templates</t>
        </is>
      </c>
      <c r="B354" s="12" t="inlineStr">
        <is>
          <t>TI-05</t>
        </is>
      </c>
      <c r="C354" s="12" t="inlineStr">
        <is>
          <t>Items table</t>
        </is>
      </c>
      <c r="D354" s="14" t="inlineStr">
        <is>
          <t>Item numbering modes, incl. A1, A2</t>
        </is>
      </c>
      <c r="E354" s="14" t="inlineStr">
        <is>
          <t>Built in parity round 1</t>
        </is>
      </c>
      <c r="F354" s="12" t="inlineStr"/>
      <c r="G354" s="12" t="inlineStr">
        <is>
          <t>3.29</t>
        </is>
      </c>
      <c r="H354" s="12" t="inlineStr"/>
      <c r="I354" s="17" t="n"/>
      <c r="J354" s="17" t="n"/>
    </row>
    <row r="355">
      <c r="A355" s="12" t="inlineStr">
        <is>
          <t>Quote templates</t>
        </is>
      </c>
      <c r="B355" s="12" t="inlineStr">
        <is>
          <t>TI-06</t>
        </is>
      </c>
      <c r="C355" s="12" t="inlineStr">
        <is>
          <t>Items table</t>
        </is>
      </c>
      <c r="D355" s="14" t="inlineStr">
        <is>
          <t>Where sub-totals print</t>
        </is>
      </c>
      <c r="E355" s="14" t="inlineStr">
        <is>
          <t>Built in parity round 1</t>
        </is>
      </c>
      <c r="F355" s="12" t="inlineStr"/>
      <c r="G355" s="12" t="inlineStr"/>
      <c r="H355" s="28" t="inlineStr">
        <is>
          <t>Team check</t>
        </is>
      </c>
      <c r="I355" s="17" t="n"/>
      <c r="J355" s="17" t="n"/>
    </row>
    <row r="356">
      <c r="A356" s="12" t="inlineStr">
        <is>
          <t>Quote templates</t>
        </is>
      </c>
      <c r="B356" s="12" t="inlineStr">
        <is>
          <t>TI-07</t>
        </is>
      </c>
      <c r="C356" s="12" t="inlineStr">
        <is>
          <t>Items table</t>
        </is>
      </c>
      <c r="D356" s="14" t="inlineStr">
        <is>
          <t>A description under each section</t>
        </is>
      </c>
      <c r="E356" s="14" t="inlineStr">
        <is>
          <t>Built in parity round 1</t>
        </is>
      </c>
      <c r="F356" s="12" t="inlineStr"/>
      <c r="G356" s="12" t="inlineStr">
        <is>
          <t>2.26</t>
        </is>
      </c>
      <c r="H356" s="12" t="inlineStr"/>
      <c r="I356" s="17" t="n"/>
      <c r="J356" s="17" t="n"/>
    </row>
    <row r="357">
      <c r="A357" s="12" t="inlineStr">
        <is>
          <t>Quote templates</t>
        </is>
      </c>
      <c r="B357" s="12" t="inlineStr">
        <is>
          <t>TI-08</t>
        </is>
      </c>
      <c r="C357" s="12" t="inlineStr">
        <is>
          <t>Items table</t>
        </is>
      </c>
      <c r="D357" s="14" t="inlineStr">
        <is>
          <t>Formatted descriptions</t>
        </is>
      </c>
      <c r="E357" s="14" t="inlineStr">
        <is>
          <t>Built</t>
        </is>
      </c>
      <c r="F357" s="12" t="inlineStr"/>
      <c r="G357" s="12" t="inlineStr"/>
      <c r="H357" s="28" t="inlineStr">
        <is>
          <t>Team check</t>
        </is>
      </c>
      <c r="I357" s="17" t="n"/>
      <c r="J357" s="17" t="n"/>
    </row>
    <row r="358">
      <c r="A358" s="12" t="inlineStr">
        <is>
          <t>Quote templates</t>
        </is>
      </c>
      <c r="B358" s="12" t="inlineStr">
        <is>
          <t>TI-09</t>
        </is>
      </c>
      <c r="C358" s="12" t="inlineStr">
        <is>
          <t>Items table</t>
        </is>
      </c>
      <c r="D358" s="14" t="inlineStr">
        <is>
          <t>Row highlight colour</t>
        </is>
      </c>
      <c r="E358" s="14" t="inlineStr">
        <is>
          <t>Built</t>
        </is>
      </c>
      <c r="F358" s="12" t="inlineStr"/>
      <c r="G358" s="12" t="inlineStr"/>
      <c r="H358" s="28" t="inlineStr">
        <is>
          <t>Team check</t>
        </is>
      </c>
      <c r="I358" s="17" t="n"/>
      <c r="J358" s="17" t="n"/>
    </row>
    <row r="359">
      <c r="A359" s="12" t="inlineStr">
        <is>
          <t>Quote templates</t>
        </is>
      </c>
      <c r="B359" s="12" t="inlineStr">
        <is>
          <t>TI-10</t>
        </is>
      </c>
      <c r="C359" s="12" t="inlineStr">
        <is>
          <t>Items table</t>
        </is>
      </c>
      <c r="D359" s="14" t="inlineStr">
        <is>
          <t>A word instead of an amount (TBC, FOC)</t>
        </is>
      </c>
      <c r="E359" s="14" t="inlineStr">
        <is>
          <t>Built</t>
        </is>
      </c>
      <c r="F359" s="12" t="inlineStr"/>
      <c r="G359" s="12" t="inlineStr"/>
      <c r="H359" s="28" t="inlineStr">
        <is>
          <t>Team check</t>
        </is>
      </c>
      <c r="I359" s="17" t="n"/>
      <c r="J359" s="17" t="n"/>
    </row>
    <row r="360">
      <c r="A360" s="12" t="inlineStr">
        <is>
          <t>Quote templates</t>
        </is>
      </c>
      <c r="B360" s="12" t="inlineStr">
        <is>
          <t>TI-11</t>
        </is>
      </c>
      <c r="C360" s="12" t="inlineStr">
        <is>
          <t>Items table</t>
        </is>
      </c>
      <c r="D360" s="14" t="inlineStr">
        <is>
          <t>Optional lines</t>
        </is>
      </c>
      <c r="E360" s="14" t="inlineStr">
        <is>
          <t>Built in parity round 1</t>
        </is>
      </c>
      <c r="F360" s="12" t="inlineStr"/>
      <c r="G360" s="12" t="inlineStr"/>
      <c r="H360" s="28" t="inlineStr">
        <is>
          <t>Team check</t>
        </is>
      </c>
      <c r="I360" s="17" t="n"/>
      <c r="J360" s="17" t="n"/>
    </row>
    <row r="361">
      <c r="A361" s="12" t="inlineStr">
        <is>
          <t>Quote templates</t>
        </is>
      </c>
      <c r="B361" s="12" t="inlineStr">
        <is>
          <t>TI-12</t>
        </is>
      </c>
      <c r="C361" s="12" t="inlineStr">
        <is>
          <t>Items table</t>
        </is>
      </c>
      <c r="D361" s="14" t="inlineStr">
        <is>
          <t>Currency symbol and its own column</t>
        </is>
      </c>
      <c r="E361" s="14" t="inlineStr">
        <is>
          <t>Built</t>
        </is>
      </c>
      <c r="F361" s="12" t="inlineStr">
        <is>
          <t>S$, $ or figures only; no separate currency column (Q-22)</t>
        </is>
      </c>
      <c r="G361" s="12" t="inlineStr"/>
      <c r="H361" s="28" t="inlineStr">
        <is>
          <t>Team check</t>
        </is>
      </c>
      <c r="I361" s="17" t="n"/>
      <c r="J361" s="17" t="n"/>
    </row>
    <row r="362">
      <c r="A362" s="12" t="inlineStr">
        <is>
          <t>Quote templates</t>
        </is>
      </c>
      <c r="B362" s="12" t="inlineStr">
        <is>
          <t>TI-13</t>
        </is>
      </c>
      <c r="C362" s="12" t="inlineStr">
        <is>
          <t>Items table</t>
        </is>
      </c>
      <c r="D362" s="14" t="inlineStr">
        <is>
          <t>Hide Qty when the unit already carries it</t>
        </is>
      </c>
      <c r="E362" s="14" t="inlineStr">
        <is>
          <t>Not built — by design</t>
        </is>
      </c>
      <c r="F362" s="12" t="inlineStr">
        <is>
          <t>Not proposed; the merged Qty · Unit column covers it</t>
        </is>
      </c>
      <c r="G362" s="12" t="inlineStr"/>
      <c r="H362" s="12" t="inlineStr"/>
      <c r="I362" s="17" t="n"/>
      <c r="J362" s="17" t="n"/>
    </row>
    <row r="363">
      <c r="A363" s="12" t="inlineStr">
        <is>
          <t>Quote templates</t>
        </is>
      </c>
      <c r="B363" s="12" t="inlineStr">
        <is>
          <t>TI-14</t>
        </is>
      </c>
      <c r="C363" s="12" t="inlineStr">
        <is>
          <t>Items table</t>
        </is>
      </c>
      <c r="D363" s="14" t="inlineStr">
        <is>
          <t>Striped rows, grid lines, row spacing</t>
        </is>
      </c>
      <c r="E363" s="14" t="inlineStr">
        <is>
          <t>Built</t>
        </is>
      </c>
      <c r="F363" s="12" t="inlineStr"/>
      <c r="G363" s="12" t="inlineStr"/>
      <c r="H363" s="28" t="inlineStr">
        <is>
          <t>Team check</t>
        </is>
      </c>
      <c r="I363" s="17" t="n"/>
      <c r="J363" s="17" t="n"/>
    </row>
    <row r="364">
      <c r="A364" s="12" t="inlineStr">
        <is>
          <t>Quote templates</t>
        </is>
      </c>
      <c r="B364" s="12" t="inlineStr">
        <is>
          <t>TI-15</t>
        </is>
      </c>
      <c r="C364" s="12" t="inlineStr">
        <is>
          <t>Items table</t>
        </is>
      </c>
      <c r="D364" s="14" t="inlineStr">
        <is>
          <t>Continuation marker</t>
        </is>
      </c>
      <c r="E364" s="14" t="inlineStr">
        <is>
          <t>Dead</t>
        </is>
      </c>
      <c r="F364" s="12" t="inlineStr">
        <is>
          <t>No control in 1.0; not ported</t>
        </is>
      </c>
      <c r="G364" s="12" t="inlineStr"/>
      <c r="H364" s="12" t="inlineStr"/>
      <c r="I364" s="17" t="n"/>
      <c r="J364" s="17" t="n"/>
    </row>
    <row r="365">
      <c r="A365" s="12" t="inlineStr">
        <is>
          <t>Quote templates</t>
        </is>
      </c>
      <c r="B365" s="12" t="inlineStr">
        <is>
          <t>TI-16</t>
        </is>
      </c>
      <c r="C365" s="12" t="inlineStr">
        <is>
          <t>Items table</t>
        </is>
      </c>
      <c r="D365" s="14" t="inlineStr">
        <is>
          <t>Item photos</t>
        </is>
      </c>
      <c r="E365" s="14" t="inlineStr">
        <is>
          <t>Built</t>
        </is>
      </c>
      <c r="F365" s="12" t="inlineStr"/>
      <c r="G365" s="12" t="inlineStr"/>
      <c r="H365" s="28" t="inlineStr">
        <is>
          <t>Team check</t>
        </is>
      </c>
      <c r="I365" s="17" t="n"/>
      <c r="J365" s="17" t="n"/>
    </row>
    <row r="366">
      <c r="A366" s="12" t="inlineStr">
        <is>
          <t>Quote templates</t>
        </is>
      </c>
      <c r="B366" s="12" t="inlineStr">
        <is>
          <t>TI-17</t>
        </is>
      </c>
      <c r="C366" s="12" t="inlineStr">
        <is>
          <t>Items table</t>
        </is>
      </c>
      <c r="D366" s="14" t="inlineStr">
        <is>
          <t>Lump sum, page totals, fill the page</t>
        </is>
      </c>
      <c r="E366" s="14" t="inlineStr">
        <is>
          <t>2.0 only</t>
        </is>
      </c>
      <c r="F366" s="12" t="inlineStr">
        <is>
          <t>New print options in 2.0</t>
        </is>
      </c>
      <c r="G366" s="12" t="inlineStr"/>
      <c r="H366" s="28" t="inlineStr">
        <is>
          <t>Team check</t>
        </is>
      </c>
      <c r="I366" s="17" t="n"/>
      <c r="J366" s="17" t="n"/>
    </row>
    <row r="367">
      <c r="A367" s="12" t="inlineStr">
        <is>
          <t>Quote templates</t>
        </is>
      </c>
      <c r="B367" s="12" t="inlineStr">
        <is>
          <t>TI-18</t>
        </is>
      </c>
      <c r="C367" s="12" t="inlineStr">
        <is>
          <t>Items table</t>
        </is>
      </c>
      <c r="D367" s="14" t="inlineStr">
        <is>
          <t>Variation order lanes</t>
        </is>
      </c>
      <c r="E367" s="14" t="inlineStr">
        <is>
          <t>Built</t>
        </is>
      </c>
      <c r="F367" s="12" t="inlineStr">
        <is>
          <t>A VO prints through its quote’s template: credit lines, “Change to the contract” (Projects build)</t>
        </is>
      </c>
      <c r="G367" s="12" t="inlineStr"/>
      <c r="H367" s="28" t="inlineStr">
        <is>
          <t>Team check</t>
        </is>
      </c>
      <c r="I367" s="17" t="n"/>
      <c r="J367" s="17" t="n"/>
    </row>
    <row r="368">
      <c r="A368" s="12" t="inlineStr">
        <is>
          <t>Quote templates</t>
        </is>
      </c>
      <c r="B368" s="12" t="inlineStr">
        <is>
          <t>TI-19</t>
        </is>
      </c>
      <c r="C368" s="12" t="inlineStr">
        <is>
          <t>Items table</t>
        </is>
      </c>
      <c r="D368" s="14" t="inlineStr">
        <is>
          <t>Blocks between table sections</t>
        </is>
      </c>
      <c r="E368" s="14" t="inlineStr">
        <is>
          <t>Not built — by design</t>
        </is>
      </c>
      <c r="F368" s="12" t="inlineStr">
        <is>
          <t>Section notes cover it (Q-23)</t>
        </is>
      </c>
      <c r="G368" s="12" t="inlineStr"/>
      <c r="H368" s="12" t="inlineStr"/>
      <c r="I368" s="17" t="n"/>
      <c r="J368" s="17" t="n"/>
    </row>
    <row r="369">
      <c r="A369" s="12" t="inlineStr">
        <is>
          <t>Quote templates</t>
        </is>
      </c>
      <c r="B369" s="12" t="inlineStr">
        <is>
          <t>TB-01</t>
        </is>
      </c>
      <c r="C369" s="12" t="inlineStr">
        <is>
          <t>Totals, payments, bank, signature</t>
        </is>
      </c>
      <c r="D369" s="14" t="inlineStr">
        <is>
          <t>Totals shapes and GST label</t>
        </is>
      </c>
      <c r="E369" s="14" t="inlineStr">
        <is>
          <t>Built</t>
        </is>
      </c>
      <c r="F369" s="12" t="inlineStr"/>
      <c r="G369" s="12" t="inlineStr"/>
      <c r="H369" s="28" t="inlineStr">
        <is>
          <t>Team check</t>
        </is>
      </c>
      <c r="I369" s="17" t="n"/>
      <c r="J369" s="17" t="n"/>
    </row>
    <row r="370">
      <c r="A370" s="12" t="inlineStr">
        <is>
          <t>Quote templates</t>
        </is>
      </c>
      <c r="B370" s="12" t="inlineStr">
        <is>
          <t>TB-02</t>
        </is>
      </c>
      <c r="C370" s="12" t="inlineStr">
        <is>
          <t>Totals, payments, bank, signature</t>
        </is>
      </c>
      <c r="D370" s="14" t="inlineStr">
        <is>
          <t>Round Off row</t>
        </is>
      </c>
      <c r="E370" s="14" t="inlineStr">
        <is>
          <t>Not built — by design</t>
        </is>
      </c>
      <c r="F370" s="12" t="inlineStr">
        <is>
          <t>Never wired in 1.0; 2.0 rounds each price (Q-12)</t>
        </is>
      </c>
      <c r="G370" s="12" t="inlineStr"/>
      <c r="H370" s="12" t="inlineStr"/>
      <c r="I370" s="17" t="n"/>
      <c r="J370" s="17" t="n"/>
    </row>
    <row r="371">
      <c r="A371" s="12" t="inlineStr">
        <is>
          <t>Quote templates</t>
        </is>
      </c>
      <c r="B371" s="12" t="inlineStr">
        <is>
          <t>TB-03</t>
        </is>
      </c>
      <c r="C371" s="12" t="inlineStr">
        <is>
          <t>Totals, payments, bank, signature</t>
        </is>
      </c>
      <c r="D371" s="14" t="inlineStr">
        <is>
          <t>GST-inclusive printing</t>
        </is>
      </c>
      <c r="E371" s="14" t="inlineStr">
        <is>
          <t>Later</t>
        </is>
      </c>
      <c r="F371" s="12" t="inlineStr">
        <is>
          <t>Held — ask the studios first (Q-13)</t>
        </is>
      </c>
      <c r="G371" s="12" t="inlineStr"/>
      <c r="H371" s="12" t="inlineStr"/>
      <c r="I371" s="17" t="n"/>
      <c r="J371" s="17" t="n"/>
    </row>
    <row r="372">
      <c r="A372" s="12" t="inlineStr">
        <is>
          <t>Quote templates</t>
        </is>
      </c>
      <c r="B372" s="12" t="inlineStr">
        <is>
          <t>TB-04</t>
        </is>
      </c>
      <c r="C372" s="12" t="inlineStr">
        <is>
          <t>Totals, payments, bank, signature</t>
        </is>
      </c>
      <c r="D372" s="14" t="inlineStr">
        <is>
          <t>Payment milestones: layout, ordinals, footnote</t>
        </is>
      </c>
      <c r="E372" s="14" t="inlineStr">
        <is>
          <t>Built in parity round 2</t>
        </is>
      </c>
      <c r="F372" s="12" t="inlineStr">
        <is>
          <t>A fixed fee first prints “Fixed fee”; templates hold shares only (parity map P-A)</t>
        </is>
      </c>
      <c r="G372" s="12" t="inlineStr"/>
      <c r="H372" s="28" t="inlineStr">
        <is>
          <t>Team check</t>
        </is>
      </c>
      <c r="I372" s="17" t="n"/>
      <c r="J372" s="17" t="n"/>
    </row>
    <row r="373">
      <c r="A373" s="12" t="inlineStr">
        <is>
          <t>Quote templates</t>
        </is>
      </c>
      <c r="B373" s="12" t="inlineStr">
        <is>
          <t>TB-05</t>
        </is>
      </c>
      <c r="C373" s="12" t="inlineStr">
        <is>
          <t>Totals, payments, bank, signature</t>
        </is>
      </c>
      <c r="D373" s="14" t="inlineStr">
        <is>
          <t>Payment terms as free text</t>
        </is>
      </c>
      <c r="E373" s="14" t="inlineStr">
        <is>
          <t>Built</t>
        </is>
      </c>
      <c r="F373" s="12" t="inlineStr"/>
      <c r="G373" s="12" t="inlineStr"/>
      <c r="H373" s="28" t="inlineStr">
        <is>
          <t>Team check</t>
        </is>
      </c>
      <c r="I373" s="17" t="n"/>
      <c r="J373" s="17" t="n"/>
    </row>
    <row r="374">
      <c r="A374" s="12" t="inlineStr">
        <is>
          <t>Quote templates</t>
        </is>
      </c>
      <c r="B374" s="12" t="inlineStr">
        <is>
          <t>TB-06</t>
        </is>
      </c>
      <c r="C374" s="12" t="inlineStr">
        <is>
          <t>Totals, payments, bank, signature</t>
        </is>
      </c>
      <c r="D374" s="14" t="inlineStr">
        <is>
          <t>Bank details: labels, SWIFT, extra rows</t>
        </is>
      </c>
      <c r="E374" s="14" t="inlineStr">
        <is>
          <t>Built in parity round 2</t>
        </is>
      </c>
      <c r="F374" s="12" t="inlineStr">
        <is>
          <t>No extra rows (Q-24)</t>
        </is>
      </c>
      <c r="G374" s="12" t="inlineStr">
        <is>
          <t>2.03</t>
        </is>
      </c>
      <c r="H374" s="12" t="inlineStr"/>
      <c r="I374" s="17" t="n"/>
      <c r="J374" s="17" t="n"/>
    </row>
    <row r="375">
      <c r="A375" s="12" t="inlineStr">
        <is>
          <t>Quote templates</t>
        </is>
      </c>
      <c r="B375" s="12" t="inlineStr">
        <is>
          <t>TB-07</t>
        </is>
      </c>
      <c r="C375" s="12" t="inlineStr">
        <is>
          <t>Totals, payments, bank, signature</t>
        </is>
      </c>
      <c r="D375" s="14" t="inlineStr">
        <is>
          <t>PayNow QR</t>
        </is>
      </c>
      <c r="E375" s="14" t="inlineStr">
        <is>
          <t>Built</t>
        </is>
      </c>
      <c r="F375" s="12" t="inlineStr"/>
      <c r="G375" s="12" t="inlineStr"/>
      <c r="H375" s="28" t="inlineStr">
        <is>
          <t>Team check</t>
        </is>
      </c>
      <c r="I375" s="17" t="n"/>
      <c r="J375" s="17" t="n"/>
    </row>
    <row r="376">
      <c r="A376" s="12" t="inlineStr">
        <is>
          <t>Quote templates</t>
        </is>
      </c>
      <c r="B376" s="12" t="inlineStr">
        <is>
          <t>TB-08</t>
        </is>
      </c>
      <c r="C376" s="12" t="inlineStr">
        <is>
          <t>Totals, payments, bank, signature</t>
        </is>
      </c>
      <c r="D376" s="14" t="inlineStr">
        <is>
          <t>GST registration line</t>
        </is>
      </c>
      <c r="E376" s="14" t="inlineStr">
        <is>
          <t>Built</t>
        </is>
      </c>
      <c r="F376" s="12" t="inlineStr">
        <is>
          <t>Singapore wording only; other regions are the platform's</t>
        </is>
      </c>
      <c r="G376" s="12" t="inlineStr"/>
      <c r="H376" s="28" t="inlineStr">
        <is>
          <t>Team check</t>
        </is>
      </c>
      <c r="I376" s="17" t="n"/>
      <c r="J376" s="17" t="n"/>
    </row>
    <row r="377">
      <c r="A377" s="12" t="inlineStr">
        <is>
          <t>Quote templates</t>
        </is>
      </c>
      <c r="B377" s="12" t="inlineStr">
        <is>
          <t>TB-09</t>
        </is>
      </c>
      <c r="C377" s="12" t="inlineStr">
        <is>
          <t>Totals, payments, bank, signature</t>
        </is>
      </c>
      <c r="D377" s="14" t="inlineStr">
        <is>
          <t>Signature block</t>
        </is>
      </c>
      <c r="E377" s="14" t="inlineStr">
        <is>
          <t>Built</t>
        </is>
      </c>
      <c r="F377" s="12" t="inlineStr"/>
      <c r="G377" s="12" t="inlineStr">
        <is>
          <t>6.23</t>
        </is>
      </c>
      <c r="H377" s="12" t="inlineStr"/>
      <c r="I377" s="17" t="n"/>
      <c r="J377" s="17" t="n"/>
    </row>
    <row r="378">
      <c r="A378" s="12" t="inlineStr">
        <is>
          <t>Quote templates</t>
        </is>
      </c>
      <c r="B378" s="12" t="inlineStr">
        <is>
          <t>TB-10</t>
        </is>
      </c>
      <c r="C378" s="12" t="inlineStr">
        <is>
          <t>Totals, payments, bank, signature</t>
        </is>
      </c>
      <c r="D378" s="14" t="inlineStr">
        <is>
          <t>Intro, remarks and closing text</t>
        </is>
      </c>
      <c r="E378" s="14" t="inlineStr">
        <is>
          <t>Built</t>
        </is>
      </c>
      <c r="F378" s="12" t="inlineStr"/>
      <c r="G378" s="12" t="inlineStr">
        <is>
          <t>3.24</t>
        </is>
      </c>
      <c r="H378" s="12" t="inlineStr"/>
      <c r="I378" s="17" t="n"/>
      <c r="J378" s="17" t="n"/>
    </row>
    <row r="379">
      <c r="A379" s="12" t="inlineStr">
        <is>
          <t>Quote templates</t>
        </is>
      </c>
      <c r="B379" s="12" t="inlineStr">
        <is>
          <t>TB-11</t>
        </is>
      </c>
      <c r="C379" s="12" t="inlineStr">
        <is>
          <t>Totals, payments, bank, signature</t>
        </is>
      </c>
      <c r="D379" s="14" t="inlineStr">
        <is>
          <t>Subject line</t>
        </is>
      </c>
      <c r="E379" s="14" t="inlineStr">
        <is>
          <t>Built</t>
        </is>
      </c>
      <c r="F379" s="12" t="inlineStr"/>
      <c r="G379" s="12" t="inlineStr"/>
      <c r="H379" s="28" t="inlineStr">
        <is>
          <t>Team check</t>
        </is>
      </c>
      <c r="I379" s="17" t="n"/>
      <c r="J379" s="17" t="n"/>
    </row>
    <row r="380">
      <c r="A380" s="12" t="inlineStr">
        <is>
          <t>Quote templates</t>
        </is>
      </c>
      <c r="B380" s="12" t="inlineStr">
        <is>
          <t>TB-12</t>
        </is>
      </c>
      <c r="C380" s="12" t="inlineStr">
        <is>
          <t>Totals, payments, bank, signature</t>
        </is>
      </c>
      <c r="D380" s="14" t="inlineStr">
        <is>
          <t>Terms &amp; Conditions section</t>
        </is>
      </c>
      <c r="E380" s="14" t="inlineStr">
        <is>
          <t>Built</t>
        </is>
      </c>
      <c r="F380" s="12" t="inlineStr"/>
      <c r="G380" s="12" t="inlineStr">
        <is>
          <t>6.20</t>
        </is>
      </c>
      <c r="H380" s="12" t="inlineStr"/>
      <c r="I380" s="17" t="n"/>
      <c r="J380" s="17" t="n"/>
    </row>
    <row r="381">
      <c r="A381" s="12" t="inlineStr">
        <is>
          <t>Quote templates</t>
        </is>
      </c>
      <c r="B381" s="12" t="inlineStr">
        <is>
          <t>TB-13</t>
        </is>
      </c>
      <c r="C381" s="12" t="inlineStr">
        <is>
          <t>Totals, payments, bank, signature</t>
        </is>
      </c>
      <c r="D381" s="14" t="inlineStr">
        <is>
          <t>Picture, spacer, divider, page break</t>
        </is>
      </c>
      <c r="E381" s="14" t="inlineStr">
        <is>
          <t>Built</t>
        </is>
      </c>
      <c r="F381" s="12" t="inlineStr"/>
      <c r="G381" s="12" t="inlineStr"/>
      <c r="H381" s="28" t="inlineStr">
        <is>
          <t>Team check</t>
        </is>
      </c>
      <c r="I381" s="17" t="n"/>
      <c r="J381" s="17" t="n"/>
    </row>
    <row r="382">
      <c r="A382" s="12" t="inlineStr">
        <is>
          <t>Quote templates</t>
        </is>
      </c>
      <c r="B382" s="12" t="inlineStr">
        <is>
          <t>TB-14</t>
        </is>
      </c>
      <c r="C382" s="12" t="inlineStr">
        <is>
          <t>Totals, payments, bank, signature</t>
        </is>
      </c>
      <c r="D382" s="14" t="inlineStr">
        <is>
          <t>Keep together on one page</t>
        </is>
      </c>
      <c r="E382" s="14" t="inlineStr">
        <is>
          <t>Built</t>
        </is>
      </c>
      <c r="F382" s="12" t="inlineStr"/>
      <c r="G382" s="12" t="inlineStr"/>
      <c r="H382" s="28" t="inlineStr">
        <is>
          <t>Team check</t>
        </is>
      </c>
      <c r="I382" s="17" t="n"/>
      <c r="J382" s="17" t="n"/>
    </row>
    <row r="383">
      <c r="A383" s="12" t="inlineStr">
        <is>
          <t>Quote templates</t>
        </is>
      </c>
      <c r="B383" s="12" t="inlineStr">
        <is>
          <t>TB-15</t>
        </is>
      </c>
      <c r="C383" s="12" t="inlineStr">
        <is>
          <t>Totals, payments, bank, signature</t>
        </is>
      </c>
      <c r="D383" s="14" t="inlineStr">
        <is>
          <t>Accreditation strip</t>
        </is>
      </c>
      <c r="E383" s="14" t="inlineStr">
        <is>
          <t>Built</t>
        </is>
      </c>
      <c r="F383" s="12" t="inlineStr">
        <is>
          <t>The studio's own badges; no catalogue or caption (Q-15)</t>
        </is>
      </c>
      <c r="G383" s="12" t="inlineStr"/>
      <c r="H383" s="28" t="inlineStr">
        <is>
          <t>Team check</t>
        </is>
      </c>
      <c r="I383" s="17" t="n"/>
      <c r="J383" s="17" t="n"/>
    </row>
    <row r="384">
      <c r="A384" s="12" t="inlineStr">
        <is>
          <t>Quote templates</t>
        </is>
      </c>
      <c r="B384" s="12" t="inlineStr">
        <is>
          <t>TB-16</t>
        </is>
      </c>
      <c r="C384" s="12" t="inlineStr">
        <is>
          <t>Totals, payments, bank, signature</t>
        </is>
      </c>
      <c r="D384" s="14" t="inlineStr">
        <is>
          <t>Old section presets</t>
        </is>
      </c>
      <c r="E384" s="14" t="inlineStr">
        <is>
          <t>Built</t>
        </is>
      </c>
      <c r="F384" s="12" t="inlineStr"/>
      <c r="G384" s="12" t="inlineStr"/>
      <c r="H384" s="28" t="inlineStr">
        <is>
          <t>Team check</t>
        </is>
      </c>
      <c r="I384" s="17" t="n"/>
      <c r="J384" s="17" t="n"/>
    </row>
    <row r="385">
      <c r="A385" s="12" t="inlineStr">
        <is>
          <t>Quote templates</t>
        </is>
      </c>
      <c r="B385" s="12" t="inlineStr">
        <is>
          <t>TB-17</t>
        </is>
      </c>
      <c r="C385" s="12" t="inlineStr">
        <is>
          <t>Totals, payments, bank, signature</t>
        </is>
      </c>
      <c r="D385" s="14" t="inlineStr">
        <is>
          <t>Callouts and two-column text</t>
        </is>
      </c>
      <c r="E385" s="14" t="inlineStr">
        <is>
          <t>Built</t>
        </is>
      </c>
      <c r="F385" s="12" t="inlineStr">
        <is>
          <t>A tinted or outlined text box; no callout kinds</t>
        </is>
      </c>
      <c r="G385" s="12" t="inlineStr"/>
      <c r="H385" s="28" t="inlineStr">
        <is>
          <t>Team check</t>
        </is>
      </c>
      <c r="I385" s="17" t="n"/>
      <c r="J385" s="17" t="n"/>
    </row>
    <row r="386">
      <c r="A386" s="12" t="inlineStr">
        <is>
          <t>Quote templates</t>
        </is>
      </c>
      <c r="B386" s="12" t="inlineStr">
        <is>
          <t>TT-01</t>
        </is>
      </c>
      <c r="C386" s="12" t="inlineStr">
        <is>
          <t>Theme and brand</t>
        </is>
      </c>
      <c r="D386" s="14" t="inlineStr">
        <is>
          <t>Theme presets applied to a template</t>
        </is>
      </c>
      <c r="E386" s="14" t="inlineStr">
        <is>
          <t>Built</t>
        </is>
      </c>
      <c r="F386" s="12" t="inlineStr">
        <is>
          <t>Four ready-made designs start a new template (Q-03)</t>
        </is>
      </c>
      <c r="G386" s="12" t="inlineStr">
        <is>
          <t>3.23</t>
        </is>
      </c>
      <c r="H386" s="12" t="inlineStr"/>
      <c r="I386" s="17" t="n"/>
      <c r="J386" s="17" t="n"/>
    </row>
    <row r="387">
      <c r="A387" s="12" t="inlineStr">
        <is>
          <t>Quote templates</t>
        </is>
      </c>
      <c r="B387" s="12" t="inlineStr">
        <is>
          <t>TT-02</t>
        </is>
      </c>
      <c r="C387" s="12" t="inlineStr">
        <is>
          <t>Theme and brand</t>
        </is>
      </c>
      <c r="D387" s="14" t="inlineStr">
        <is>
          <t>Save as my preset</t>
        </is>
      </c>
      <c r="E387" s="14" t="inlineStr">
        <is>
          <t>Not built — by design</t>
        </is>
      </c>
      <c r="F387" s="12" t="inlineStr">
        <is>
          <t>Duplicate a template or Save as template instead (Q-03)</t>
        </is>
      </c>
      <c r="G387" s="12" t="inlineStr"/>
      <c r="H387" s="12" t="inlineStr"/>
      <c r="I387" s="17" t="n"/>
      <c r="J387" s="17" t="n"/>
    </row>
    <row r="388">
      <c r="A388" s="12" t="inlineStr">
        <is>
          <t>Quote templates</t>
        </is>
      </c>
      <c r="B388" s="12" t="inlineStr">
        <is>
          <t>TT-03</t>
        </is>
      </c>
      <c r="C388" s="12" t="inlineStr">
        <is>
          <t>Theme and brand</t>
        </is>
      </c>
      <c r="D388" s="14" t="inlineStr">
        <is>
          <t>Fonts, sizes and line spacing</t>
        </is>
      </c>
      <c r="E388" s="14" t="inlineStr">
        <is>
          <t>Built</t>
        </is>
      </c>
      <c r="F388" s="12" t="inlineStr">
        <is>
          <t>Outfit added; every face prints the same on any computer (S11)</t>
        </is>
      </c>
      <c r="G388" s="12" t="inlineStr"/>
      <c r="H388" s="28" t="inlineStr">
        <is>
          <t>Team check</t>
        </is>
      </c>
      <c r="I388" s="17" t="n"/>
      <c r="J388" s="17" t="n"/>
    </row>
    <row r="389">
      <c r="A389" s="12" t="inlineStr">
        <is>
          <t>Quote templates</t>
        </is>
      </c>
      <c r="B389" s="12" t="inlineStr">
        <is>
          <t>TT-04</t>
        </is>
      </c>
      <c r="C389" s="12" t="inlineStr">
        <is>
          <t>Theme and brand</t>
        </is>
      </c>
      <c r="D389" s="14" t="inlineStr">
        <is>
          <t>Named colours</t>
        </is>
      </c>
      <c r="E389" s="14" t="inlineStr">
        <is>
          <t>Built</t>
        </is>
      </c>
      <c r="F389" s="12" t="inlineStr"/>
      <c r="G389" s="12" t="inlineStr">
        <is>
          <t>3.28</t>
        </is>
      </c>
      <c r="H389" s="12" t="inlineStr"/>
      <c r="I389" s="17" t="n"/>
      <c r="J389" s="17" t="n"/>
    </row>
    <row r="390">
      <c r="A390" s="12" t="inlineStr">
        <is>
          <t>Quote templates</t>
        </is>
      </c>
      <c r="B390" s="12" t="inlineStr">
        <is>
          <t>TT-05</t>
        </is>
      </c>
      <c r="C390" s="12" t="inlineStr">
        <is>
          <t>Theme and brand</t>
        </is>
      </c>
      <c r="D390" s="14" t="inlineStr">
        <is>
          <t>Bold, italic, uppercase, underline</t>
        </is>
      </c>
      <c r="E390" s="14" t="inlineStr">
        <is>
          <t>Built</t>
        </is>
      </c>
      <c r="F390" s="12" t="inlineStr"/>
      <c r="G390" s="12" t="inlineStr"/>
      <c r="H390" s="28" t="inlineStr">
        <is>
          <t>Team check</t>
        </is>
      </c>
      <c r="I390" s="17" t="n"/>
      <c r="J390" s="17" t="n"/>
    </row>
    <row r="391">
      <c r="A391" s="12" t="inlineStr">
        <is>
          <t>Quote templates</t>
        </is>
      </c>
      <c r="B391" s="12" t="inlineStr">
        <is>
          <t>TT-06</t>
        </is>
      </c>
      <c r="C391" s="12" t="inlineStr">
        <is>
          <t>Theme and brand</t>
        </is>
      </c>
      <c r="D391" s="14" t="inlineStr">
        <is>
          <t>Spacing: gaps, padding, indent</t>
        </is>
      </c>
      <c r="E391" s="14" t="inlineStr">
        <is>
          <t>Built</t>
        </is>
      </c>
      <c r="F391" s="12" t="inlineStr">
        <is>
          <t>Space before / after, density, margins; no numeric padding or indent</t>
        </is>
      </c>
      <c r="G391" s="12" t="inlineStr"/>
      <c r="H391" s="28" t="inlineStr">
        <is>
          <t>Team check</t>
        </is>
      </c>
      <c r="I391" s="17" t="n"/>
      <c r="J391" s="17" t="n"/>
    </row>
    <row r="392">
      <c r="A392" s="12" t="inlineStr">
        <is>
          <t>Quote templates</t>
        </is>
      </c>
      <c r="B392" s="12" t="inlineStr">
        <is>
          <t>TT-07</t>
        </is>
      </c>
      <c r="C392" s="12" t="inlineStr">
        <is>
          <t>Theme and brand</t>
        </is>
      </c>
      <c r="D392" s="14" t="inlineStr">
        <is>
          <t>Studio branding and Prepared by</t>
        </is>
      </c>
      <c r="E392" s="14" t="inlineStr">
        <is>
          <t>Built in parity round 2</t>
        </is>
      </c>
      <c r="F392" s="12" t="inlineStr"/>
      <c r="G392" s="12" t="inlineStr">
        <is>
          <t>2.01, 2.05, 2.31</t>
        </is>
      </c>
      <c r="H392" s="12" t="inlineStr"/>
      <c r="I392" s="17" t="n"/>
      <c r="J392" s="17" t="n"/>
    </row>
    <row r="393">
      <c r="A393" s="12" t="inlineStr">
        <is>
          <t>Quote templates</t>
        </is>
      </c>
      <c r="B393" s="12" t="inlineStr">
        <is>
          <t>TT-08</t>
        </is>
      </c>
      <c r="C393" s="12" t="inlineStr">
        <is>
          <t>Theme and brand</t>
        </is>
      </c>
      <c r="D393" s="14" t="inlineStr">
        <is>
          <t>Legal entity logo, UEN, address, bank</t>
        </is>
      </c>
      <c r="E393" s="14" t="inlineStr">
        <is>
          <t>Built in parity round 2</t>
        </is>
      </c>
      <c r="F393" s="12" t="inlineStr"/>
      <c r="G393" s="12" t="inlineStr">
        <is>
          <t>2.04</t>
        </is>
      </c>
      <c r="H393" s="12" t="inlineStr"/>
      <c r="I393" s="17" t="n"/>
      <c r="J393" s="17" t="n"/>
    </row>
    <row r="394">
      <c r="A394" s="12" t="inlineStr">
        <is>
          <t>Quote templates</t>
        </is>
      </c>
      <c r="B394" s="12" t="inlineStr">
        <is>
          <t>TT-09</t>
        </is>
      </c>
      <c r="C394" s="12" t="inlineStr">
        <is>
          <t>Theme and brand</t>
        </is>
      </c>
      <c r="D394" s="14" t="inlineStr">
        <is>
          <t>A template's own colours and fonts</t>
        </is>
      </c>
      <c r="E394" s="14" t="inlineStr">
        <is>
          <t>2.0 only</t>
        </is>
      </c>
      <c r="F394" s="12" t="inlineStr">
        <is>
          <t>New: a template can differ from the brand kit</t>
        </is>
      </c>
      <c r="G394" s="12" t="inlineStr">
        <is>
          <t>3.28</t>
        </is>
      </c>
      <c r="H394" s="12" t="inlineStr"/>
      <c r="I394" s="17" t="n"/>
      <c r="J394" s="17" t="n"/>
    </row>
    <row r="395">
      <c r="A395" s="12" t="inlineStr">
        <is>
          <t>Quote templates</t>
        </is>
      </c>
      <c r="B395" s="12" t="inlineStr">
        <is>
          <t>TT-10</t>
        </is>
      </c>
      <c r="C395" s="12" t="inlineStr">
        <is>
          <t>Theme and brand</t>
        </is>
      </c>
      <c r="D395" s="14" t="inlineStr">
        <is>
          <t>Uploading fonts</t>
        </is>
      </c>
      <c r="E395" s="14" t="inlineStr">
        <is>
          <t>Built</t>
        </is>
      </c>
      <c r="F395" s="12" t="inlineStr">
        <is>
          <t>Brand kit › “Your own fonts” › “Upload a font”, Owners and Admins (S11)</t>
        </is>
      </c>
      <c r="G395" s="12" t="inlineStr"/>
      <c r="H395" s="28" t="inlineStr">
        <is>
          <t>Team check</t>
        </is>
      </c>
      <c r="I395" s="17" t="n"/>
      <c r="J395" s="17" t="n"/>
    </row>
    <row r="396">
      <c r="A396" s="12" t="inlineStr">
        <is>
          <t>Quote templates</t>
        </is>
      </c>
      <c r="B396" s="12" t="inlineStr">
        <is>
          <t>TF-01</t>
        </is>
      </c>
      <c r="C396" s="12" t="inlineStr">
        <is>
          <t>Fields</t>
        </is>
      </c>
      <c r="D396" s="14" t="inlineStr">
        <is>
          <t>Token set in template texts</t>
        </is>
      </c>
      <c r="E396" s="14" t="inlineStr">
        <is>
          <t>Built</t>
        </is>
      </c>
      <c r="F396" s="12" t="inlineStr"/>
      <c r="G396" s="12" t="inlineStr">
        <is>
          <t>3.25</t>
        </is>
      </c>
      <c r="H396" s="12" t="inlineStr"/>
      <c r="I396" s="17" t="n"/>
      <c r="J396" s="17" t="n"/>
    </row>
    <row r="397">
      <c r="A397" s="12" t="inlineStr">
        <is>
          <t>Quote templates</t>
        </is>
      </c>
      <c r="B397" s="12" t="inlineStr">
        <is>
          <t>TF-02</t>
        </is>
      </c>
      <c r="C397" s="12" t="inlineStr">
        <is>
          <t>Fields</t>
        </is>
      </c>
      <c r="D397" s="14" t="inlineStr">
        <is>
          <t>Social media tokens</t>
        </is>
      </c>
      <c r="E397" s="14" t="inlineStr">
        <is>
          <t>Built in parity round 2</t>
        </is>
      </c>
      <c r="F397" s="12" t="inlineStr"/>
      <c r="G397" s="12" t="inlineStr">
        <is>
          <t>2.02</t>
        </is>
      </c>
      <c r="H397" s="12" t="inlineStr"/>
      <c r="I397" s="17" t="n"/>
      <c r="J397" s="17" t="n"/>
    </row>
    <row r="398">
      <c r="A398" s="12" t="inlineStr">
        <is>
          <t>Quote templates</t>
        </is>
      </c>
      <c r="B398" s="12" t="inlineStr">
        <is>
          <t>TF-03</t>
        </is>
      </c>
      <c r="C398" s="12" t="inlineStr">
        <is>
          <t>Fields</t>
        </is>
      </c>
      <c r="D398" s="14" t="inlineStr">
        <is>
          <t>{logo} token</t>
        </is>
      </c>
      <c r="E398" s="14" t="inlineStr">
        <is>
          <t>Built</t>
        </is>
      </c>
      <c r="F398" s="12" t="inlineStr"/>
      <c r="G398" s="12" t="inlineStr"/>
      <c r="H398" s="28" t="inlineStr">
        <is>
          <t>Team check</t>
        </is>
      </c>
      <c r="I398" s="17" t="n"/>
      <c r="J398" s="17" t="n"/>
    </row>
    <row r="399">
      <c r="A399" s="12" t="inlineStr">
        <is>
          <t>Quote templates</t>
        </is>
      </c>
      <c r="B399" s="12" t="inlineStr">
        <is>
          <t>TF-04</t>
        </is>
      </c>
      <c r="C399" s="12" t="inlineStr">
        <is>
          <t>Fields</t>
        </is>
      </c>
      <c r="D399" s="14" t="inlineStr">
        <is>
          <t>{section_letter} in sub-totals</t>
        </is>
      </c>
      <c r="E399" s="14" t="inlineStr">
        <is>
          <t>Built</t>
        </is>
      </c>
      <c r="F399" s="12" t="inlineStr"/>
      <c r="G399" s="12" t="inlineStr"/>
      <c r="H399" s="28" t="inlineStr">
        <is>
          <t>Team check</t>
        </is>
      </c>
      <c r="I399" s="17" t="n"/>
      <c r="J399" s="17" t="n"/>
    </row>
    <row r="400">
      <c r="A400" s="12" t="inlineStr">
        <is>
          <t>Quote templates</t>
        </is>
      </c>
      <c r="B400" s="12" t="inlineStr">
        <is>
          <t>TF-05</t>
        </is>
      </c>
      <c r="C400" s="12" t="inlineStr">
        <is>
          <t>Fields</t>
        </is>
      </c>
      <c r="D400" s="14" t="inlineStr">
        <is>
          <t>{{tokens}} in T&amp;C and contract texts</t>
        </is>
      </c>
      <c r="E400" s="14" t="inlineStr">
        <is>
          <t>Built</t>
        </is>
      </c>
      <c r="F400" s="12" t="inlineStr"/>
      <c r="G400" s="12" t="inlineStr">
        <is>
          <t>3.19</t>
        </is>
      </c>
      <c r="H400" s="12" t="inlineStr"/>
      <c r="I400" s="17" t="n"/>
      <c r="J400" s="17" t="n"/>
    </row>
    <row r="401">
      <c r="A401" s="12" t="inlineStr">
        <is>
          <t>Quote templates</t>
        </is>
      </c>
      <c r="B401" s="12" t="inlineStr">
        <is>
          <t>TQ-01</t>
        </is>
      </c>
      <c r="C401" s="12" t="inlineStr">
        <is>
          <t>A quote and its template</t>
        </is>
      </c>
      <c r="D401" s="14" t="inlineStr">
        <is>
          <t>Default template on a new quote</t>
        </is>
      </c>
      <c r="E401" s="14" t="inlineStr">
        <is>
          <t>Built</t>
        </is>
      </c>
      <c r="F401" s="12" t="inlineStr"/>
      <c r="G401" s="12" t="inlineStr">
        <is>
          <t>6.01</t>
        </is>
      </c>
      <c r="H401" s="12" t="inlineStr"/>
      <c r="I401" s="17" t="n"/>
      <c r="J401" s="17" t="n"/>
    </row>
    <row r="402">
      <c r="A402" s="12" t="inlineStr">
        <is>
          <t>Quote templates</t>
        </is>
      </c>
      <c r="B402" s="12" t="inlineStr">
        <is>
          <t>TQ-02</t>
        </is>
      </c>
      <c r="C402" s="12" t="inlineStr">
        <is>
          <t>A quote and its template</t>
        </is>
      </c>
      <c r="D402" s="14" t="inlineStr">
        <is>
          <t>Apply another template to a quote</t>
        </is>
      </c>
      <c r="E402" s="14" t="inlineStr">
        <is>
          <t>Built</t>
        </is>
      </c>
      <c r="F402" s="12" t="inlineStr"/>
      <c r="G402" s="12" t="inlineStr"/>
      <c r="H402" s="28" t="inlineStr">
        <is>
          <t>Team check</t>
        </is>
      </c>
      <c r="I402" s="17" t="n"/>
      <c r="J402" s="17" t="n"/>
    </row>
    <row r="403">
      <c r="A403" s="12" t="inlineStr">
        <is>
          <t>Quote templates</t>
        </is>
      </c>
      <c r="B403" s="12" t="inlineStr">
        <is>
          <t>TQ-03</t>
        </is>
      </c>
      <c r="C403" s="12" t="inlineStr">
        <is>
          <t>A quote and its template</t>
        </is>
      </c>
      <c r="D403" s="14" t="inlineStr">
        <is>
          <t>Quote entry screen</t>
        </is>
      </c>
      <c r="E403" s="14" t="inlineStr">
        <is>
          <t>Built</t>
        </is>
      </c>
      <c r="F403" s="12" t="inlineStr"/>
      <c r="G403" s="12" t="inlineStr">
        <is>
          <t>6.01, 6.41</t>
        </is>
      </c>
      <c r="H403" s="12" t="inlineStr"/>
      <c r="I403" s="17" t="n"/>
      <c r="J403" s="17" t="n"/>
    </row>
    <row r="404">
      <c r="A404" s="12" t="inlineStr">
        <is>
          <t>Quote templates</t>
        </is>
      </c>
      <c r="B404" s="12" t="inlineStr">
        <is>
          <t>TQ-04</t>
        </is>
      </c>
      <c r="C404" s="12" t="inlineStr">
        <is>
          <t>A quote and its template</t>
        </is>
      </c>
      <c r="D404" s="14" t="inlineStr">
        <is>
          <t>Save a quote as a template</t>
        </is>
      </c>
      <c r="E404" s="14" t="inlineStr">
        <is>
          <t>Built</t>
        </is>
      </c>
      <c r="F404" s="12" t="inlineStr">
        <is>
          <t>Carries design and defaults, never priced lines (Q-06)</t>
        </is>
      </c>
      <c r="G404" s="12" t="inlineStr">
        <is>
          <t>6.26</t>
        </is>
      </c>
      <c r="H404" s="12" t="inlineStr"/>
      <c r="I404" s="17" t="n"/>
      <c r="J404" s="17" t="n"/>
    </row>
    <row r="405">
      <c r="A405" s="12" t="inlineStr">
        <is>
          <t>Quote templates</t>
        </is>
      </c>
      <c r="B405" s="12" t="inlineStr">
        <is>
          <t>TQ-05</t>
        </is>
      </c>
      <c r="C405" s="12" t="inlineStr">
        <is>
          <t>A quote and its template</t>
        </is>
      </c>
      <c r="D405" s="14" t="inlineStr">
        <is>
          <t>Per-quote layout edits</t>
        </is>
      </c>
      <c r="E405" s="14" t="inlineStr">
        <is>
          <t>Not built — by design</t>
        </is>
      </c>
      <c r="F405" s="12" t="inlineStr">
        <is>
          <t>Edit the template from the quote instead (Q-02)</t>
        </is>
      </c>
      <c r="G405" s="12" t="inlineStr"/>
      <c r="H405" s="12" t="inlineStr"/>
      <c r="I405" s="17" t="n"/>
      <c r="J405" s="17" t="n"/>
    </row>
    <row r="406">
      <c r="A406" s="12" t="inlineStr">
        <is>
          <t>Quote templates</t>
        </is>
      </c>
      <c r="B406" s="12" t="inlineStr">
        <is>
          <t>TQ-06</t>
        </is>
      </c>
      <c r="C406" s="12" t="inlineStr">
        <is>
          <t>A quote and its template</t>
        </is>
      </c>
      <c r="D406" s="14" t="inlineStr">
        <is>
          <t>Published changes reach new quotes</t>
        </is>
      </c>
      <c r="E406" s="14" t="inlineStr">
        <is>
          <t>Built</t>
        </is>
      </c>
      <c r="F406" s="12" t="inlineStr"/>
      <c r="G406" s="12" t="inlineStr">
        <is>
          <t>3.31</t>
        </is>
      </c>
      <c r="H406" s="12" t="inlineStr"/>
      <c r="I406" s="17" t="n"/>
      <c r="J406" s="17" t="n"/>
    </row>
    <row r="407">
      <c r="A407" s="12" t="inlineStr">
        <is>
          <t>Quote templates</t>
        </is>
      </c>
      <c r="B407" s="12" t="inlineStr">
        <is>
          <t>TQ-07</t>
        </is>
      </c>
      <c r="C407" s="12" t="inlineStr">
        <is>
          <t>A quote and its template</t>
        </is>
      </c>
      <c r="D407" s="14" t="inlineStr">
        <is>
          <t>Client view beside the quote</t>
        </is>
      </c>
      <c r="E407" s="14" t="inlineStr">
        <is>
          <t>2.0 only</t>
        </is>
      </c>
      <c r="F407" s="12" t="inlineStr">
        <is>
          <t>New live client view pane</t>
        </is>
      </c>
      <c r="G407" s="12" t="inlineStr">
        <is>
          <t>6.24</t>
        </is>
      </c>
      <c r="H407" s="12" t="inlineStr"/>
      <c r="I407" s="17" t="n"/>
      <c r="J407" s="17" t="n"/>
    </row>
    <row r="408">
      <c r="A408" s="12" t="inlineStr">
        <is>
          <t>Quote templates</t>
        </is>
      </c>
      <c r="B408" s="12" t="inlineStr">
        <is>
          <t>TR-01</t>
        </is>
      </c>
      <c r="C408" s="12" t="inlineStr">
        <is>
          <t>Renderer and what the client sees</t>
        </is>
      </c>
      <c r="D408" s="14" t="inlineStr">
        <is>
          <t>One renderer for screen and PDF</t>
        </is>
      </c>
      <c r="E408" s="14" t="inlineStr">
        <is>
          <t>Built</t>
        </is>
      </c>
      <c r="F408" s="12" t="inlineStr"/>
      <c r="G408" s="12" t="inlineStr"/>
      <c r="H408" s="28" t="inlineStr">
        <is>
          <t>Team check</t>
        </is>
      </c>
      <c r="I408" s="17" t="n"/>
      <c r="J408" s="17" t="n"/>
    </row>
    <row r="409">
      <c r="A409" s="12" t="inlineStr">
        <is>
          <t>Quote templates</t>
        </is>
      </c>
      <c r="B409" s="12" t="inlineStr">
        <is>
          <t>TR-02</t>
        </is>
      </c>
      <c r="C409" s="12" t="inlineStr">
        <is>
          <t>Renderer and what the client sees</t>
        </is>
      </c>
      <c r="D409" s="14" t="inlineStr">
        <is>
          <t>Stored PDF and change fingerprint</t>
        </is>
      </c>
      <c r="E409" s="14" t="inlineStr">
        <is>
          <t>Platform</t>
        </is>
      </c>
      <c r="F409" s="12" t="inlineStr">
        <is>
          <t>Print from Preview; file storage is the platform's</t>
        </is>
      </c>
      <c r="G409" s="12" t="inlineStr"/>
      <c r="H409" s="12" t="inlineStr"/>
      <c r="I409" s="17" t="n"/>
      <c r="J409" s="17" t="n"/>
    </row>
    <row r="410">
      <c r="A410" s="12" t="inlineStr">
        <is>
          <t>Quote templates</t>
        </is>
      </c>
      <c r="B410" s="12" t="inlineStr">
        <is>
          <t>TR-03</t>
        </is>
      </c>
      <c r="C410" s="12" t="inlineStr">
        <is>
          <t>Renderer and what the client sees</t>
        </is>
      </c>
      <c r="D410" s="14" t="inlineStr">
        <is>
          <t>Pagination rules</t>
        </is>
      </c>
      <c r="E410" s="14" t="inlineStr">
        <is>
          <t>Built</t>
        </is>
      </c>
      <c r="F410" s="12" t="inlineStr"/>
      <c r="G410" s="12" t="inlineStr"/>
      <c r="H410" s="28" t="inlineStr">
        <is>
          <t>Team check</t>
        </is>
      </c>
      <c r="I410" s="17" t="n"/>
      <c r="J410" s="17" t="n"/>
    </row>
    <row r="411">
      <c r="A411" s="12" t="inlineStr">
        <is>
          <t>Quote templates</t>
        </is>
      </c>
      <c r="B411" s="12" t="inlineStr">
        <is>
          <t>TR-04</t>
        </is>
      </c>
      <c r="C411" s="12" t="inlineStr">
        <is>
          <t>Renderer and what the client sees</t>
        </is>
      </c>
      <c r="D411" s="14" t="inlineStr">
        <is>
          <t>Cost and markup never print</t>
        </is>
      </c>
      <c r="E411" s="14" t="inlineStr">
        <is>
          <t>Built</t>
        </is>
      </c>
      <c r="F411" s="12" t="inlineStr"/>
      <c r="G411" s="12" t="inlineStr"/>
      <c r="H411" s="28" t="inlineStr">
        <is>
          <t>Team check</t>
        </is>
      </c>
      <c r="I411" s="17" t="n"/>
      <c r="J411" s="17" t="n"/>
    </row>
    <row r="412">
      <c r="A412" s="12" t="inlineStr">
        <is>
          <t>Quote templates</t>
        </is>
      </c>
      <c r="B412" s="12" t="inlineStr">
        <is>
          <t>TR-05</t>
        </is>
      </c>
      <c r="C412" s="12" t="inlineStr">
        <is>
          <t>Renderer and what the client sees</t>
        </is>
      </c>
      <c r="D412" s="14" t="inlineStr">
        <is>
          <t>Share settings</t>
        </is>
      </c>
      <c r="E412" s="14" t="inlineStr">
        <is>
          <t>Dead</t>
        </is>
      </c>
      <c r="F412" s="12" t="inlineStr">
        <is>
          <t>Saved but never read in 1.0 (Q-09)</t>
        </is>
      </c>
      <c r="G412" s="12" t="inlineStr"/>
      <c r="H412" s="12" t="inlineStr"/>
      <c r="I412" s="17" t="n"/>
      <c r="J412" s="17" t="n"/>
    </row>
    <row r="413">
      <c r="A413" s="12" t="inlineStr">
        <is>
          <t>Quote templates</t>
        </is>
      </c>
      <c r="B413" s="12" t="inlineStr">
        <is>
          <t>TR-06</t>
        </is>
      </c>
      <c r="C413" s="12" t="inlineStr">
        <is>
          <t>Renderer and what the client sees</t>
        </is>
      </c>
      <c r="D413" s="14" t="inlineStr">
        <is>
          <t>Readiness before sending</t>
        </is>
      </c>
      <c r="E413" s="14" t="inlineStr">
        <is>
          <t>2.0 only</t>
        </is>
      </c>
      <c r="F413" s="12" t="inlineStr">
        <is>
          <t>New readiness check</t>
        </is>
      </c>
      <c r="G413" s="12" t="inlineStr"/>
      <c r="H413" s="28" t="inlineStr">
        <is>
          <t>Team check</t>
        </is>
      </c>
      <c r="I413" s="17" t="n"/>
      <c r="J413" s="17" t="n"/>
    </row>
    <row r="414">
      <c r="A414" s="12" t="inlineStr">
        <is>
          <t>Quote templates</t>
        </is>
      </c>
      <c r="B414" s="12" t="inlineStr">
        <is>
          <t>TR-07</t>
        </is>
      </c>
      <c r="C414" s="12" t="inlineStr">
        <is>
          <t>Renderer and what the client sees</t>
        </is>
      </c>
      <c r="D414" s="14" t="inlineStr">
        <is>
          <t>A revision's changes printed</t>
        </is>
      </c>
      <c r="E414" s="14" t="inlineStr">
        <is>
          <t>2.0 only</t>
        </is>
      </c>
      <c r="F414" s="12" t="inlineStr">
        <is>
          <t>New in 2.0</t>
        </is>
      </c>
      <c r="G414" s="12" t="inlineStr"/>
      <c r="H414" s="28" t="inlineStr">
        <is>
          <t>Team check</t>
        </is>
      </c>
      <c r="I414" s="17" t="n"/>
      <c r="J414" s="17" t="n"/>
    </row>
    <row r="415">
      <c r="A415" s="12" t="inlineStr">
        <is>
          <t>Quote templates</t>
        </is>
      </c>
      <c r="B415" s="12" t="inlineStr">
        <is>
          <t>TR-08</t>
        </is>
      </c>
      <c r="C415" s="12" t="inlineStr">
        <is>
          <t>Renderer and what the client sees</t>
        </is>
      </c>
      <c r="D415" s="14" t="inlineStr">
        <is>
          <t>Amounts per line, section or total</t>
        </is>
      </c>
      <c r="E415" s="14" t="inlineStr">
        <is>
          <t>2.0 only</t>
        </is>
      </c>
      <c r="F415" s="12" t="inlineStr">
        <is>
          <t>New client-view choice</t>
        </is>
      </c>
      <c r="G415" s="12" t="inlineStr"/>
      <c r="H415" s="28" t="inlineStr">
        <is>
          <t>Team check</t>
        </is>
      </c>
      <c r="I415" s="17" t="n"/>
      <c r="J415" s="17" t="n"/>
    </row>
    <row r="416">
      <c r="A416" s="12" t="inlineStr">
        <is>
          <t>Quote templates</t>
        </is>
      </c>
      <c r="B416" s="12" t="inlineStr">
        <is>
          <t>TR-09</t>
        </is>
      </c>
      <c r="C416" s="12" t="inlineStr">
        <is>
          <t>Renderer and what the client sees</t>
        </is>
      </c>
      <c r="D416" s="14" t="inlineStr">
        <is>
          <t>Draft marking on the PDF</t>
        </is>
      </c>
      <c r="E416" s="14" t="inlineStr">
        <is>
          <t>Built</t>
        </is>
      </c>
      <c r="F416" s="12" t="inlineStr"/>
      <c r="G416" s="12" t="inlineStr"/>
      <c r="H416" s="28" t="inlineStr">
        <is>
          <t>Team check</t>
        </is>
      </c>
      <c r="I416" s="17" t="n"/>
      <c r="J416" s="17" t="n"/>
    </row>
    <row r="417">
      <c r="A417" s="12" t="inlineStr">
        <is>
          <t>Quote templates</t>
        </is>
      </c>
      <c r="B417" s="12" t="inlineStr">
        <is>
          <t>TR-10</t>
        </is>
      </c>
      <c r="C417" s="12" t="inlineStr">
        <is>
          <t>Renderer and what the client sees</t>
        </is>
      </c>
      <c r="D417" s="14" t="inlineStr">
        <is>
          <t>"Powered by OpenMaison" line</t>
        </is>
      </c>
      <c r="E417" s="14" t="inlineStr">
        <is>
          <t>2.0 only</t>
        </is>
      </c>
      <c r="F417" s="12" t="inlineStr">
        <is>
          <t>New; the client view can turn it off</t>
        </is>
      </c>
      <c r="G417" s="12" t="inlineStr"/>
      <c r="H417" s="28" t="inlineStr">
        <is>
          <t>Team check</t>
        </is>
      </c>
      <c r="I417" s="17" t="n"/>
      <c r="J417" s="17" t="n"/>
    </row>
    <row r="418">
      <c r="A418" s="12" t="inlineStr">
        <is>
          <t>Quote templates</t>
        </is>
      </c>
      <c r="B418" s="12" t="inlineStr">
        <is>
          <t>TC-01</t>
        </is>
      </c>
      <c r="C418" s="12" t="inlineStr">
        <is>
          <t>Content templates, rules, text</t>
        </is>
      </c>
      <c r="D418" s="14" t="inlineStr">
        <is>
          <t>Packages: bundles of lines</t>
        </is>
      </c>
      <c r="E418" s="14" t="inlineStr">
        <is>
          <t>Built in parity round 3</t>
        </is>
      </c>
      <c r="F418" s="12" t="inlineStr">
        <is>
          <t>Now My Sections, with property type and tags</t>
        </is>
      </c>
      <c r="G418" s="12" t="inlineStr">
        <is>
          <t>3.16</t>
        </is>
      </c>
      <c r="H418" s="12" t="inlineStr"/>
      <c r="I418" s="17" t="n"/>
      <c r="J418" s="17" t="n"/>
    </row>
    <row r="419">
      <c r="A419" s="12" t="inlineStr">
        <is>
          <t>Quote templates</t>
        </is>
      </c>
      <c r="B419" s="12" t="inlineStr">
        <is>
          <t>TC-02</t>
        </is>
      </c>
      <c r="C419" s="12" t="inlineStr">
        <is>
          <t>Content templates, rules, text</t>
        </is>
      </c>
      <c r="D419" s="14" t="inlineStr">
        <is>
          <t>Platform packages</t>
        </is>
      </c>
      <c r="E419" s="14" t="inlineStr">
        <is>
          <t>Platform</t>
        </is>
      </c>
      <c r="F419" s="12" t="inlineStr">
        <is>
          <t>Qanvast-authored content; not proposed</t>
        </is>
      </c>
      <c r="G419" s="12" t="inlineStr"/>
      <c r="H419" s="12" t="inlineStr"/>
      <c r="I419" s="17" t="n"/>
      <c r="J419" s="17" t="n"/>
    </row>
    <row r="420">
      <c r="A420" s="12" t="inlineStr">
        <is>
          <t>Quote templates</t>
        </is>
      </c>
      <c r="B420" s="12" t="inlineStr">
        <is>
          <t>TC-03</t>
        </is>
      </c>
      <c r="C420" s="12" t="inlineStr">
        <is>
          <t>Content templates, rules, text</t>
        </is>
      </c>
      <c r="D420" s="14" t="inlineStr">
        <is>
          <t>Quote Templates with priced items</t>
        </is>
      </c>
      <c r="E420" s="14" t="inlineStr">
        <is>
          <t>Not built — by design</t>
        </is>
      </c>
      <c r="F420" s="12" t="inlineStr">
        <is>
          <t>Starter sections and My Sections instead (Q-06)</t>
        </is>
      </c>
      <c r="G420" s="12" t="inlineStr"/>
      <c r="H420" s="12" t="inlineStr"/>
      <c r="I420" s="17" t="n"/>
      <c r="J420" s="17" t="n"/>
    </row>
    <row r="421">
      <c r="A421" s="12" t="inlineStr">
        <is>
          <t>Quote templates</t>
        </is>
      </c>
      <c r="B421" s="12" t="inlineStr">
        <is>
          <t>TC-04</t>
        </is>
      </c>
      <c r="C421" s="12" t="inlineStr">
        <is>
          <t>Content templates, rules, text</t>
        </is>
      </c>
      <c r="D421" s="14" t="inlineStr">
        <is>
          <t>Generation rules by project type</t>
        </is>
      </c>
      <c r="E421" s="14" t="inlineStr">
        <is>
          <t>Later</t>
        </is>
      </c>
      <c r="F421" s="12" t="inlineStr">
        <is>
          <t>Held — starter sections and My Sections cover it (Q-07)</t>
        </is>
      </c>
      <c r="G421" s="12" t="inlineStr"/>
      <c r="H421" s="12" t="inlineStr"/>
      <c r="I421" s="17" t="n"/>
      <c r="J421" s="17" t="n"/>
    </row>
    <row r="422">
      <c r="A422" s="12" t="inlineStr">
        <is>
          <t>Quote templates</t>
        </is>
      </c>
      <c r="B422" s="12" t="inlineStr">
        <is>
          <t>TC-05</t>
        </is>
      </c>
      <c r="C422" s="12" t="inlineStr">
        <is>
          <t>Content templates, rules, text</t>
        </is>
      </c>
      <c r="D422" s="14" t="inlineStr">
        <is>
          <t>Rich-text templates (T&amp;C, contract…)</t>
        </is>
      </c>
      <c r="E422" s="14" t="inlineStr">
        <is>
          <t>Built</t>
        </is>
      </c>
      <c r="F422" s="12" t="inlineStr"/>
      <c r="G422" s="12" t="inlineStr">
        <is>
          <t>3.19, 3.30</t>
        </is>
      </c>
      <c r="H422" s="12" t="inlineStr"/>
      <c r="I422" s="17" t="n"/>
      <c r="J422" s="17" t="n"/>
    </row>
    <row r="423">
      <c r="A423" s="12" t="inlineStr">
        <is>
          <t>Quote templates</t>
        </is>
      </c>
      <c r="B423" s="12" t="inlineStr">
        <is>
          <t>TC-06</t>
        </is>
      </c>
      <c r="C423" s="12" t="inlineStr">
        <is>
          <t>Content templates, rules, text</t>
        </is>
      </c>
      <c r="D423" s="14" t="inlineStr">
        <is>
          <t>Quote categories with descriptions</t>
        </is>
      </c>
      <c r="E423" s="14" t="inlineStr">
        <is>
          <t>Built in parity round 1</t>
        </is>
      </c>
      <c r="F423" s="12" t="inlineStr"/>
      <c r="G423" s="12" t="inlineStr">
        <is>
          <t>2.26</t>
        </is>
      </c>
      <c r="H423" s="12" t="inlineStr"/>
      <c r="I423" s="17" t="n"/>
      <c r="J423" s="17" t="n"/>
    </row>
    <row r="424">
      <c r="A424" s="12" t="inlineStr">
        <is>
          <t>Quote templates</t>
        </is>
      </c>
      <c r="B424" s="12" t="inlineStr">
        <is>
          <t>TC-07</t>
        </is>
      </c>
      <c r="C424" s="12" t="inlineStr">
        <is>
          <t>Content templates, rules, text</t>
        </is>
      </c>
      <c r="D424" s="14" t="inlineStr">
        <is>
          <t>Old quote templates and AI tier packages</t>
        </is>
      </c>
      <c r="E424" s="14" t="inlineStr">
        <is>
          <t>Dead</t>
        </is>
      </c>
      <c r="F424" s="12" t="inlineStr">
        <is>
          <t>No screen reached them in 1.0</t>
        </is>
      </c>
      <c r="G424" s="12" t="inlineStr"/>
      <c r="H424" s="12" t="inlineStr"/>
      <c r="I424" s="17" t="n"/>
      <c r="J424" s="17" t="n"/>
    </row>
    <row r="425">
      <c r="A425" s="12" t="inlineStr">
        <is>
          <t>Quote templates</t>
        </is>
      </c>
      <c r="B425" s="12" t="inlineStr">
        <is>
          <t>TC-08</t>
        </is>
      </c>
      <c r="C425" s="12" t="inlineStr">
        <is>
          <t>Content templates, rules, text</t>
        </is>
      </c>
      <c r="D425" s="14" t="inlineStr">
        <is>
          <t>Default payment schedule</t>
        </is>
      </c>
      <c r="E425" s="14" t="inlineStr">
        <is>
          <t>Built</t>
        </is>
      </c>
      <c r="F425" s="12" t="inlineStr"/>
      <c r="G425" s="12" t="inlineStr">
        <is>
          <t>3.18, 3.30</t>
        </is>
      </c>
      <c r="H425" s="12" t="inlineStr"/>
      <c r="I425" s="17" t="n"/>
      <c r="J425" s="17" t="n"/>
    </row>
    <row r="426">
      <c r="A426" s="12" t="inlineStr">
        <is>
          <t>Quote templates</t>
        </is>
      </c>
      <c r="B426" s="12" t="inlineStr">
        <is>
          <t>TC-09</t>
        </is>
      </c>
      <c r="C426" s="12" t="inlineStr">
        <is>
          <t>Content templates, rules, text</t>
        </is>
      </c>
      <c r="D426" s="14" t="inlineStr">
        <is>
          <t>Task templates</t>
        </is>
      </c>
      <c r="E426" s="14" t="inlineStr">
        <is>
          <t>2.0 only</t>
        </is>
      </c>
      <c r="F426" s="12" t="inlineStr">
        <is>
          <t>New: checklists added to a lead in one go</t>
        </is>
      </c>
      <c r="G426" s="12" t="inlineStr">
        <is>
          <t>3.20</t>
        </is>
      </c>
      <c r="H426" s="12" t="inlineStr"/>
      <c r="I426" s="17" t="n"/>
      <c r="J426" s="17" t="n"/>
    </row>
    <row r="427">
      <c r="A427" s="12" t="inlineStr">
        <is>
          <t>Quote templates</t>
        </is>
      </c>
      <c r="B427" s="12" t="inlineStr">
        <is>
          <t>TG-01</t>
        </is>
      </c>
      <c r="C427" s="12" t="inlineStr">
        <is>
          <t>Roles</t>
        </is>
      </c>
      <c r="D427" s="14" t="inlineStr">
        <is>
          <t>Who may edit, set default and delete</t>
        </is>
      </c>
      <c r="E427" s="14" t="inlineStr">
        <is>
          <t>Built</t>
        </is>
      </c>
      <c r="F427" s="12" t="inlineStr">
        <is>
          <t>Owners and Admins; Designers submit for approval (Q-05)</t>
        </is>
      </c>
      <c r="G427" s="12" t="inlineStr">
        <is>
          <t>10.06</t>
        </is>
      </c>
      <c r="H427" s="12" t="inlineStr"/>
      <c r="I427" s="17" t="n"/>
      <c r="J427" s="17" t="n"/>
    </row>
    <row r="428">
      <c r="A428" s="12" t="inlineStr">
        <is>
          <t>Quote templates</t>
        </is>
      </c>
      <c r="B428" s="12" t="inlineStr">
        <is>
          <t>TG-02</t>
        </is>
      </c>
      <c r="C428" s="12" t="inlineStr">
        <is>
          <t>Roles</t>
        </is>
      </c>
      <c r="D428" s="14" t="inlineStr">
        <is>
          <t>Who may change packages</t>
        </is>
      </c>
      <c r="E428" s="14" t="inlineStr">
        <is>
          <t>Built</t>
        </is>
      </c>
      <c r="F428" s="12" t="inlineStr"/>
      <c r="G428" s="12" t="inlineStr"/>
      <c r="H428" s="28" t="inlineStr">
        <is>
          <t>Team check</t>
        </is>
      </c>
      <c r="I428" s="17" t="n"/>
      <c r="J428" s="17" t="n"/>
    </row>
    <row r="429">
      <c r="A429" s="12" t="inlineStr">
        <is>
          <t>Quote templates</t>
        </is>
      </c>
      <c r="B429" s="12" t="inlineStr">
        <is>
          <t>TG-03</t>
        </is>
      </c>
      <c r="C429" s="12" t="inlineStr">
        <is>
          <t>Roles</t>
        </is>
      </c>
      <c r="D429" s="14" t="inlineStr">
        <is>
          <t>Quote rules, owner only</t>
        </is>
      </c>
      <c r="E429" s="14" t="inlineStr">
        <is>
          <t>Later</t>
        </is>
      </c>
      <c r="F429" s="12" t="inlineStr">
        <is>
          <t>Held with generation rules (Q-07)</t>
        </is>
      </c>
      <c r="G429" s="12" t="inlineStr"/>
      <c r="H429" s="12" t="inlineStr"/>
      <c r="I429" s="17" t="n"/>
      <c r="J429" s="17" t="n"/>
    </row>
    <row r="430">
      <c r="A430" s="12" t="inlineStr">
        <is>
          <t>Quote templates</t>
        </is>
      </c>
      <c r="B430" s="12" t="inlineStr">
        <is>
          <t>TX-01</t>
        </is>
      </c>
      <c r="C430" s="12" t="inlineStr">
        <is>
          <t>Touchpoints</t>
        </is>
      </c>
      <c r="D430" s="14" t="inlineStr">
        <is>
          <t>Invoice, PO and VO document templates</t>
        </is>
      </c>
      <c r="E430" s="14" t="inlineStr">
        <is>
          <t>Built</t>
        </is>
      </c>
      <c r="F430" s="12" t="inlineStr">
        <is>
          <t>Settings › Finance sets invoice and PO paper; VOs print through quote templates (S11)</t>
        </is>
      </c>
      <c r="G430" s="12" t="inlineStr"/>
      <c r="H430" s="28" t="inlineStr">
        <is>
          <t>Team check</t>
        </is>
      </c>
      <c r="I430" s="17" t="n"/>
      <c r="J430" s="17" t="n"/>
    </row>
    <row r="431">
      <c r="A431" s="12" t="inlineStr">
        <is>
          <t>Quote templates</t>
        </is>
      </c>
      <c r="B431" s="12" t="inlineStr">
        <is>
          <t>TX-02</t>
        </is>
      </c>
      <c r="C431" s="12" t="inlineStr">
        <is>
          <t>Touchpoints</t>
        </is>
      </c>
      <c r="D431" s="14" t="inlineStr">
        <is>
          <t>Timeline, project and milestone templates</t>
        </is>
      </c>
      <c r="E431" s="14" t="inlineStr">
        <is>
          <t>Built</t>
        </is>
      </c>
      <c r="F431" s="12" t="inlineStr">
        <is>
          <t>Company › Templates › Schedules: milestones a project starts from (Projects build)</t>
        </is>
      </c>
      <c r="G431" s="12" t="inlineStr"/>
      <c r="H431" s="28" t="inlineStr">
        <is>
          <t>Team check</t>
        </is>
      </c>
      <c r="I431" s="17" t="n"/>
      <c r="J431" s="17" t="n"/>
    </row>
    <row r="432">
      <c r="A432" s="12" t="inlineStr">
        <is>
          <t>Quote templates</t>
        </is>
      </c>
      <c r="B432" s="12" t="inlineStr">
        <is>
          <t>TX-03</t>
        </is>
      </c>
      <c r="C432" s="12" t="inlineStr">
        <is>
          <t>Touchpoints</t>
        </is>
      </c>
      <c r="D432" s="14" t="inlineStr">
        <is>
          <t>Signing documents library, T&amp;Cs at signing</t>
        </is>
      </c>
      <c r="E432" s="14" t="inlineStr">
        <is>
          <t>Excluded</t>
        </is>
      </c>
      <c r="F432" s="12" t="inlineStr">
        <is>
          <t>Audited with Contracts (CTR)</t>
        </is>
      </c>
      <c r="G432" s="12" t="inlineStr"/>
      <c r="H432" s="12" t="inlineStr"/>
      <c r="I432" s="17" t="n"/>
      <c r="J432" s="17" t="n"/>
    </row>
    <row r="433">
      <c r="A433" s="12" t="inlineStr">
        <is>
          <t>Quote templates</t>
        </is>
      </c>
      <c r="B433" s="12" t="inlineStr">
        <is>
          <t>TX-04</t>
        </is>
      </c>
      <c r="C433" s="12" t="inlineStr">
        <is>
          <t>Touchpoints</t>
        </is>
      </c>
      <c r="D433" s="14" t="inlineStr">
        <is>
          <t>Share link, one-time code, expiry, view count</t>
        </is>
      </c>
      <c r="E433" s="14" t="inlineStr">
        <is>
          <t>Excluded</t>
        </is>
      </c>
      <c r="F433" s="12" t="inlineStr">
        <is>
          <t>Audited with the quote editor (QED)</t>
        </is>
      </c>
      <c r="G433" s="12" t="inlineStr"/>
      <c r="H433" s="12" t="inlineStr"/>
      <c r="I433" s="17" t="n"/>
      <c r="J433" s="17" t="n"/>
    </row>
    <row r="434">
      <c r="A434" s="12" t="inlineStr">
        <is>
          <t>Quote templates</t>
        </is>
      </c>
      <c r="B434" s="12" t="inlineStr">
        <is>
          <t>TX-05</t>
        </is>
      </c>
      <c r="C434" s="12" t="inlineStr">
        <is>
          <t>Touchpoints</t>
        </is>
      </c>
      <c r="D434" s="14" t="inlineStr">
        <is>
          <t>Notification templates</t>
        </is>
      </c>
      <c r="E434" s="14" t="inlineStr">
        <is>
          <t>Excluded</t>
        </is>
      </c>
      <c r="F434" s="12" t="inlineStr">
        <is>
          <t>Built in the Leads rounds (notifications)</t>
        </is>
      </c>
      <c r="G434" s="12" t="inlineStr"/>
      <c r="H434" s="12" t="inlineStr"/>
      <c r="I434" s="17" t="n"/>
      <c r="J434" s="17" t="n"/>
    </row>
    <row r="435">
      <c r="A435" s="12" t="inlineStr">
        <is>
          <t>Quote templates</t>
        </is>
      </c>
      <c r="B435" s="12" t="inlineStr">
        <is>
          <t>TX-06</t>
        </is>
      </c>
      <c r="C435" s="12" t="inlineStr">
        <is>
          <t>Touchpoints</t>
        </is>
      </c>
      <c r="D435" s="14" t="inlineStr">
        <is>
          <t>Cover and floor-plan templates</t>
        </is>
      </c>
      <c r="E435" s="14" t="inlineStr">
        <is>
          <t>Built</t>
        </is>
      </c>
      <c r="F435" s="12" t="inlineStr">
        <is>
          <t>Five cover looks (S11); the 3D planner’s flats, examples and My templates (P-J)</t>
        </is>
      </c>
      <c r="G435" s="12" t="inlineStr"/>
      <c r="H435" s="28" t="inlineStr">
        <is>
          <t>Team check</t>
        </is>
      </c>
      <c r="I435" s="17" t="n"/>
      <c r="J435" s="17" t="n"/>
    </row>
    <row r="436">
      <c r="A436" s="12" t="inlineStr">
        <is>
          <t>Quote templates</t>
        </is>
      </c>
      <c r="B436" s="12" t="inlineStr">
        <is>
          <t>TX-07</t>
        </is>
      </c>
      <c r="C436" s="12" t="inlineStr">
        <is>
          <t>Touchpoints</t>
        </is>
      </c>
      <c r="D436" s="14" t="inlineStr">
        <is>
          <t>Price Book and Quote Approval Rules tabs</t>
        </is>
      </c>
      <c r="E436" s="14" t="inlineStr">
        <is>
          <t>Excluded</t>
        </is>
      </c>
      <c r="F436" s="12" t="inlineStr">
        <is>
          <t>Audited with the quote editor and the price book (QED, PB)</t>
        </is>
      </c>
      <c r="G436" s="12" t="inlineStr"/>
      <c r="H436" s="12" t="inlineStr"/>
      <c r="I436" s="17" t="n"/>
      <c r="J436" s="17" t="n"/>
    </row>
    <row r="437">
      <c r="A437" s="12" t="inlineStr">
        <is>
          <t>Quote templates</t>
        </is>
      </c>
      <c r="B437" s="12" t="inlineStr">
        <is>
          <t>TX-08</t>
        </is>
      </c>
      <c r="C437" s="12" t="inlineStr">
        <is>
          <t>Touchpoints</t>
        </is>
      </c>
      <c r="D437" s="14" t="inlineStr">
        <is>
          <t>Quote numbering settings</t>
        </is>
      </c>
      <c r="E437" s="14" t="inlineStr">
        <is>
          <t>Excluded</t>
        </is>
      </c>
      <c r="F437" s="12" t="inlineStr">
        <is>
          <t>Audited with the quote editor (QED); built in Settings</t>
        </is>
      </c>
      <c r="G437" s="12" t="inlineStr"/>
      <c r="H437" s="12" t="inlineStr"/>
      <c r="I437" s="17" t="n"/>
      <c r="J437" s="17" t="n"/>
    </row>
    <row r="438">
      <c r="A438" s="12" t="inlineStr">
        <is>
          <t>Quote templates</t>
        </is>
      </c>
      <c r="B438" s="12" t="inlineStr">
        <is>
          <t>TX-09</t>
        </is>
      </c>
      <c r="C438" s="12" t="inlineStr">
        <is>
          <t>Touchpoints</t>
        </is>
      </c>
      <c r="D438" s="14" t="inlineStr">
        <is>
          <t>Client accepts or declines optional add-ons</t>
        </is>
      </c>
      <c r="E438" s="14" t="inlineStr">
        <is>
          <t>Excluded</t>
        </is>
      </c>
      <c r="F438" s="12" t="inlineStr">
        <is>
          <t>Audited with the quote editor (QED)</t>
        </is>
      </c>
      <c r="G438" s="12" t="inlineStr"/>
      <c r="H438" s="12" t="inlineStr"/>
      <c r="I438" s="17" t="n"/>
      <c r="J438" s="17" t="n"/>
    </row>
    <row r="439">
      <c r="A439" s="12" t="inlineStr">
        <is>
          <t>Quote editor</t>
        </is>
      </c>
      <c r="B439" s="12" t="inlineStr">
        <is>
          <t>DEF-01</t>
        </is>
      </c>
      <c r="C439" s="12" t="inlineStr">
        <is>
          <t>Definitions</t>
        </is>
      </c>
      <c r="D439" s="14" t="inlineStr">
        <is>
          <t>Where a quote’s settings live (on the lead in 1.0)</t>
        </is>
      </c>
      <c r="E439" s="14" t="inlineStr">
        <is>
          <t>Built</t>
        </is>
      </c>
      <c r="F439" s="12" t="inlineStr">
        <is>
          <t>Kept on each quote; the move copies the lead’s values (Q-01)</t>
        </is>
      </c>
      <c r="G439" s="12" t="inlineStr">
        <is>
          <t>6.02</t>
        </is>
      </c>
      <c r="H439" s="12" t="inlineStr"/>
      <c r="I439" s="17" t="n"/>
      <c r="J439" s="17" t="n"/>
    </row>
    <row r="440">
      <c r="A440" s="12" t="inlineStr">
        <is>
          <t>Quote editor</t>
        </is>
      </c>
      <c r="B440" s="12" t="inlineStr">
        <is>
          <t>DEF-02</t>
        </is>
      </c>
      <c r="C440" s="12" t="inlineStr">
        <is>
          <t>Definitions</t>
        </is>
      </c>
      <c r="D440" s="14" t="inlineStr">
        <is>
          <t>One primary quote per lead, mirrored on the lead</t>
        </is>
      </c>
      <c r="E440" s="14" t="inlineStr">
        <is>
          <t>Not built — by design</t>
        </is>
      </c>
      <c r="F440" s="12" t="inlineStr">
        <is>
          <t>No primary quote or mirror; the lead reads its quotes (Q-03)</t>
        </is>
      </c>
      <c r="G440" s="12" t="inlineStr">
        <is>
          <t>6.39</t>
        </is>
      </c>
      <c r="H440" s="12" t="inlineStr"/>
      <c r="I440" s="17" t="n"/>
      <c r="J440" s="17" t="n"/>
    </row>
    <row r="441">
      <c r="A441" s="12" t="inlineStr">
        <is>
          <t>Quote editor</t>
        </is>
      </c>
      <c r="B441" s="12" t="inlineStr">
        <is>
          <t>DEF-03</t>
        </is>
      </c>
      <c r="C441" s="12" t="inlineStr">
        <is>
          <t>Definitions</t>
        </is>
      </c>
      <c r="D441" s="14" t="inlineStr">
        <is>
          <t>Quote statuses</t>
        </is>
      </c>
      <c r="E441" s="14" t="inlineStr">
        <is>
          <t>Built</t>
        </is>
      </c>
      <c r="F441" s="12" t="inlineStr">
        <is>
          <t>2.0’s six kept; a sent-back quote returns to Draft with a note</t>
        </is>
      </c>
      <c r="G441" s="12" t="inlineStr">
        <is>
          <t>6.38, 10.07</t>
        </is>
      </c>
      <c r="H441" s="12" t="inlineStr"/>
      <c r="I441" s="17" t="n"/>
      <c r="J441" s="17" t="n"/>
    </row>
    <row r="442">
      <c r="A442" s="12" t="inlineStr">
        <is>
          <t>Quote editor</t>
        </is>
      </c>
      <c r="B442" s="12" t="inlineStr">
        <is>
          <t>DEF-04</t>
        </is>
      </c>
      <c r="C442" s="12" t="inlineStr">
        <is>
          <t>Definitions</t>
        </is>
      </c>
      <c r="D442" s="14" t="inlineStr">
        <is>
          <t>Quote approval by approvers</t>
        </is>
      </c>
      <c r="E442" s="14" t="inlineStr">
        <is>
          <t>Built in parity round 2</t>
        </is>
      </c>
      <c r="F442" s="12" t="inlineStr">
        <is>
          <t>Approve or Request changes with a note; no money thresholds (Q-24)</t>
        </is>
      </c>
      <c r="G442" s="12" t="inlineStr">
        <is>
          <t>2.30, 6.28, 10.07, 10.12</t>
        </is>
      </c>
      <c r="H442" s="12" t="inlineStr"/>
      <c r="I442" s="17" t="n"/>
      <c r="J442" s="17" t="n"/>
    </row>
    <row r="443">
      <c r="A443" s="12" t="inlineStr">
        <is>
          <t>Quote editor</t>
        </is>
      </c>
      <c r="B443" s="12" t="inlineStr">
        <is>
          <t>DEF-05</t>
        </is>
      </c>
      <c r="C443" s="12" t="inlineStr">
        <is>
          <t>Definitions</t>
        </is>
      </c>
      <c r="D443" s="14" t="inlineStr">
        <is>
          <t>Quote versions</t>
        </is>
      </c>
      <c r="E443" s="14" t="inlineStr">
        <is>
          <t>Built in parity round 3</t>
        </is>
      </c>
      <c r="F443" s="12" t="inlineStr">
        <is>
          <t>Per quote via Revise; Bring back added; no any-two compare (Q-26)</t>
        </is>
      </c>
      <c r="G443" s="12" t="inlineStr">
        <is>
          <t>6.32</t>
        </is>
      </c>
      <c r="H443" s="12" t="inlineStr"/>
      <c r="I443" s="17" t="n"/>
      <c r="J443" s="17" t="n"/>
    </row>
    <row r="444">
      <c r="A444" s="12" t="inlineStr">
        <is>
          <t>Quote editor</t>
        </is>
      </c>
      <c r="B444" s="12" t="inlineStr">
        <is>
          <t>DEF-06</t>
        </is>
      </c>
      <c r="C444" s="12" t="inlineStr">
        <is>
          <t>Definitions</t>
        </is>
      </c>
      <c r="D444" s="14" t="inlineStr">
        <is>
          <t>Sections of a quote</t>
        </is>
      </c>
      <c r="E444" s="14" t="inlineStr">
        <is>
          <t>Built</t>
        </is>
      </c>
      <c r="F444" s="12" t="inlineStr"/>
      <c r="G444" s="12" t="inlineStr">
        <is>
          <t>6.10</t>
        </is>
      </c>
      <c r="H444" s="12" t="inlineStr"/>
      <c r="I444" s="17" t="n"/>
      <c r="J444" s="17" t="n"/>
    </row>
    <row r="445">
      <c r="A445" s="12" t="inlineStr">
        <is>
          <t>Quote editor</t>
        </is>
      </c>
      <c r="B445" s="12" t="inlineStr">
        <is>
          <t>DEF-07</t>
        </is>
      </c>
      <c r="C445" s="12" t="inlineStr">
        <is>
          <t>Definitions</t>
        </is>
      </c>
      <c r="D445" s="14" t="inlineStr">
        <is>
          <t>Words a line prints instead of its price</t>
        </is>
      </c>
      <c r="E445" s="14" t="inlineStr">
        <is>
          <t>Built in parity round 1</t>
        </is>
      </c>
      <c r="F445" s="12" t="inlineStr">
        <is>
          <t>“By client” added; section lump sum not built (Q-15)</t>
        </is>
      </c>
      <c r="G445" s="12" t="inlineStr">
        <is>
          <t>6.12</t>
        </is>
      </c>
      <c r="H445" s="12" t="inlineStr"/>
      <c r="I445" s="17" t="n"/>
      <c r="J445" s="17" t="n"/>
    </row>
    <row r="446">
      <c r="A446" s="12" t="inlineStr">
        <is>
          <t>Quote editor</t>
        </is>
      </c>
      <c r="B446" s="12" t="inlineStr">
        <is>
          <t>DEF-08</t>
        </is>
      </c>
      <c r="C446" s="12" t="inlineStr">
        <is>
          <t>Definitions</t>
        </is>
      </c>
      <c r="D446" s="14" t="inlineStr">
        <is>
          <t>Optional lines</t>
        </is>
      </c>
      <c r="E446" s="14" t="inlineStr">
        <is>
          <t>Built in parity round 4</t>
        </is>
      </c>
      <c r="F446" s="12" t="inlineStr">
        <is>
          <t>Out of the totals; the client ticks them on the confirmation link</t>
        </is>
      </c>
      <c r="G446" s="12" t="inlineStr">
        <is>
          <t>6.14, 6.37</t>
        </is>
      </c>
      <c r="H446" s="12" t="inlineStr"/>
      <c r="I446" s="17" t="n"/>
      <c r="J446" s="17" t="n"/>
    </row>
    <row r="447">
      <c r="A447" s="12" t="inlineStr">
        <is>
          <t>Quote editor</t>
        </is>
      </c>
      <c r="B447" s="12" t="inlineStr">
        <is>
          <t>DEF-09</t>
        </is>
      </c>
      <c r="C447" s="12" t="inlineStr">
        <is>
          <t>Definitions</t>
        </is>
      </c>
      <c r="D447" s="14" t="inlineStr">
        <is>
          <t>Line and document discounts</t>
        </is>
      </c>
      <c r="E447" s="14" t="inlineStr">
        <is>
          <t>Built</t>
        </is>
      </c>
      <c r="F447" s="12" t="inlineStr">
        <is>
          <t>Named discounts per quote; no flat S$ line discount (Q-11)</t>
        </is>
      </c>
      <c r="G447" s="12" t="inlineStr">
        <is>
          <t>6.17</t>
        </is>
      </c>
      <c r="H447" s="12" t="inlineStr"/>
      <c r="I447" s="17" t="n"/>
      <c r="J447" s="17" t="n"/>
    </row>
    <row r="448">
      <c r="A448" s="12" t="inlineStr">
        <is>
          <t>Quote editor</t>
        </is>
      </c>
      <c r="B448" s="12" t="inlineStr">
        <is>
          <t>DEF-10</t>
        </is>
      </c>
      <c r="C448" s="12" t="inlineStr">
        <is>
          <t>Definitions</t>
        </is>
      </c>
      <c r="D448" s="14" t="inlineStr">
        <is>
          <t>GST on a quote</t>
        </is>
      </c>
      <c r="E448" s="14" t="inlineStr">
        <is>
          <t>Built</t>
        </is>
      </c>
      <c r="F448" s="12" t="inlineStr">
        <is>
          <t>Per quote and issuing entity; no per-line rates (Q-12)</t>
        </is>
      </c>
      <c r="G448" s="12" t="inlineStr"/>
      <c r="H448" s="28" t="inlineStr">
        <is>
          <t>Team check</t>
        </is>
      </c>
      <c r="I448" s="17" t="n"/>
      <c r="J448" s="17" t="n"/>
    </row>
    <row r="449">
      <c r="A449" s="12" t="inlineStr">
        <is>
          <t>Quote editor</t>
        </is>
      </c>
      <c r="B449" s="12" t="inlineStr">
        <is>
          <t>DEF-11</t>
        </is>
      </c>
      <c r="C449" s="12" t="inlineStr">
        <is>
          <t>Definitions</t>
        </is>
      </c>
      <c r="D449" s="14" t="inlineStr">
        <is>
          <t>The studio’s price book</t>
        </is>
      </c>
      <c r="E449" s="14" t="inlineStr">
        <is>
          <t>Built in parity round 5</t>
        </is>
      </c>
      <c r="F449" s="12" t="inlineStr">
        <is>
          <t>Export here; approval and history in price book parity; no tiers</t>
        </is>
      </c>
      <c r="G449" s="12" t="inlineStr">
        <is>
          <t>3.01</t>
        </is>
      </c>
      <c r="H449" s="12" t="inlineStr"/>
      <c r="I449" s="17" t="n"/>
      <c r="J449" s="17" t="n"/>
    </row>
    <row r="450">
      <c r="A450" s="12" t="inlineStr">
        <is>
          <t>Quote editor</t>
        </is>
      </c>
      <c r="B450" s="12" t="inlineStr">
        <is>
          <t>DEF-12</t>
        </is>
      </c>
      <c r="C450" s="12" t="inlineStr">
        <is>
          <t>Definitions</t>
        </is>
      </c>
      <c r="D450" s="14" t="inlineStr">
        <is>
          <t>Signing a quote</t>
        </is>
      </c>
      <c r="E450" s="14" t="inlineStr">
        <is>
          <t>Built in parity round 4</t>
        </is>
      </c>
      <c r="F450" s="12" t="inlineStr">
        <is>
          <t>A signed contract signs its quote; links carry a token, signing a window (S03, S04)</t>
        </is>
      </c>
      <c r="G450" s="12" t="inlineStr">
        <is>
          <t>6.29</t>
        </is>
      </c>
      <c r="H450" s="12" t="inlineStr"/>
      <c r="I450" s="17" t="n"/>
      <c r="J450" s="17" t="n"/>
    </row>
    <row r="451">
      <c r="A451" s="12" t="inlineStr">
        <is>
          <t>Quote editor</t>
        </is>
      </c>
      <c r="B451" s="12" t="inlineStr">
        <is>
          <t>DEF-13</t>
        </is>
      </c>
      <c r="C451" s="12" t="inlineStr">
        <is>
          <t>Definitions</t>
        </is>
      </c>
      <c r="D451" s="14" t="inlineStr">
        <is>
          <t>Comments on quote lines</t>
        </is>
      </c>
      <c r="E451" s="14" t="inlineStr">
        <is>
          <t>Built in parity round 5</t>
        </is>
      </c>
      <c r="F451" s="12" t="inlineStr"/>
      <c r="G451" s="12" t="inlineStr">
        <is>
          <t>6.27</t>
        </is>
      </c>
      <c r="H451" s="12" t="inlineStr"/>
      <c r="I451" s="17" t="n"/>
      <c r="J451" s="17" t="n"/>
    </row>
    <row r="452">
      <c r="A452" s="12" t="inlineStr">
        <is>
          <t>Quote editor</t>
        </is>
      </c>
      <c r="B452" s="12" t="inlineStr">
        <is>
          <t>DEF-14</t>
        </is>
      </c>
      <c r="C452" s="12" t="inlineStr">
        <is>
          <t>Definitions</t>
        </is>
      </c>
      <c r="D452" s="14" t="inlineStr">
        <is>
          <t>Getting a quote in: upload a file or AI draft</t>
        </is>
      </c>
      <c r="E452" s="14" t="inlineStr">
        <is>
          <t>Built in parity round 5</t>
        </is>
      </c>
      <c r="F452" s="12" t="inlineStr">
        <is>
          <t>Upload a quote and Draft with Maison AI (a first cut by rule) built (S04)</t>
        </is>
      </c>
      <c r="G452" s="12" t="inlineStr">
        <is>
          <t>6.41</t>
        </is>
      </c>
      <c r="H452" s="12" t="inlineStr"/>
      <c r="I452" s="17" t="n"/>
      <c r="J452" s="17" t="n"/>
    </row>
    <row r="453">
      <c r="A453" s="12" t="inlineStr">
        <is>
          <t>Quote editor</t>
        </is>
      </c>
      <c r="B453" s="12" t="inlineStr">
        <is>
          <t>DEF-15</t>
        </is>
      </c>
      <c r="C453" s="12" t="inlineStr">
        <is>
          <t>Definitions</t>
        </is>
      </c>
      <c r="D453" s="14" t="inlineStr">
        <is>
          <t>Variation orders</t>
        </is>
      </c>
      <c r="E453" s="14" t="inlineStr">
        <is>
          <t>Built</t>
        </is>
      </c>
      <c r="F453" s="12" t="inlineStr">
        <is>
          <t>A project’s Money › New › “Variation order”, approved on its link (Projects build)</t>
        </is>
      </c>
      <c r="G453" s="12" t="inlineStr"/>
      <c r="H453" s="28" t="inlineStr">
        <is>
          <t>Team check</t>
        </is>
      </c>
      <c r="I453" s="17" t="n"/>
      <c r="J453" s="17" t="n"/>
    </row>
    <row r="454">
      <c r="A454" s="12" t="inlineStr">
        <is>
          <t>Quote editor</t>
        </is>
      </c>
      <c r="B454" s="12" t="inlineStr">
        <is>
          <t>DEF-16</t>
        </is>
      </c>
      <c r="C454" s="12" t="inlineStr">
        <is>
          <t>Definitions</t>
        </is>
      </c>
      <c r="D454" s="14" t="inlineStr">
        <is>
          <t>Quote locked read-only once it leaves Draft</t>
        </is>
      </c>
      <c r="E454" s="14" t="inlineStr">
        <is>
          <t>Built in parity round 2</t>
        </is>
      </c>
      <c r="F454" s="12" t="inlineStr">
        <is>
          <t>No hard lock by design; a banner offers Revise (Q-04)</t>
        </is>
      </c>
      <c r="G454" s="12" t="inlineStr">
        <is>
          <t>6.28</t>
        </is>
      </c>
      <c r="H454" s="12" t="inlineStr"/>
      <c r="I454" s="17" t="n"/>
      <c r="J454" s="17" t="n"/>
    </row>
    <row r="455">
      <c r="A455" s="12" t="inlineStr">
        <is>
          <t>Quote editor</t>
        </is>
      </c>
      <c r="B455" s="12" t="inlineStr">
        <is>
          <t>MM-01</t>
        </is>
      </c>
      <c r="C455" s="12" t="inlineStr">
        <is>
          <t>Mismatches</t>
        </is>
      </c>
      <c r="D455" s="14" t="inlineStr">
        <is>
          <t>Where a quote’s settings live</t>
        </is>
      </c>
      <c r="E455" s="14" t="inlineStr">
        <is>
          <t>Built</t>
        </is>
      </c>
      <c r="F455" s="12" t="inlineStr">
        <is>
          <t>Kept on each quote (Q-01)</t>
        </is>
      </c>
      <c r="G455" s="12" t="inlineStr">
        <is>
          <t>6.02</t>
        </is>
      </c>
      <c r="H455" s="12" t="inlineStr"/>
      <c r="I455" s="17" t="n"/>
      <c r="J455" s="17" t="n"/>
    </row>
    <row r="456">
      <c r="A456" s="12" t="inlineStr">
        <is>
          <t>Quote editor</t>
        </is>
      </c>
      <c r="B456" s="12" t="inlineStr">
        <is>
          <t>MM-02</t>
        </is>
      </c>
      <c r="C456" s="12" t="inlineStr">
        <is>
          <t>Mismatches</t>
        </is>
      </c>
      <c r="D456" s="14" t="inlineStr">
        <is>
          <t>Primary quote and the lead’s quote status</t>
        </is>
      </c>
      <c r="E456" s="14" t="inlineStr">
        <is>
          <t>Not built — by design</t>
        </is>
      </c>
      <c r="F456" s="12" t="inlineStr">
        <is>
          <t>Derived from the lead’s quotes, no mirror (Q-03)</t>
        </is>
      </c>
      <c r="G456" s="12" t="inlineStr"/>
      <c r="H456" s="12" t="inlineStr"/>
      <c r="I456" s="17" t="n"/>
      <c r="J456" s="17" t="n"/>
    </row>
    <row r="457">
      <c r="A457" s="12" t="inlineStr">
        <is>
          <t>Quote editor</t>
        </is>
      </c>
      <c r="B457" s="12" t="inlineStr">
        <is>
          <t>MM-03</t>
        </is>
      </c>
      <c r="C457" s="12" t="inlineStr">
        <is>
          <t>Mismatches</t>
        </is>
      </c>
      <c r="D457" s="14" t="inlineStr">
        <is>
          <t>The set of quote statuses</t>
        </is>
      </c>
      <c r="E457" s="14" t="inlineStr">
        <is>
          <t>Built</t>
        </is>
      </c>
      <c r="F457" s="12" t="inlineStr">
        <is>
          <t>2.0’s six statuses kept (Q-02)</t>
        </is>
      </c>
      <c r="G457" s="12" t="inlineStr">
        <is>
          <t>6.38</t>
        </is>
      </c>
      <c r="H457" s="12" t="inlineStr"/>
      <c r="I457" s="17" t="n"/>
      <c r="J457" s="17" t="n"/>
    </row>
    <row r="458">
      <c r="A458" s="12" t="inlineStr">
        <is>
          <t>Quote editor</t>
        </is>
      </c>
      <c r="B458" s="12" t="inlineStr">
        <is>
          <t>MM-04</t>
        </is>
      </c>
      <c r="C458" s="12" t="inlineStr">
        <is>
          <t>Mismatches</t>
        </is>
      </c>
      <c r="D458" s="14" t="inlineStr">
        <is>
          <t>Editing a quote after it is sent</t>
        </is>
      </c>
      <c r="E458" s="14" t="inlineStr">
        <is>
          <t>Built in parity round 2</t>
        </is>
      </c>
      <c r="F458" s="12" t="inlineStr">
        <is>
          <t>Stays editable, with a banner and Revise (Q-04)</t>
        </is>
      </c>
      <c r="G458" s="12" t="inlineStr">
        <is>
          <t>6.28</t>
        </is>
      </c>
      <c r="H458" s="12" t="inlineStr"/>
      <c r="I458" s="17" t="n"/>
      <c r="J458" s="17" t="n"/>
    </row>
    <row r="459">
      <c r="A459" s="12" t="inlineStr">
        <is>
          <t>Quote editor</t>
        </is>
      </c>
      <c r="B459" s="12" t="inlineStr">
        <is>
          <t>MM-05</t>
        </is>
      </c>
      <c r="C459" s="12" t="inlineStr">
        <is>
          <t>Mismatches</t>
        </is>
      </c>
      <c r="D459" s="14" t="inlineStr">
        <is>
          <t>An approver’s own send approves it</t>
        </is>
      </c>
      <c r="E459" s="14" t="inlineStr">
        <is>
          <t>Built in parity round 2</t>
        </is>
      </c>
      <c r="F459" s="12" t="inlineStr"/>
      <c r="G459" s="12" t="inlineStr">
        <is>
          <t>6.28</t>
        </is>
      </c>
      <c r="H459" s="12" t="inlineStr"/>
      <c r="I459" s="17" t="n"/>
      <c r="J459" s="17" t="n"/>
    </row>
    <row r="460">
      <c r="A460" s="12" t="inlineStr">
        <is>
          <t>Quote editor</t>
        </is>
      </c>
      <c r="B460" s="12" t="inlineStr">
        <is>
          <t>MM-06</t>
        </is>
      </c>
      <c r="C460" s="12" t="inlineStr">
        <is>
          <t>Mismatches</t>
        </is>
      </c>
      <c r="D460" s="14" t="inlineStr">
        <is>
          <t>Rejecting a quote with a reason</t>
        </is>
      </c>
      <c r="E460" s="14" t="inlineStr">
        <is>
          <t>Built in parity round 2</t>
        </is>
      </c>
      <c r="F460" s="12" t="inlineStr">
        <is>
          <t>Request changes with a note; back to Draft (Q-22)</t>
        </is>
      </c>
      <c r="G460" s="12" t="inlineStr"/>
      <c r="H460" s="28" t="inlineStr">
        <is>
          <t>Team check</t>
        </is>
      </c>
      <c r="I460" s="17" t="n"/>
      <c r="J460" s="17" t="n"/>
    </row>
    <row r="461">
      <c r="A461" s="12" t="inlineStr">
        <is>
          <t>Quote editor</t>
        </is>
      </c>
      <c r="B461" s="12" t="inlineStr">
        <is>
          <t>MM-07</t>
        </is>
      </c>
      <c r="C461" s="12" t="inlineStr">
        <is>
          <t>Mismatches</t>
        </is>
      </c>
      <c r="D461" s="14" t="inlineStr">
        <is>
          <t>Versions: per lead, compare, restore</t>
        </is>
      </c>
      <c r="E461" s="14" t="inlineStr">
        <is>
          <t>Built in parity round 3</t>
        </is>
      </c>
      <c r="F461" s="12" t="inlineStr">
        <is>
          <t>Per quote; Bring back added; no compare (Q-26)</t>
        </is>
      </c>
      <c r="G461" s="12" t="inlineStr">
        <is>
          <t>6.32</t>
        </is>
      </c>
      <c r="H461" s="12" t="inlineStr"/>
      <c r="I461" s="17" t="n"/>
      <c r="J461" s="17" t="n"/>
    </row>
    <row r="462">
      <c r="A462" s="12" t="inlineStr">
        <is>
          <t>Quote editor</t>
        </is>
      </c>
      <c r="B462" s="12" t="inlineStr">
        <is>
          <t>MM-08</t>
        </is>
      </c>
      <c r="C462" s="12" t="inlineStr">
        <is>
          <t>Mismatches</t>
        </is>
      </c>
      <c r="D462" s="14" t="inlineStr">
        <is>
          <t>A section priced as one lump sum</t>
        </is>
      </c>
      <c r="E462" s="14" t="inlineStr">
        <is>
          <t>Not built — by design</t>
        </is>
      </c>
      <c r="F462" s="12" t="inlineStr">
        <is>
          <t>One priced line or Print as one line does it (Q-15)</t>
        </is>
      </c>
      <c r="G462" s="12" t="inlineStr"/>
      <c r="H462" s="12" t="inlineStr"/>
      <c r="I462" s="17" t="n"/>
      <c r="J462" s="17" t="n"/>
    </row>
    <row r="463">
      <c r="A463" s="12" t="inlineStr">
        <is>
          <t>Quote editor</t>
        </is>
      </c>
      <c r="B463" s="12" t="inlineStr">
        <is>
          <t>MM-09</t>
        </is>
      </c>
      <c r="C463" s="12" t="inlineStr">
        <is>
          <t>Mismatches</t>
        </is>
      </c>
      <c r="D463" s="14" t="inlineStr">
        <is>
          <t>Line discount in S$</t>
        </is>
      </c>
      <c r="E463" s="14" t="inlineStr">
        <is>
          <t>Not built — by design</t>
        </is>
      </c>
      <c r="F463" s="12" t="inlineStr">
        <is>
          <t>Named discounts carry amounts (Q-11)</t>
        </is>
      </c>
      <c r="G463" s="12" t="inlineStr"/>
      <c r="H463" s="12" t="inlineStr"/>
      <c r="I463" s="17" t="n"/>
      <c r="J463" s="17" t="n"/>
    </row>
    <row r="464">
      <c r="A464" s="12" t="inlineStr">
        <is>
          <t>Quote editor</t>
        </is>
      </c>
      <c r="B464" s="12" t="inlineStr">
        <is>
          <t>MM-10</t>
        </is>
      </c>
      <c r="C464" s="12" t="inlineStr">
        <is>
          <t>Mismatches</t>
        </is>
      </c>
      <c r="D464" s="14" t="inlineStr">
        <is>
          <t>Tax rate per line</t>
        </is>
      </c>
      <c r="E464" s="14" t="inlineStr">
        <is>
          <t>Not built — by design</t>
        </is>
      </c>
      <c r="F464" s="12" t="inlineStr">
        <is>
          <t>GST stays per quote and issuing entity (Q-12)</t>
        </is>
      </c>
      <c r="G464" s="12" t="inlineStr"/>
      <c r="H464" s="12" t="inlineStr"/>
      <c r="I464" s="17" t="n"/>
      <c r="J464" s="17" t="n"/>
    </row>
    <row r="465">
      <c r="A465" s="12" t="inlineStr">
        <is>
          <t>Quote editor</t>
        </is>
      </c>
      <c r="B465" s="12" t="inlineStr">
        <is>
          <t>MM-11</t>
        </is>
      </c>
      <c r="C465" s="12" t="inlineStr">
        <is>
          <t>Mismatches</t>
        </is>
      </c>
      <c r="D465" s="14" t="inlineStr">
        <is>
          <t>Signing marks the quote signed</t>
        </is>
      </c>
      <c r="E465" s="14" t="inlineStr">
        <is>
          <t>Built in parity round 4</t>
        </is>
      </c>
      <c r="F465" s="12" t="inlineStr">
        <is>
          <t>The contract raised from the quote signs it (Q-31)</t>
        </is>
      </c>
      <c r="G465" s="12" t="inlineStr"/>
      <c r="H465" s="28" t="inlineStr">
        <is>
          <t>Team check</t>
        </is>
      </c>
      <c r="I465" s="17" t="n"/>
      <c r="J465" s="17" t="n"/>
    </row>
    <row r="466">
      <c r="A466" s="12" t="inlineStr">
        <is>
          <t>Quote editor</t>
        </is>
      </c>
      <c r="B466" s="12" t="inlineStr">
        <is>
          <t>MM-12</t>
        </is>
      </c>
      <c r="C466" s="12" t="inlineStr">
        <is>
          <t>Mismatches</t>
        </is>
      </c>
      <c r="D466" s="14" t="inlineStr">
        <is>
          <t>The client’s picks on optional works</t>
        </is>
      </c>
      <c r="E466" s="14" t="inlineStr">
        <is>
          <t>Built in parity round 4</t>
        </is>
      </c>
      <c r="F466" s="12" t="inlineStr"/>
      <c r="G466" s="12" t="inlineStr">
        <is>
          <t>6.37</t>
        </is>
      </c>
      <c r="H466" s="12" t="inlineStr"/>
      <c r="I466" s="17" t="n"/>
      <c r="J466" s="17" t="n"/>
    </row>
    <row r="467">
      <c r="A467" s="12" t="inlineStr">
        <is>
          <t>Quote editor</t>
        </is>
      </c>
      <c r="B467" s="12" t="inlineStr">
        <is>
          <t>MM-13</t>
        </is>
      </c>
      <c r="C467" s="12" t="inlineStr">
        <is>
          <t>Mismatches</t>
        </is>
      </c>
      <c r="D467" s="14" t="inlineStr">
        <is>
          <t>Deleting a quote</t>
        </is>
      </c>
      <c r="E467" s="14" t="inlineStr">
        <is>
          <t>Built in parity round 3</t>
        </is>
      </c>
      <c r="F467" s="12" t="inlineStr">
        <is>
          <t>Soft delete, Deleted Quotes; creator, Owner or Admin (Q-27, Q-28)</t>
        </is>
      </c>
      <c r="G467" s="12" t="inlineStr">
        <is>
          <t>6.42, 6.43</t>
        </is>
      </c>
      <c r="H467" s="12" t="inlineStr"/>
      <c r="I467" s="17" t="n"/>
      <c r="J467" s="17" t="n"/>
    </row>
    <row r="468">
      <c r="A468" s="12" t="inlineStr">
        <is>
          <t>Quote editor</t>
        </is>
      </c>
      <c r="B468" s="12" t="inlineStr">
        <is>
          <t>MM-14</t>
        </is>
      </c>
      <c r="C468" s="12" t="inlineStr">
        <is>
          <t>Mismatches</t>
        </is>
      </c>
      <c r="D468" s="14" t="inlineStr">
        <is>
          <t>A quote’s valid-until date</t>
        </is>
      </c>
      <c r="E468" s="14" t="inlineStr">
        <is>
          <t>Built in parity round 3</t>
        </is>
      </c>
      <c r="F468" s="12" t="inlineStr">
        <is>
          <t>A passed date is marked, never blocked (Q-29)</t>
        </is>
      </c>
      <c r="G468" s="12" t="inlineStr">
        <is>
          <t>6.31</t>
        </is>
      </c>
      <c r="H468" s="12" t="inlineStr"/>
      <c r="I468" s="17" t="n"/>
      <c r="J468" s="17" t="n"/>
    </row>
    <row r="469">
      <c r="A469" s="12" t="inlineStr">
        <is>
          <t>Quote editor</t>
        </is>
      </c>
      <c r="B469" s="12" t="inlineStr">
        <is>
          <t>MM-15</t>
        </is>
      </c>
      <c r="C469" s="12" t="inlineStr">
        <is>
          <t>Mismatches</t>
        </is>
      </c>
      <c r="D469" s="14" t="inlineStr">
        <is>
          <t>The client’s link: token, expiry, one-time code</t>
        </is>
      </c>
      <c r="E469" s="14" t="inlineStr">
        <is>
          <t>Built</t>
        </is>
      </c>
      <c r="F469" s="12" t="inlineStr">
        <is>
          <t>Token link built (S04); Valid until is its window; the SMS code stays a stand-in</t>
        </is>
      </c>
      <c r="G469" s="12" t="inlineStr"/>
      <c r="H469" s="28" t="inlineStr">
        <is>
          <t>Team check</t>
        </is>
      </c>
      <c r="I469" s="17" t="n"/>
      <c r="J469" s="17" t="n"/>
    </row>
    <row r="470">
      <c r="A470" s="12" t="inlineStr">
        <is>
          <t>Quote editor</t>
        </is>
      </c>
      <c r="B470" s="12" t="inlineStr">
        <is>
          <t>QF-01</t>
        </is>
      </c>
      <c r="C470" s="12" t="inlineStr">
        <is>
          <t>The frame</t>
        </is>
      </c>
      <c r="D470" s="14" t="inlineStr">
        <is>
          <t>Ways to open or start a quote</t>
        </is>
      </c>
      <c r="E470" s="14" t="inlineStr">
        <is>
          <t>Built</t>
        </is>
      </c>
      <c r="F470" s="12" t="inlineStr"/>
      <c r="G470" s="12" t="inlineStr">
        <is>
          <t>6.01</t>
        </is>
      </c>
      <c r="H470" s="12" t="inlineStr"/>
      <c r="I470" s="17" t="n"/>
      <c r="J470" s="17" t="n"/>
    </row>
    <row r="471">
      <c r="A471" s="12" t="inlineStr">
        <is>
          <t>Quote editor</t>
        </is>
      </c>
      <c r="B471" s="12" t="inlineStr">
        <is>
          <t>QF-02</t>
        </is>
      </c>
      <c r="C471" s="12" t="inlineStr">
        <is>
          <t>The frame</t>
        </is>
      </c>
      <c r="D471" s="14" t="inlineStr">
        <is>
          <t>One editor per quote</t>
        </is>
      </c>
      <c r="E471" s="14" t="inlineStr">
        <is>
          <t>Built</t>
        </is>
      </c>
      <c r="F471" s="12" t="inlineStr"/>
      <c r="G471" s="12" t="inlineStr">
        <is>
          <t>6.02</t>
        </is>
      </c>
      <c r="H471" s="12" t="inlineStr"/>
      <c r="I471" s="17" t="n"/>
      <c r="J471" s="17" t="n"/>
    </row>
    <row r="472">
      <c r="A472" s="12" t="inlineStr">
        <is>
          <t>Quote editor</t>
        </is>
      </c>
      <c r="B472" s="12" t="inlineStr">
        <is>
          <t>QF-03</t>
        </is>
      </c>
      <c r="C472" s="12" t="inlineStr">
        <is>
          <t>The frame</t>
        </is>
      </c>
      <c r="D472" s="14" t="inlineStr">
        <is>
          <t>Autosave</t>
        </is>
      </c>
      <c r="E472" s="14" t="inlineStr">
        <is>
          <t>Built</t>
        </is>
      </c>
      <c r="F472" s="12" t="inlineStr"/>
      <c r="G472" s="12" t="inlineStr">
        <is>
          <t>6.03</t>
        </is>
      </c>
      <c r="H472" s="12" t="inlineStr"/>
      <c r="I472" s="17" t="n"/>
      <c r="J472" s="17" t="n"/>
    </row>
    <row r="473">
      <c r="A473" s="12" t="inlineStr">
        <is>
          <t>Quote editor</t>
        </is>
      </c>
      <c r="B473" s="12" t="inlineStr">
        <is>
          <t>QF-04</t>
        </is>
      </c>
      <c r="C473" s="12" t="inlineStr">
        <is>
          <t>The frame</t>
        </is>
      </c>
      <c r="D473" s="14" t="inlineStr">
        <is>
          <t>Close, discard and unsaved-changes prompts</t>
        </is>
      </c>
      <c r="E473" s="14" t="inlineStr">
        <is>
          <t>Built</t>
        </is>
      </c>
      <c r="F473" s="12" t="inlineStr">
        <is>
          <t>Nothing waits unsaved; Close returns where you came from</t>
        </is>
      </c>
      <c r="G473" s="12" t="inlineStr"/>
      <c r="H473" s="28" t="inlineStr">
        <is>
          <t>Team check</t>
        </is>
      </c>
      <c r="I473" s="17" t="n"/>
      <c r="J473" s="17" t="n"/>
    </row>
    <row r="474">
      <c r="A474" s="12" t="inlineStr">
        <is>
          <t>Quote editor</t>
        </is>
      </c>
      <c r="B474" s="12" t="inlineStr">
        <is>
          <t>QF-05</t>
        </is>
      </c>
      <c r="C474" s="12" t="inlineStr">
        <is>
          <t>The frame</t>
        </is>
      </c>
      <c r="D474" s="14" t="inlineStr">
        <is>
          <t>Side panels beside the lines</t>
        </is>
      </c>
      <c r="E474" s="14" t="inlineStr">
        <is>
          <t>Built</t>
        </is>
      </c>
      <c r="F474" s="12" t="inlineStr"/>
      <c r="G474" s="12" t="inlineStr">
        <is>
          <t>6.24</t>
        </is>
      </c>
      <c r="H474" s="12" t="inlineStr"/>
      <c r="I474" s="17" t="n"/>
      <c r="J474" s="17" t="n"/>
    </row>
    <row r="475">
      <c r="A475" s="12" t="inlineStr">
        <is>
          <t>Quote editor</t>
        </is>
      </c>
      <c r="B475" s="12" t="inlineStr">
        <is>
          <t>QF-06</t>
        </is>
      </c>
      <c r="C475" s="12" t="inlineStr">
        <is>
          <t>The frame</t>
        </is>
      </c>
      <c r="D475" s="14" t="inlineStr">
        <is>
          <t>Header with name, number, status and tools</t>
        </is>
      </c>
      <c r="E475" s="14" t="inlineStr">
        <is>
          <t>Built</t>
        </is>
      </c>
      <c r="F475" s="12" t="inlineStr"/>
      <c r="G475" s="12" t="inlineStr">
        <is>
          <t>6.03</t>
        </is>
      </c>
      <c r="H475" s="12" t="inlineStr"/>
      <c r="I475" s="17" t="n"/>
      <c r="J475" s="17" t="n"/>
    </row>
    <row r="476">
      <c r="A476" s="12" t="inlineStr">
        <is>
          <t>Quote editor</t>
        </is>
      </c>
      <c r="B476" s="12" t="inlineStr">
        <is>
          <t>QF-07</t>
        </is>
      </c>
      <c r="C476" s="12" t="inlineStr">
        <is>
          <t>The frame</t>
        </is>
      </c>
      <c r="D476" s="14" t="inlineStr">
        <is>
          <t>Items and Layout tabs per quote</t>
        </is>
      </c>
      <c r="E476" s="14" t="inlineStr">
        <is>
          <t>Built</t>
        </is>
      </c>
      <c r="F476" s="12" t="inlineStr">
        <is>
          <t>The template is edited from the quote</t>
        </is>
      </c>
      <c r="G476" s="12" t="inlineStr"/>
      <c r="H476" s="28" t="inlineStr">
        <is>
          <t>Team check</t>
        </is>
      </c>
      <c r="I476" s="17" t="n"/>
      <c r="J476" s="17" t="n"/>
    </row>
    <row r="477">
      <c r="A477" s="12" t="inlineStr">
        <is>
          <t>Quote editor</t>
        </is>
      </c>
      <c r="B477" s="12" t="inlineStr">
        <is>
          <t>QF-08</t>
        </is>
      </c>
      <c r="C477" s="12" t="inlineStr">
        <is>
          <t>The frame</t>
        </is>
      </c>
      <c r="D477" s="14" t="inlineStr">
        <is>
          <t>Document info: IC, customer ID, valid until, ref</t>
        </is>
      </c>
      <c r="E477" s="14" t="inlineStr">
        <is>
          <t>Built</t>
        </is>
      </c>
      <c r="F477" s="12" t="inlineStr"/>
      <c r="G477" s="12" t="inlineStr">
        <is>
          <t>6.02</t>
        </is>
      </c>
      <c r="H477" s="12" t="inlineStr"/>
      <c r="I477" s="17" t="n"/>
      <c r="J477" s="17" t="n"/>
    </row>
    <row r="478">
      <c r="A478" s="12" t="inlineStr">
        <is>
          <t>Quote editor</t>
        </is>
      </c>
      <c r="B478" s="12" t="inlineStr">
        <is>
          <t>QF-09</t>
        </is>
      </c>
      <c r="C478" s="12" t="inlineStr">
        <is>
          <t>The frame</t>
        </is>
      </c>
      <c r="D478" s="14" t="inlineStr">
        <is>
          <t>Read-only quote by status</t>
        </is>
      </c>
      <c r="E478" s="14" t="inlineStr">
        <is>
          <t>Built in parity round 2</t>
        </is>
      </c>
      <c r="F478" s="12" t="inlineStr">
        <is>
          <t>No lock by design; banner with Revise (Q-04)</t>
        </is>
      </c>
      <c r="G478" s="12" t="inlineStr">
        <is>
          <t>6.28</t>
        </is>
      </c>
      <c r="H478" s="12" t="inlineStr"/>
      <c r="I478" s="17" t="n"/>
      <c r="J478" s="17" t="n"/>
    </row>
    <row r="479">
      <c r="A479" s="12" t="inlineStr">
        <is>
          <t>Quote editor</t>
        </is>
      </c>
      <c r="B479" s="12" t="inlineStr">
        <is>
          <t>QF-10</t>
        </is>
      </c>
      <c r="C479" s="12" t="inlineStr">
        <is>
          <t>The frame</t>
        </is>
      </c>
      <c r="D479" s="14" t="inlineStr">
        <is>
          <t>Variation order mode</t>
        </is>
      </c>
      <c r="E479" s="14" t="inlineStr">
        <is>
          <t>Built</t>
        </is>
      </c>
      <c r="F479" s="12" t="inlineStr">
        <is>
          <t>The quote editor in variation mode, raised from a project’s Money tab (Projects build)</t>
        </is>
      </c>
      <c r="G479" s="12" t="inlineStr"/>
      <c r="H479" s="28" t="inlineStr">
        <is>
          <t>Team check</t>
        </is>
      </c>
      <c r="I479" s="17" t="n"/>
      <c r="J479" s="17" t="n"/>
    </row>
    <row r="480">
      <c r="A480" s="12" t="inlineStr">
        <is>
          <t>Quote editor</t>
        </is>
      </c>
      <c r="B480" s="12" t="inlineStr">
        <is>
          <t>QL-01</t>
        </is>
      </c>
      <c r="C480" s="12" t="inlineStr">
        <is>
          <t>The grid and its lines</t>
        </is>
      </c>
      <c r="D480" s="14" t="inlineStr">
        <is>
          <t>One grid for the quote’s lines</t>
        </is>
      </c>
      <c r="E480" s="14" t="inlineStr">
        <is>
          <t>Built</t>
        </is>
      </c>
      <c r="F480" s="12" t="inlineStr"/>
      <c r="G480" s="12" t="inlineStr">
        <is>
          <t>12.08</t>
        </is>
      </c>
      <c r="H480" s="12" t="inlineStr"/>
      <c r="I480" s="17" t="n"/>
      <c r="J480" s="17" t="n"/>
    </row>
    <row r="481">
      <c r="A481" s="12" t="inlineStr">
        <is>
          <t>Quote editor</t>
        </is>
      </c>
      <c r="B481" s="12" t="inlineStr">
        <is>
          <t>QL-02</t>
        </is>
      </c>
      <c r="C481" s="12" t="inlineStr">
        <is>
          <t>The grid and its lines</t>
        </is>
      </c>
      <c r="D481" s="14" t="inlineStr">
        <is>
          <t>Columns shown or hidden; client columns marked</t>
        </is>
      </c>
      <c r="E481" s="14" t="inlineStr">
        <is>
          <t>Built</t>
        </is>
      </c>
      <c r="F481" s="12" t="inlineStr"/>
      <c r="G481" s="12" t="inlineStr">
        <is>
          <t>6.16</t>
        </is>
      </c>
      <c r="H481" s="12" t="inlineStr"/>
      <c r="I481" s="17" t="n"/>
      <c r="J481" s="17" t="n"/>
    </row>
    <row r="482">
      <c r="A482" s="12" t="inlineStr">
        <is>
          <t>Quote editor</t>
        </is>
      </c>
      <c r="B482" s="12" t="inlineStr">
        <is>
          <t>QL-03</t>
        </is>
      </c>
      <c r="C482" s="12" t="inlineStr">
        <is>
          <t>The grid and its lines</t>
        </is>
      </c>
      <c r="D482" s="14" t="inlineStr">
        <is>
          <t>Line numbering and typed line refs</t>
        </is>
      </c>
      <c r="E482" s="14" t="inlineStr">
        <is>
          <t>Built</t>
        </is>
      </c>
      <c r="F482" s="12" t="inlineStr">
        <is>
          <t>Numbering from the template; typed refs not kept</t>
        </is>
      </c>
      <c r="G482" s="12" t="inlineStr"/>
      <c r="H482" s="28" t="inlineStr">
        <is>
          <t>Team check</t>
        </is>
      </c>
      <c r="I482" s="17" t="n"/>
      <c r="J482" s="17" t="n"/>
    </row>
    <row r="483">
      <c r="A483" s="12" t="inlineStr">
        <is>
          <t>Quote editor</t>
        </is>
      </c>
      <c r="B483" s="12" t="inlineStr">
        <is>
          <t>QL-04</t>
        </is>
      </c>
      <c r="C483" s="12" t="inlineStr">
        <is>
          <t>The grid and its lines</t>
        </is>
      </c>
      <c r="D483" s="14" t="inlineStr">
        <is>
          <t>Line name and rich description</t>
        </is>
      </c>
      <c r="E483" s="14" t="inlineStr">
        <is>
          <t>Built</t>
        </is>
      </c>
      <c r="F483" s="12" t="inlineStr"/>
      <c r="G483" s="12" t="inlineStr"/>
      <c r="H483" s="28" t="inlineStr">
        <is>
          <t>Team check</t>
        </is>
      </c>
      <c r="I483" s="17" t="n"/>
      <c r="J483" s="17" t="n"/>
    </row>
    <row r="484">
      <c r="A484" s="12" t="inlineStr">
        <is>
          <t>Quote editor</t>
        </is>
      </c>
      <c r="B484" s="12" t="inlineStr">
        <is>
          <t>QL-05</t>
        </is>
      </c>
      <c r="C484" s="12" t="inlineStr">
        <is>
          <t>The grid and its lines</t>
        </is>
      </c>
      <c r="D484" s="14" t="inlineStr">
        <is>
          <t>Editable price, qty, unit, cost and markup cells</t>
        </is>
      </c>
      <c r="E484" s="14" t="inlineStr">
        <is>
          <t>Built</t>
        </is>
      </c>
      <c r="F484" s="12" t="inlineStr"/>
      <c r="G484" s="12" t="inlineStr">
        <is>
          <t>6.07, 6.08</t>
        </is>
      </c>
      <c r="H484" s="12" t="inlineStr"/>
      <c r="I484" s="17" t="n"/>
      <c r="J484" s="17" t="n"/>
    </row>
    <row r="485">
      <c r="A485" s="12" t="inlineStr">
        <is>
          <t>Quote editor</t>
        </is>
      </c>
      <c r="B485" s="12" t="inlineStr">
        <is>
          <t>QL-06</t>
        </is>
      </c>
      <c r="C485" s="12" t="inlineStr">
        <is>
          <t>The grid and its lines</t>
        </is>
      </c>
      <c r="D485" s="14" t="inlineStr">
        <is>
          <t>Internal notes, SKU and custom columns per line</t>
        </is>
      </c>
      <c r="E485" s="14" t="inlineStr">
        <is>
          <t>Built in parity round 5</t>
        </is>
      </c>
      <c r="F485" s="12" t="inlineStr">
        <is>
          <t>Notes became line comments; SKU not drawn</t>
        </is>
      </c>
      <c r="G485" s="12" t="inlineStr">
        <is>
          <t>6.27</t>
        </is>
      </c>
      <c r="H485" s="12" t="inlineStr"/>
      <c r="I485" s="17" t="n"/>
      <c r="J485" s="17" t="n"/>
    </row>
    <row r="486">
      <c r="A486" s="12" t="inlineStr">
        <is>
          <t>Quote editor</t>
        </is>
      </c>
      <c r="B486" s="12" t="inlineStr">
        <is>
          <t>QL-07</t>
        </is>
      </c>
      <c r="C486" s="12" t="inlineStr">
        <is>
          <t>The grid and its lines</t>
        </is>
      </c>
      <c r="D486" s="14" t="inlineStr">
        <is>
          <t>A spec or product link per line</t>
        </is>
      </c>
      <c r="E486" s="14" t="inlineStr">
        <is>
          <t>Built in parity round 1</t>
        </is>
      </c>
      <c r="F486" s="12" t="inlineStr"/>
      <c r="G486" s="12" t="inlineStr">
        <is>
          <t>6.16</t>
        </is>
      </c>
      <c r="H486" s="12" t="inlineStr"/>
      <c r="I486" s="17" t="n"/>
      <c r="J486" s="17" t="n"/>
    </row>
    <row r="487">
      <c r="A487" s="12" t="inlineStr">
        <is>
          <t>Quote editor</t>
        </is>
      </c>
      <c r="B487" s="12" t="inlineStr">
        <is>
          <t>QL-08</t>
        </is>
      </c>
      <c r="C487" s="12" t="inlineStr">
        <is>
          <t>The grid and its lines</t>
        </is>
      </c>
      <c r="D487" s="14" t="inlineStr">
        <is>
          <t>A vendor per line</t>
        </is>
      </c>
      <c r="E487" s="14" t="inlineStr">
        <is>
          <t>Built in parity round 1</t>
        </is>
      </c>
      <c r="F487" s="12" t="inlineStr"/>
      <c r="G487" s="12" t="inlineStr">
        <is>
          <t>6.16</t>
        </is>
      </c>
      <c r="H487" s="12" t="inlineStr"/>
      <c r="I487" s="17" t="n"/>
      <c r="J487" s="17" t="n"/>
    </row>
    <row r="488">
      <c r="A488" s="12" t="inlineStr">
        <is>
          <t>Quote editor</t>
        </is>
      </c>
      <c r="B488" s="12" t="inlineStr">
        <is>
          <t>QL-09</t>
        </is>
      </c>
      <c r="C488" s="12" t="inlineStr">
        <is>
          <t>The grid and its lines</t>
        </is>
      </c>
      <c r="D488" s="14" t="inlineStr">
        <is>
          <t>Row actions, sort and search</t>
        </is>
      </c>
      <c r="E488" s="14" t="inlineStr">
        <is>
          <t>Built</t>
        </is>
      </c>
      <c r="F488" s="12" t="inlineStr">
        <is>
          <t>Sort by column head stays held</t>
        </is>
      </c>
      <c r="G488" s="12" t="inlineStr"/>
      <c r="H488" s="28" t="inlineStr">
        <is>
          <t>Team check</t>
        </is>
      </c>
      <c r="I488" s="17" t="n"/>
      <c r="J488" s="17" t="n"/>
    </row>
    <row r="489">
      <c r="A489" s="12" t="inlineStr">
        <is>
          <t>Quote editor</t>
        </is>
      </c>
      <c r="B489" s="12" t="inlineStr">
        <is>
          <t>QL-10</t>
        </is>
      </c>
      <c r="C489" s="12" t="inlineStr">
        <is>
          <t>The grid and its lines</t>
        </is>
      </c>
      <c r="D489" s="14" t="inlineStr">
        <is>
          <t>Section chips and an unpriced-rows navigator</t>
        </is>
      </c>
      <c r="E489" s="14" t="inlineStr">
        <is>
          <t>Built</t>
        </is>
      </c>
      <c r="F489" s="12" t="inlineStr">
        <is>
          <t>Navigator not added; the sum row instead</t>
        </is>
      </c>
      <c r="G489" s="12" t="inlineStr"/>
      <c r="H489" s="28" t="inlineStr">
        <is>
          <t>Team check</t>
        </is>
      </c>
      <c r="I489" s="17" t="n"/>
      <c r="J489" s="17" t="n"/>
    </row>
    <row r="490">
      <c r="A490" s="12" t="inlineStr">
        <is>
          <t>Quote editor</t>
        </is>
      </c>
      <c r="B490" s="12" t="inlineStr">
        <is>
          <t>QL-11</t>
        </is>
      </c>
      <c r="C490" s="12" t="inlineStr">
        <is>
          <t>The grid and its lines</t>
        </is>
      </c>
      <c r="D490" s="14" t="inlineStr">
        <is>
          <t>Keyboard, copy / paste, fill, undo, drag</t>
        </is>
      </c>
      <c r="E490" s="14" t="inlineStr">
        <is>
          <t>Built</t>
        </is>
      </c>
      <c r="F490" s="12" t="inlineStr"/>
      <c r="G490" s="12" t="inlineStr">
        <is>
          <t>6.07, 6.08, 6.09, 6.15</t>
        </is>
      </c>
      <c r="H490" s="12" t="inlineStr"/>
      <c r="I490" s="17" t="n"/>
      <c r="J490" s="17" t="n"/>
    </row>
    <row r="491">
      <c r="A491" s="12" t="inlineStr">
        <is>
          <t>Quote editor</t>
        </is>
      </c>
      <c r="B491" s="12" t="inlineStr">
        <is>
          <t>QL-12</t>
        </is>
      </c>
      <c r="C491" s="12" t="inlineStr">
        <is>
          <t>The grid and its lines</t>
        </is>
      </c>
      <c r="D491" s="14" t="inlineStr">
        <is>
          <t>What a line holds</t>
        </is>
      </c>
      <c r="E491" s="14" t="inlineStr">
        <is>
          <t>Built</t>
        </is>
      </c>
      <c r="F491" s="12" t="inlineStr"/>
      <c r="G491" s="12" t="inlineStr">
        <is>
          <t>6.05</t>
        </is>
      </c>
      <c r="H491" s="12" t="inlineStr"/>
      <c r="I491" s="17" t="n"/>
      <c r="J491" s="17" t="n"/>
    </row>
    <row r="492">
      <c r="A492" s="12" t="inlineStr">
        <is>
          <t>Quote editor</t>
        </is>
      </c>
      <c r="B492" s="12" t="inlineStr">
        <is>
          <t>QL-13</t>
        </is>
      </c>
      <c r="C492" s="12" t="inlineStr">
        <is>
          <t>The grid and its lines</t>
        </is>
      </c>
      <c r="D492" s="14" t="inlineStr">
        <is>
          <t>Price types, including By client</t>
        </is>
      </c>
      <c r="E492" s="14" t="inlineStr">
        <is>
          <t>Built in parity round 1</t>
        </is>
      </c>
      <c r="F492" s="12" t="inlineStr"/>
      <c r="G492" s="12" t="inlineStr">
        <is>
          <t>6.12</t>
        </is>
      </c>
      <c r="H492" s="12" t="inlineStr"/>
      <c r="I492" s="17" t="n"/>
      <c r="J492" s="17" t="n"/>
    </row>
    <row r="493">
      <c r="A493" s="12" t="inlineStr">
        <is>
          <t>Quote editor</t>
        </is>
      </c>
      <c r="B493" s="12" t="inlineStr">
        <is>
          <t>QL-14</t>
        </is>
      </c>
      <c r="C493" s="12" t="inlineStr">
        <is>
          <t>The grid and its lines</t>
        </is>
      </c>
      <c r="D493" s="14" t="inlineStr">
        <is>
          <t>A lump-sum line pricing its whole section</t>
        </is>
      </c>
      <c r="E493" s="14" t="inlineStr">
        <is>
          <t>Not built — by design</t>
        </is>
      </c>
      <c r="F493" s="12" t="inlineStr">
        <is>
          <t>Print as one line folds a section (Q-15)</t>
        </is>
      </c>
      <c r="G493" s="12" t="inlineStr"/>
      <c r="H493" s="12" t="inlineStr"/>
      <c r="I493" s="17" t="n"/>
      <c r="J493" s="17" t="n"/>
    </row>
    <row r="494">
      <c r="A494" s="12" t="inlineStr">
        <is>
          <t>Quote editor</t>
        </is>
      </c>
      <c r="B494" s="12" t="inlineStr">
        <is>
          <t>QL-15</t>
        </is>
      </c>
      <c r="C494" s="12" t="inlineStr">
        <is>
          <t>The grid and its lines</t>
        </is>
      </c>
      <c r="D494" s="14" t="inlineStr">
        <is>
          <t>The studio’s own words in place of an amount</t>
        </is>
      </c>
      <c r="E494" s="14" t="inlineStr">
        <is>
          <t>Built</t>
        </is>
      </c>
      <c r="F494" s="12" t="inlineStr"/>
      <c r="G494" s="12" t="inlineStr">
        <is>
          <t>6.12</t>
        </is>
      </c>
      <c r="H494" s="12" t="inlineStr"/>
      <c r="I494" s="17" t="n"/>
      <c r="J494" s="17" t="n"/>
    </row>
    <row r="495">
      <c r="A495" s="12" t="inlineStr">
        <is>
          <t>Quote editor</t>
        </is>
      </c>
      <c r="B495" s="12" t="inlineStr">
        <is>
          <t>QL-16</t>
        </is>
      </c>
      <c r="C495" s="12" t="inlineStr">
        <is>
          <t>The grid and its lines</t>
        </is>
      </c>
      <c r="D495" s="14" t="inlineStr">
        <is>
          <t>Optional lines</t>
        </is>
      </c>
      <c r="E495" s="14" t="inlineStr">
        <is>
          <t>Built</t>
        </is>
      </c>
      <c r="F495" s="12" t="inlineStr">
        <is>
          <t>Always out of the totals</t>
        </is>
      </c>
      <c r="G495" s="12" t="inlineStr">
        <is>
          <t>6.14</t>
        </is>
      </c>
      <c r="H495" s="12" t="inlineStr"/>
      <c r="I495" s="17" t="n"/>
      <c r="J495" s="17" t="n"/>
    </row>
    <row r="496">
      <c r="A496" s="12" t="inlineStr">
        <is>
          <t>Quote editor</t>
        </is>
      </c>
      <c r="B496" s="12" t="inlineStr">
        <is>
          <t>QL-17</t>
        </is>
      </c>
      <c r="C496" s="12" t="inlineStr">
        <is>
          <t>The grid and its lines</t>
        </is>
      </c>
      <c r="D496" s="14" t="inlineStr">
        <is>
          <t>Omission lines in a variation order</t>
        </is>
      </c>
      <c r="E496" s="14" t="inlineStr">
        <is>
          <t>Built</t>
        </is>
      </c>
      <c r="F496" s="12" t="inlineStr">
        <is>
          <t>“Omit from the contract” turns signed lines into credits on the order (Projects gaps B)</t>
        </is>
      </c>
      <c r="G496" s="12" t="inlineStr"/>
      <c r="H496" s="28" t="inlineStr">
        <is>
          <t>Team check</t>
        </is>
      </c>
      <c r="I496" s="17" t="n"/>
      <c r="J496" s="17" t="n"/>
    </row>
    <row r="497">
      <c r="A497" s="12" t="inlineStr">
        <is>
          <t>Quote editor</t>
        </is>
      </c>
      <c r="B497" s="12" t="inlineStr">
        <is>
          <t>QL-18</t>
        </is>
      </c>
      <c r="C497" s="12" t="inlineStr">
        <is>
          <t>The grid and its lines</t>
        </is>
      </c>
      <c r="D497" s="14" t="inlineStr">
        <is>
          <t>Highlight and text colour on a line</t>
        </is>
      </c>
      <c r="E497" s="14" t="inlineStr">
        <is>
          <t>Built</t>
        </is>
      </c>
      <c r="F497" s="12" t="inlineStr"/>
      <c r="G497" s="12" t="inlineStr">
        <is>
          <t>6.13</t>
        </is>
      </c>
      <c r="H497" s="12" t="inlineStr"/>
      <c r="I497" s="17" t="n"/>
      <c r="J497" s="17" t="n"/>
    </row>
    <row r="498">
      <c r="A498" s="12" t="inlineStr">
        <is>
          <t>Quote editor</t>
        </is>
      </c>
      <c r="B498" s="12" t="inlineStr">
        <is>
          <t>QL-19</t>
        </is>
      </c>
      <c r="C498" s="12" t="inlineStr">
        <is>
          <t>The grid and its lines</t>
        </is>
      </c>
      <c r="D498" s="14" t="inlineStr">
        <is>
          <t>One image per line</t>
        </is>
      </c>
      <c r="E498" s="14" t="inlineStr">
        <is>
          <t>Built</t>
        </is>
      </c>
      <c r="F498" s="12" t="inlineStr"/>
      <c r="G498" s="12" t="inlineStr"/>
      <c r="H498" s="28" t="inlineStr">
        <is>
          <t>Team check</t>
        </is>
      </c>
      <c r="I498" s="17" t="n"/>
      <c r="J498" s="17" t="n"/>
    </row>
    <row r="499">
      <c r="A499" s="12" t="inlineStr">
        <is>
          <t>Quote editor</t>
        </is>
      </c>
      <c r="B499" s="12" t="inlineStr">
        <is>
          <t>QL-20</t>
        </is>
      </c>
      <c r="C499" s="12" t="inlineStr">
        <is>
          <t>The grid and its lines</t>
        </is>
      </c>
      <c r="D499" s="14" t="inlineStr">
        <is>
          <t>A line knows its price-book item</t>
        </is>
      </c>
      <c r="E499" s="14" t="inlineStr">
        <is>
          <t>Built</t>
        </is>
      </c>
      <c r="F499" s="12" t="inlineStr"/>
      <c r="G499" s="12" t="inlineStr">
        <is>
          <t>6.05</t>
        </is>
      </c>
      <c r="H499" s="12" t="inlineStr"/>
      <c r="I499" s="17" t="n"/>
      <c r="J499" s="17" t="n"/>
    </row>
    <row r="500">
      <c r="A500" s="12" t="inlineStr">
        <is>
          <t>Quote editor</t>
        </is>
      </c>
      <c r="B500" s="12" t="inlineStr">
        <is>
          <t>QL-21</t>
        </is>
      </c>
      <c r="C500" s="12" t="inlineStr">
        <is>
          <t>The grid and its lines</t>
        </is>
      </c>
      <c r="D500" s="14" t="inlineStr">
        <is>
          <t>Tax rate per line</t>
        </is>
      </c>
      <c r="E500" s="14" t="inlineStr">
        <is>
          <t>Not built — by design</t>
        </is>
      </c>
      <c r="F500" s="12" t="inlineStr">
        <is>
          <t>GST per quote and issuing entity (Q-12)</t>
        </is>
      </c>
      <c r="G500" s="12" t="inlineStr"/>
      <c r="H500" s="12" t="inlineStr"/>
      <c r="I500" s="17" t="n"/>
      <c r="J500" s="17" t="n"/>
    </row>
    <row r="501">
      <c r="A501" s="12" t="inlineStr">
        <is>
          <t>Quote editor</t>
        </is>
      </c>
      <c r="B501" s="12" t="inlineStr">
        <is>
          <t>QL-22</t>
        </is>
      </c>
      <c r="C501" s="12" t="inlineStr">
        <is>
          <t>The grid and its lines</t>
        </is>
      </c>
      <c r="D501" s="14" t="inlineStr">
        <is>
          <t>Comment threads on a line</t>
        </is>
      </c>
      <c r="E501" s="14" t="inlineStr">
        <is>
          <t>Built in parity round 5</t>
        </is>
      </c>
      <c r="F501" s="12" t="inlineStr"/>
      <c r="G501" s="12" t="inlineStr">
        <is>
          <t>6.27</t>
        </is>
      </c>
      <c r="H501" s="12" t="inlineStr"/>
      <c r="I501" s="17" t="n"/>
      <c r="J501" s="17" t="n"/>
    </row>
    <row r="502">
      <c r="A502" s="12" t="inlineStr">
        <is>
          <t>Quote editor</t>
        </is>
      </c>
      <c r="B502" s="12" t="inlineStr">
        <is>
          <t>QL-23</t>
        </is>
      </c>
      <c r="C502" s="12" t="inlineStr">
        <is>
          <t>The grid and its lines</t>
        </is>
      </c>
      <c r="D502" s="14" t="inlineStr">
        <is>
          <t>Badges showing where a line came from</t>
        </is>
      </c>
      <c r="E502" s="14" t="inlineStr">
        <is>
          <t>Not built — by design</t>
        </is>
      </c>
      <c r="F502" s="12" t="inlineStr">
        <is>
          <t>Not proposed</t>
        </is>
      </c>
      <c r="G502" s="12" t="inlineStr"/>
      <c r="H502" s="12" t="inlineStr"/>
      <c r="I502" s="17" t="n"/>
      <c r="J502" s="17" t="n"/>
    </row>
    <row r="503">
      <c r="A503" s="12" t="inlineStr">
        <is>
          <t>Quote editor</t>
        </is>
      </c>
      <c r="B503" s="12" t="inlineStr">
        <is>
          <t>QL-24</t>
        </is>
      </c>
      <c r="C503" s="12" t="inlineStr">
        <is>
          <t>The grid and its lines</t>
        </is>
      </c>
      <c r="D503" s="14" t="inlineStr">
        <is>
          <t>Package tier, benchmark and confidence per line</t>
        </is>
      </c>
      <c r="E503" s="14" t="inlineStr">
        <is>
          <t>Dead</t>
        </is>
      </c>
      <c r="F503" s="12" t="inlineStr">
        <is>
          <t>Stored in 1.0, never shown</t>
        </is>
      </c>
      <c r="G503" s="12" t="inlineStr"/>
      <c r="H503" s="12" t="inlineStr"/>
      <c r="I503" s="17" t="n"/>
      <c r="J503" s="17" t="n"/>
    </row>
    <row r="504">
      <c r="A504" s="12" t="inlineStr">
        <is>
          <t>Quote editor</t>
        </is>
      </c>
      <c r="B504" s="12" t="inlineStr">
        <is>
          <t>QL-25</t>
        </is>
      </c>
      <c r="C504" s="12" t="inlineStr">
        <is>
          <t>The grid and its lines</t>
        </is>
      </c>
      <c r="D504" s="14" t="inlineStr">
        <is>
          <t>A side panel to add or edit a line</t>
        </is>
      </c>
      <c r="E504" s="14" t="inlineStr">
        <is>
          <t>Built</t>
        </is>
      </c>
      <c r="F504" s="12" t="inlineStr">
        <is>
          <t>Edited in the table; a sheet on a phone</t>
        </is>
      </c>
      <c r="G504" s="12" t="inlineStr">
        <is>
          <t>12.08</t>
        </is>
      </c>
      <c r="H504" s="12" t="inlineStr"/>
      <c r="I504" s="17" t="n"/>
      <c r="J504" s="17" t="n"/>
    </row>
    <row r="505">
      <c r="A505" s="12" t="inlineStr">
        <is>
          <t>Quote editor</t>
        </is>
      </c>
      <c r="B505" s="12" t="inlineStr">
        <is>
          <t>QL-26</t>
        </is>
      </c>
      <c r="C505" s="12" t="inlineStr">
        <is>
          <t>The grid and its lines</t>
        </is>
      </c>
      <c r="D505" s="14" t="inlineStr">
        <is>
          <t>Duplicate and delete lines and sections</t>
        </is>
      </c>
      <c r="E505" s="14" t="inlineStr">
        <is>
          <t>Built</t>
        </is>
      </c>
      <c r="F505" s="12" t="inlineStr"/>
      <c r="G505" s="12" t="inlineStr"/>
      <c r="H505" s="28" t="inlineStr">
        <is>
          <t>Team check</t>
        </is>
      </c>
      <c r="I505" s="17" t="n"/>
      <c r="J505" s="17" t="n"/>
    </row>
    <row r="506">
      <c r="A506" s="12" t="inlineStr">
        <is>
          <t>Quote editor</t>
        </is>
      </c>
      <c r="B506" s="12" t="inlineStr">
        <is>
          <t>QL-27</t>
        </is>
      </c>
      <c r="C506" s="12" t="inlineStr">
        <is>
          <t>The grid and its lines</t>
        </is>
      </c>
      <c r="D506" s="14" t="inlineStr">
        <is>
          <t>Waste % per line</t>
        </is>
      </c>
      <c r="E506" s="14" t="inlineStr">
        <is>
          <t>Not built — by design</t>
        </is>
      </c>
      <c r="F506" s="12" t="inlineStr">
        <is>
          <t>No waste on a line; a Price book item’s “Waste (%)” adds to orders (S12)</t>
        </is>
      </c>
      <c r="G506" s="12" t="inlineStr"/>
      <c r="H506" s="12" t="inlineStr"/>
      <c r="I506" s="17" t="n"/>
      <c r="J506" s="17" t="n"/>
    </row>
    <row r="507">
      <c r="A507" s="12" t="inlineStr">
        <is>
          <t>Quote editor</t>
        </is>
      </c>
      <c r="B507" s="12" t="inlineStr">
        <is>
          <t>QS-01</t>
        </is>
      </c>
      <c r="C507" s="12" t="inlineStr">
        <is>
          <t>Sections</t>
        </is>
      </c>
      <c r="D507" s="14" t="inlineStr">
        <is>
          <t>The list of sections</t>
        </is>
      </c>
      <c r="E507" s="14" t="inlineStr">
        <is>
          <t>Built</t>
        </is>
      </c>
      <c r="F507" s="12" t="inlineStr"/>
      <c r="G507" s="12" t="inlineStr">
        <is>
          <t>6.10</t>
        </is>
      </c>
      <c r="H507" s="12" t="inlineStr"/>
      <c r="I507" s="17" t="n"/>
      <c r="J507" s="17" t="n"/>
    </row>
    <row r="508">
      <c r="A508" s="12" t="inlineStr">
        <is>
          <t>Quote editor</t>
        </is>
      </c>
      <c r="B508" s="12" t="inlineStr">
        <is>
          <t>QS-02</t>
        </is>
      </c>
      <c r="C508" s="12" t="inlineStr">
        <is>
          <t>Sections</t>
        </is>
      </c>
      <c r="D508" s="14" t="inlineStr">
        <is>
          <t>Add and rename sections</t>
        </is>
      </c>
      <c r="E508" s="14" t="inlineStr">
        <is>
          <t>Built</t>
        </is>
      </c>
      <c r="F508" s="12" t="inlineStr">
        <is>
          <t>Per quote — a rename never touches other quotes</t>
        </is>
      </c>
      <c r="G508" s="12" t="inlineStr">
        <is>
          <t>6.10</t>
        </is>
      </c>
      <c r="H508" s="12" t="inlineStr"/>
      <c r="I508" s="17" t="n"/>
      <c r="J508" s="17" t="n"/>
    </row>
    <row r="509">
      <c r="A509" s="12" t="inlineStr">
        <is>
          <t>Quote editor</t>
        </is>
      </c>
      <c r="B509" s="12" t="inlineStr">
        <is>
          <t>QS-03</t>
        </is>
      </c>
      <c r="C509" s="12" t="inlineStr">
        <is>
          <t>Sections</t>
        </is>
      </c>
      <c r="D509" s="14" t="inlineStr">
        <is>
          <t>Section and sub-section notes</t>
        </is>
      </c>
      <c r="E509" s="14" t="inlineStr">
        <is>
          <t>Built</t>
        </is>
      </c>
      <c r="F509" s="12" t="inlineStr"/>
      <c r="G509" s="12" t="inlineStr"/>
      <c r="H509" s="28" t="inlineStr">
        <is>
          <t>Team check</t>
        </is>
      </c>
      <c r="I509" s="17" t="n"/>
      <c r="J509" s="17" t="n"/>
    </row>
    <row r="510">
      <c r="A510" s="12" t="inlineStr">
        <is>
          <t>Quote editor</t>
        </is>
      </c>
      <c r="B510" s="12" t="inlineStr">
        <is>
          <t>QS-04</t>
        </is>
      </c>
      <c r="C510" s="12" t="inlineStr">
        <is>
          <t>Sections</t>
        </is>
      </c>
      <c r="D510" s="14" t="inlineStr">
        <is>
          <t>Sub-sections with their own total labels</t>
        </is>
      </c>
      <c r="E510" s="14" t="inlineStr">
        <is>
          <t>Built</t>
        </is>
      </c>
      <c r="F510" s="12" t="inlineStr"/>
      <c r="G510" s="12" t="inlineStr">
        <is>
          <t>6.11</t>
        </is>
      </c>
      <c r="H510" s="12" t="inlineStr"/>
      <c r="I510" s="17" t="n"/>
      <c r="J510" s="17" t="n"/>
    </row>
    <row r="511">
      <c r="A511" s="12" t="inlineStr">
        <is>
          <t>Quote editor</t>
        </is>
      </c>
      <c r="B511" s="12" t="inlineStr">
        <is>
          <t>QS-05</t>
        </is>
      </c>
      <c r="C511" s="12" t="inlineStr">
        <is>
          <t>Sections</t>
        </is>
      </c>
      <c r="D511" s="14" t="inlineStr">
        <is>
          <t>The studio’s category names</t>
        </is>
      </c>
      <c r="E511" s="14" t="inlineStr">
        <is>
          <t>Built</t>
        </is>
      </c>
      <c r="F511" s="12" t="inlineStr"/>
      <c r="G511" s="12" t="inlineStr">
        <is>
          <t>2.26</t>
        </is>
      </c>
      <c r="H511" s="12" t="inlineStr"/>
      <c r="I511" s="17" t="n"/>
      <c r="J511" s="17" t="n"/>
    </row>
    <row r="512">
      <c r="A512" s="12" t="inlineStr">
        <is>
          <t>Quote editor</t>
        </is>
      </c>
      <c r="B512" s="12" t="inlineStr">
        <is>
          <t>QS-06</t>
        </is>
      </c>
      <c r="C512" s="12" t="inlineStr">
        <is>
          <t>Sections</t>
        </is>
      </c>
      <c r="D512" s="14" t="inlineStr">
        <is>
          <t>Design blocks between sections</t>
        </is>
      </c>
      <c r="E512" s="14" t="inlineStr">
        <is>
          <t>Not built — by design</t>
        </is>
      </c>
      <c r="F512" s="12" t="inlineStr">
        <is>
          <t>Declined in the quote templates audit (Q-23)</t>
        </is>
      </c>
      <c r="G512" s="12" t="inlineStr"/>
      <c r="H512" s="12" t="inlineStr"/>
      <c r="I512" s="17" t="n"/>
      <c r="J512" s="17" t="n"/>
    </row>
    <row r="513">
      <c r="A513" s="12" t="inlineStr">
        <is>
          <t>Quote editor</t>
        </is>
      </c>
      <c r="B513" s="12" t="inlineStr">
        <is>
          <t>QS-07</t>
        </is>
      </c>
      <c r="C513" s="12" t="inlineStr">
        <is>
          <t>Sections</t>
        </is>
      </c>
      <c r="D513" s="14" t="inlineStr">
        <is>
          <t>Drag a section to move it</t>
        </is>
      </c>
      <c r="E513" s="14" t="inlineStr">
        <is>
          <t>Built</t>
        </is>
      </c>
      <c r="F513" s="12" t="inlineStr"/>
      <c r="G513" s="12" t="inlineStr">
        <is>
          <t>6.09</t>
        </is>
      </c>
      <c r="H513" s="12" t="inlineStr"/>
      <c r="I513" s="17" t="n"/>
      <c r="J513" s="17" t="n"/>
    </row>
    <row r="514">
      <c r="A514" s="12" t="inlineStr">
        <is>
          <t>Quote editor</t>
        </is>
      </c>
      <c r="B514" s="12" t="inlineStr">
        <is>
          <t>QM-01</t>
        </is>
      </c>
      <c r="C514" s="12" t="inlineStr">
        <is>
          <t>Money</t>
        </is>
      </c>
      <c r="D514" s="14" t="inlineStr">
        <is>
          <t>Line total rounding</t>
        </is>
      </c>
      <c r="E514" s="14" t="inlineStr">
        <is>
          <t>Built</t>
        </is>
      </c>
      <c r="F514" s="12" t="inlineStr"/>
      <c r="G514" s="12" t="inlineStr"/>
      <c r="H514" s="28" t="inlineStr">
        <is>
          <t>Team check</t>
        </is>
      </c>
      <c r="I514" s="17" t="n"/>
      <c r="J514" s="17" t="n"/>
    </row>
    <row r="515">
      <c r="A515" s="12" t="inlineStr">
        <is>
          <t>Quote editor</t>
        </is>
      </c>
      <c r="B515" s="12" t="inlineStr">
        <is>
          <t>QM-02</t>
        </is>
      </c>
      <c r="C515" s="12" t="inlineStr">
        <is>
          <t>Money</t>
        </is>
      </c>
      <c r="D515" s="14" t="inlineStr">
        <is>
          <t>Cost, markup and price working together</t>
        </is>
      </c>
      <c r="E515" s="14" t="inlineStr">
        <is>
          <t>Built</t>
        </is>
      </c>
      <c r="F515" s="12" t="inlineStr"/>
      <c r="G515" s="12" t="inlineStr">
        <is>
          <t>6.15</t>
        </is>
      </c>
      <c r="H515" s="12" t="inlineStr"/>
      <c r="I515" s="17" t="n"/>
      <c r="J515" s="17" t="n"/>
    </row>
    <row r="516">
      <c r="A516" s="12" t="inlineStr">
        <is>
          <t>Quote editor</t>
        </is>
      </c>
      <c r="B516" s="12" t="inlineStr">
        <is>
          <t>QM-03</t>
        </is>
      </c>
      <c r="C516" s="12" t="inlineStr">
        <is>
          <t>Money</t>
        </is>
      </c>
      <c r="D516" s="14" t="inlineStr">
        <is>
          <t>Repricing after paste or fill</t>
        </is>
      </c>
      <c r="E516" s="14" t="inlineStr">
        <is>
          <t>Built</t>
        </is>
      </c>
      <c r="F516" s="12" t="inlineStr"/>
      <c r="G516" s="12" t="inlineStr">
        <is>
          <t>6.07</t>
        </is>
      </c>
      <c r="H516" s="12" t="inlineStr"/>
      <c r="I516" s="17" t="n"/>
      <c r="J516" s="17" t="n"/>
    </row>
    <row r="517">
      <c r="A517" s="12" t="inlineStr">
        <is>
          <t>Quote editor</t>
        </is>
      </c>
      <c r="B517" s="12" t="inlineStr">
        <is>
          <t>QM-04</t>
        </is>
      </c>
      <c r="C517" s="12" t="inlineStr">
        <is>
          <t>Money</t>
        </is>
      </c>
      <c r="D517" s="14" t="inlineStr">
        <is>
          <t>Quote totals: lines, discounts, then GST</t>
        </is>
      </c>
      <c r="E517" s="14" t="inlineStr">
        <is>
          <t>Built</t>
        </is>
      </c>
      <c r="F517" s="12" t="inlineStr"/>
      <c r="G517" s="12" t="inlineStr">
        <is>
          <t>6.10, 6.17</t>
        </is>
      </c>
      <c r="H517" s="12" t="inlineStr"/>
      <c r="I517" s="17" t="n"/>
      <c r="J517" s="17" t="n"/>
    </row>
    <row r="518">
      <c r="A518" s="12" t="inlineStr">
        <is>
          <t>Quote editor</t>
        </is>
      </c>
      <c r="B518" s="12" t="inlineStr">
        <is>
          <t>QM-05</t>
        </is>
      </c>
      <c r="C518" s="12" t="inlineStr">
        <is>
          <t>Money</t>
        </is>
      </c>
      <c r="D518" s="14" t="inlineStr">
        <is>
          <t>Stored totals</t>
        </is>
      </c>
      <c r="E518" s="14" t="inlineStr">
        <is>
          <t>Built</t>
        </is>
      </c>
      <c r="F518" s="12" t="inlineStr">
        <is>
          <t>Derived from the lines, never stale</t>
        </is>
      </c>
      <c r="G518" s="12" t="inlineStr"/>
      <c r="H518" s="28" t="inlineStr">
        <is>
          <t>Team check</t>
        </is>
      </c>
      <c r="I518" s="17" t="n"/>
      <c r="J518" s="17" t="n"/>
    </row>
    <row r="519">
      <c r="A519" s="12" t="inlineStr">
        <is>
          <t>Quote editor</t>
        </is>
      </c>
      <c r="B519" s="12" t="inlineStr">
        <is>
          <t>QM-06</t>
        </is>
      </c>
      <c r="C519" s="12" t="inlineStr">
        <is>
          <t>Money</t>
        </is>
      </c>
      <c r="D519" s="14" t="inlineStr">
        <is>
          <t>Line discount in % or S$</t>
        </is>
      </c>
      <c r="E519" s="14" t="inlineStr">
        <is>
          <t>Not built — by design</t>
        </is>
      </c>
      <c r="F519" s="12" t="inlineStr">
        <is>
          <t>Only % per line; named discounts carry amounts (Q-11)</t>
        </is>
      </c>
      <c r="G519" s="12" t="inlineStr"/>
      <c r="H519" s="12" t="inlineStr"/>
      <c r="I519" s="17" t="n"/>
      <c r="J519" s="17" t="n"/>
    </row>
    <row r="520">
      <c r="A520" s="12" t="inlineStr">
        <is>
          <t>Quote editor</t>
        </is>
      </c>
      <c r="B520" s="12" t="inlineStr">
        <is>
          <t>QM-07</t>
        </is>
      </c>
      <c r="C520" s="12" t="inlineStr">
        <is>
          <t>Money</t>
        </is>
      </c>
      <c r="D520" s="14" t="inlineStr">
        <is>
          <t>Document discount</t>
        </is>
      </c>
      <c r="E520" s="14" t="inlineStr">
        <is>
          <t>Built</t>
        </is>
      </c>
      <c r="F520" s="12" t="inlineStr">
        <is>
          <t>Several named discounts per quote</t>
        </is>
      </c>
      <c r="G520" s="12" t="inlineStr">
        <is>
          <t>6.17</t>
        </is>
      </c>
      <c r="H520" s="12" t="inlineStr"/>
      <c r="I520" s="17" t="n"/>
      <c r="J520" s="17" t="n"/>
    </row>
    <row r="521">
      <c r="A521" s="12" t="inlineStr">
        <is>
          <t>Quote editor</t>
        </is>
      </c>
      <c r="B521" s="12" t="inlineStr">
        <is>
          <t>QM-08</t>
        </is>
      </c>
      <c r="C521" s="12" t="inlineStr">
        <is>
          <t>Money</t>
        </is>
      </c>
      <c r="D521" s="14" t="inlineStr">
        <is>
          <t>GST switch, rate and issuing entity</t>
        </is>
      </c>
      <c r="E521" s="14" t="inlineStr">
        <is>
          <t>Built</t>
        </is>
      </c>
      <c r="F521" s="12" t="inlineStr"/>
      <c r="G521" s="12" t="inlineStr">
        <is>
          <t>2.27, 6.17</t>
        </is>
      </c>
      <c r="H521" s="12" t="inlineStr"/>
      <c r="I521" s="17" t="n"/>
      <c r="J521" s="17" t="n"/>
    </row>
    <row r="522">
      <c r="A522" s="12" t="inlineStr">
        <is>
          <t>Quote editor</t>
        </is>
      </c>
      <c r="B522" s="12" t="inlineStr">
        <is>
          <t>QM-09</t>
        </is>
      </c>
      <c r="C522" s="12" t="inlineStr">
        <is>
          <t>Money</t>
        </is>
      </c>
      <c r="D522" s="14" t="inlineStr">
        <is>
          <t>Tax-inclusive line prices</t>
        </is>
      </c>
      <c r="E522" s="14" t="inlineStr">
        <is>
          <t>Later</t>
        </is>
      </c>
      <c r="F522" s="12" t="inlineStr">
        <is>
          <t>Held in the quote templates audit (Q-13)</t>
        </is>
      </c>
      <c r="G522" s="12" t="inlineStr"/>
      <c r="H522" s="12" t="inlineStr"/>
      <c r="I522" s="17" t="n"/>
      <c r="J522" s="17" t="n"/>
    </row>
    <row r="523">
      <c r="A523" s="12" t="inlineStr">
        <is>
          <t>Quote editor</t>
        </is>
      </c>
      <c r="B523" s="12" t="inlineStr">
        <is>
          <t>QM-10</t>
        </is>
      </c>
      <c r="C523" s="12" t="inlineStr">
        <is>
          <t>Money</t>
        </is>
      </c>
      <c r="D523" s="14" t="inlineStr">
        <is>
          <t>Tax override per issuing entity</t>
        </is>
      </c>
      <c r="E523" s="14" t="inlineStr">
        <is>
          <t>Dead</t>
        </is>
      </c>
      <c r="F523" s="12" t="inlineStr">
        <is>
          <t>Stored in 1.0, never used</t>
        </is>
      </c>
      <c r="G523" s="12" t="inlineStr"/>
      <c r="H523" s="12" t="inlineStr"/>
      <c r="I523" s="17" t="n"/>
      <c r="J523" s="17" t="n"/>
    </row>
    <row r="524">
      <c r="A524" s="12" t="inlineStr">
        <is>
          <t>Quote editor</t>
        </is>
      </c>
      <c r="B524" s="12" t="inlineStr">
        <is>
          <t>QM-11</t>
        </is>
      </c>
      <c r="C524" s="12" t="inlineStr">
        <is>
          <t>Money</t>
        </is>
      </c>
      <c r="D524" s="14" t="inlineStr">
        <is>
          <t>Currency</t>
        </is>
      </c>
      <c r="E524" s="14" t="inlineStr">
        <is>
          <t>Built</t>
        </is>
      </c>
      <c r="F524" s="12" t="inlineStr">
        <is>
          <t>S$ only</t>
        </is>
      </c>
      <c r="G524" s="12" t="inlineStr"/>
      <c r="H524" s="28" t="inlineStr">
        <is>
          <t>Team check</t>
        </is>
      </c>
      <c r="I524" s="17" t="n"/>
      <c r="J524" s="17" t="n"/>
    </row>
    <row r="525">
      <c r="A525" s="12" t="inlineStr">
        <is>
          <t>Quote editor</t>
        </is>
      </c>
      <c r="B525" s="12" t="inlineStr">
        <is>
          <t>QM-12</t>
        </is>
      </c>
      <c r="C525" s="12" t="inlineStr">
        <is>
          <t>Money</t>
        </is>
      </c>
      <c r="D525" s="14" t="inlineStr">
        <is>
          <t>Rounding selling prices</t>
        </is>
      </c>
      <c r="E525" s="14" t="inlineStr">
        <is>
          <t>Built</t>
        </is>
      </c>
      <c r="F525" s="12" t="inlineStr"/>
      <c r="G525" s="12" t="inlineStr">
        <is>
          <t>2.28, 6.18</t>
        </is>
      </c>
      <c r="H525" s="12" t="inlineStr"/>
      <c r="I525" s="17" t="n"/>
      <c r="J525" s="17" t="n"/>
    </row>
    <row r="526">
      <c r="A526" s="12" t="inlineStr">
        <is>
          <t>Quote editor</t>
        </is>
      </c>
      <c r="B526" s="12" t="inlineStr">
        <is>
          <t>QM-13</t>
        </is>
      </c>
      <c r="C526" s="12" t="inlineStr">
        <is>
          <t>Money</t>
        </is>
      </c>
      <c r="D526" s="14" t="inlineStr">
        <is>
          <t>Warning when a line sells below cost</t>
        </is>
      </c>
      <c r="E526" s="14" t="inlineStr">
        <is>
          <t>Built in parity round 1</t>
        </is>
      </c>
      <c r="F526" s="12" t="inlineStr"/>
      <c r="G526" s="12" t="inlineStr">
        <is>
          <t>6.15</t>
        </is>
      </c>
      <c r="H526" s="12" t="inlineStr"/>
      <c r="I526" s="17" t="n"/>
      <c r="J526" s="17" t="n"/>
    </row>
    <row r="527">
      <c r="A527" s="12" t="inlineStr">
        <is>
          <t>Quote editor</t>
        </is>
      </c>
      <c r="B527" s="12" t="inlineStr">
        <is>
          <t>QM-14</t>
        </is>
      </c>
      <c r="C527" s="12" t="inlineStr">
        <is>
          <t>Money</t>
        </is>
      </c>
      <c r="D527" s="14" t="inlineStr">
        <is>
          <t>Quote margin</t>
        </is>
      </c>
      <c r="E527" s="14" t="inlineStr">
        <is>
          <t>Built</t>
        </is>
      </c>
      <c r="F527" s="12" t="inlineStr"/>
      <c r="G527" s="12" t="inlineStr">
        <is>
          <t>6.18</t>
        </is>
      </c>
      <c r="H527" s="12" t="inlineStr"/>
      <c r="I527" s="17" t="n"/>
      <c r="J527" s="17" t="n"/>
    </row>
    <row r="528">
      <c r="A528" s="12" t="inlineStr">
        <is>
          <t>Quote editor</t>
        </is>
      </c>
      <c r="B528" s="12" t="inlineStr">
        <is>
          <t>QM-15</t>
        </is>
      </c>
      <c r="C528" s="12" t="inlineStr">
        <is>
          <t>Money</t>
        </is>
      </c>
      <c r="D528" s="14" t="inlineStr">
        <is>
          <t>Margin per category</t>
        </is>
      </c>
      <c r="E528" s="14" t="inlineStr">
        <is>
          <t>Built in parity round 1</t>
        </is>
      </c>
      <c r="F528" s="12" t="inlineStr"/>
      <c r="G528" s="12" t="inlineStr">
        <is>
          <t>6.18</t>
        </is>
      </c>
      <c r="H528" s="12" t="inlineStr"/>
      <c r="I528" s="17" t="n"/>
      <c r="J528" s="17" t="n"/>
    </row>
    <row r="529">
      <c r="A529" s="12" t="inlineStr">
        <is>
          <t>Quote editor</t>
        </is>
      </c>
      <c r="B529" s="12" t="inlineStr">
        <is>
          <t>QM-16</t>
        </is>
      </c>
      <c r="C529" s="12" t="inlineStr">
        <is>
          <t>Money</t>
        </is>
      </c>
      <c r="D529" s="14" t="inlineStr">
        <is>
          <t>Cost and markup never printed for the client</t>
        </is>
      </c>
      <c r="E529" s="14" t="inlineStr">
        <is>
          <t>Built</t>
        </is>
      </c>
      <c r="F529" s="12" t="inlineStr"/>
      <c r="G529" s="12" t="inlineStr">
        <is>
          <t>6.18, 6.24, 6.25</t>
        </is>
      </c>
      <c r="H529" s="12" t="inlineStr"/>
      <c r="I529" s="17" t="n"/>
      <c r="J529" s="17" t="n"/>
    </row>
    <row r="530">
      <c r="A530" s="12" t="inlineStr">
        <is>
          <t>Quote editor</t>
        </is>
      </c>
      <c r="B530" s="12" t="inlineStr">
        <is>
          <t>QM-17</t>
        </is>
      </c>
      <c r="C530" s="12" t="inlineStr">
        <is>
          <t>Money</t>
        </is>
      </c>
      <c r="D530" s="14" t="inlineStr">
        <is>
          <t>AI money helpers</t>
        </is>
      </c>
      <c r="E530" s="14" t="inlineStr">
        <is>
          <t>Built</t>
        </is>
      </c>
      <c r="F530" s="12" t="inlineStr">
        <is>
          <t>Maison AI flags below-cost and thin-margin lines, sets one markup, by rule (S04)</t>
        </is>
      </c>
      <c r="G530" s="12" t="inlineStr"/>
      <c r="H530" s="28" t="inlineStr">
        <is>
          <t>Team check</t>
        </is>
      </c>
      <c r="I530" s="17" t="n"/>
      <c r="J530" s="17" t="n"/>
    </row>
    <row r="531">
      <c r="A531" s="12" t="inlineStr">
        <is>
          <t>Quote editor</t>
        </is>
      </c>
      <c r="B531" s="12" t="inlineStr">
        <is>
          <t>QM-18</t>
        </is>
      </c>
      <c r="C531" s="12" t="inlineStr">
        <is>
          <t>Money</t>
        </is>
      </c>
      <c r="D531" s="14" t="inlineStr">
        <is>
          <t>Approval thresholds by amount or margin</t>
        </is>
      </c>
      <c r="E531" s="14" t="inlineStr">
        <is>
          <t>Dead</t>
        </is>
      </c>
      <c r="F531" s="12" t="inlineStr">
        <is>
          <t>Saved but never read in 1.0 (Q-24)</t>
        </is>
      </c>
      <c r="G531" s="12" t="inlineStr"/>
      <c r="H531" s="12" t="inlineStr"/>
      <c r="I531" s="17" t="n"/>
      <c r="J531" s="17" t="n"/>
    </row>
    <row r="532">
      <c r="A532" s="12" t="inlineStr">
        <is>
          <t>Quote editor</t>
        </is>
      </c>
      <c r="B532" s="12" t="inlineStr">
        <is>
          <t>QM-19</t>
        </is>
      </c>
      <c r="C532" s="12" t="inlineStr">
        <is>
          <t>Money</t>
        </is>
      </c>
      <c r="D532" s="14" t="inlineStr">
        <is>
          <t>Rebates on lines</t>
        </is>
      </c>
      <c r="E532" s="14" t="inlineStr">
        <is>
          <t>2.0 only</t>
        </is>
      </c>
      <c r="F532" s="12" t="inlineStr">
        <is>
          <t>Owners only, never printed</t>
        </is>
      </c>
      <c r="G532" s="12" t="inlineStr"/>
      <c r="H532" s="28" t="inlineStr">
        <is>
          <t>Team check</t>
        </is>
      </c>
      <c r="I532" s="17" t="n"/>
      <c r="J532" s="17" t="n"/>
    </row>
    <row r="533">
      <c r="A533" s="12" t="inlineStr">
        <is>
          <t>Quote editor</t>
        </is>
      </c>
      <c r="B533" s="12" t="inlineStr">
        <is>
          <t>QP-01</t>
        </is>
      </c>
      <c r="C533" s="12" t="inlineStr">
        <is>
          <t>The price book</t>
        </is>
      </c>
      <c r="D533" s="14" t="inlineStr">
        <is>
          <t>Where the price book lives and who edits it</t>
        </is>
      </c>
      <c r="E533" s="14" t="inlineStr">
        <is>
          <t>Built</t>
        </is>
      </c>
      <c r="F533" s="12" t="inlineStr"/>
      <c r="G533" s="12" t="inlineStr">
        <is>
          <t>3.01</t>
        </is>
      </c>
      <c r="H533" s="12" t="inlineStr"/>
      <c r="I533" s="17" t="n"/>
      <c r="J533" s="17" t="n"/>
    </row>
    <row r="534">
      <c r="A534" s="12" t="inlineStr">
        <is>
          <t>Quote editor</t>
        </is>
      </c>
      <c r="B534" s="12" t="inlineStr">
        <is>
          <t>QP-02</t>
        </is>
      </c>
      <c r="C534" s="12" t="inlineStr">
        <is>
          <t>The price book</t>
        </is>
      </c>
      <c r="D534" s="14" t="inlineStr">
        <is>
          <t>What a price-book item holds</t>
        </is>
      </c>
      <c r="E534" s="14" t="inlineStr">
        <is>
          <t>Built in parity round 3</t>
        </is>
      </c>
      <c r="F534" s="12" t="inlineStr">
        <is>
          <t>Price book parity added the link; no SKU or tags</t>
        </is>
      </c>
      <c r="G534" s="12" t="inlineStr">
        <is>
          <t>3.03</t>
        </is>
      </c>
      <c r="H534" s="12" t="inlineStr"/>
      <c r="I534" s="17" t="n"/>
      <c r="J534" s="17" t="n"/>
    </row>
    <row r="535">
      <c r="A535" s="12" t="inlineStr">
        <is>
          <t>Quote editor</t>
        </is>
      </c>
      <c r="B535" s="12" t="inlineStr">
        <is>
          <t>QP-03</t>
        </is>
      </c>
      <c r="C535" s="12" t="inlineStr">
        <is>
          <t>The price book</t>
        </is>
      </c>
      <c r="D535" s="14" t="inlineStr">
        <is>
          <t>Price book lists, filters and reorder</t>
        </is>
      </c>
      <c r="E535" s="14" t="inlineStr">
        <is>
          <t>Built</t>
        </is>
      </c>
      <c r="F535" s="12" t="inlineStr">
        <is>
          <t>Drag reorder not kept</t>
        </is>
      </c>
      <c r="G535" s="12" t="inlineStr">
        <is>
          <t>3.07</t>
        </is>
      </c>
      <c r="H535" s="12" t="inlineStr"/>
      <c r="I535" s="17" t="n"/>
      <c r="J535" s="17" t="n"/>
    </row>
    <row r="536">
      <c r="A536" s="12" t="inlineStr">
        <is>
          <t>Quote editor</t>
        </is>
      </c>
      <c r="B536" s="12" t="inlineStr">
        <is>
          <t>QP-04</t>
        </is>
      </c>
      <c r="C536" s="12" t="inlineStr">
        <is>
          <t>The price book</t>
        </is>
      </c>
      <c r="D536" s="14" t="inlineStr">
        <is>
          <t>Approval of items a member adds</t>
        </is>
      </c>
      <c r="E536" s="14" t="inlineStr">
        <is>
          <t>Built in parity round 2</t>
        </is>
      </c>
      <c r="F536" s="12" t="inlineStr">
        <is>
          <t>Price book parity: proposals an Owner or Admin approves</t>
        </is>
      </c>
      <c r="G536" s="12" t="inlineStr">
        <is>
          <t>3.09</t>
        </is>
      </c>
      <c r="H536" s="12" t="inlineStr"/>
      <c r="I536" s="17" t="n"/>
      <c r="J536" s="17" t="n"/>
    </row>
    <row r="537">
      <c r="A537" s="12" t="inlineStr">
        <is>
          <t>Quote editor</t>
        </is>
      </c>
      <c r="B537" s="12" t="inlineStr">
        <is>
          <t>QP-05</t>
        </is>
      </c>
      <c r="C537" s="12" t="inlineStr">
        <is>
          <t>The price book</t>
        </is>
      </c>
      <c r="D537" s="14" t="inlineStr">
        <is>
          <t>Archive, restore and delete items</t>
        </is>
      </c>
      <c r="E537" s="14" t="inlineStr">
        <is>
          <t>Built</t>
        </is>
      </c>
      <c r="F537" s="12" t="inlineStr"/>
      <c r="G537" s="12" t="inlineStr">
        <is>
          <t>3.14</t>
        </is>
      </c>
      <c r="H537" s="12" t="inlineStr"/>
      <c r="I537" s="17" t="n"/>
      <c r="J537" s="17" t="n"/>
    </row>
    <row r="538">
      <c r="A538" s="12" t="inlineStr">
        <is>
          <t>Quote editor</t>
        </is>
      </c>
      <c r="B538" s="12" t="inlineStr">
        <is>
          <t>QP-06</t>
        </is>
      </c>
      <c r="C538" s="12" t="inlineStr">
        <is>
          <t>The price book</t>
        </is>
      </c>
      <c r="D538" s="14" t="inlineStr">
        <is>
          <t>Price history per item</t>
        </is>
      </c>
      <c r="E538" s="14" t="inlineStr">
        <is>
          <t>Built in parity round 2</t>
        </is>
      </c>
      <c r="F538" s="12" t="inlineStr">
        <is>
          <t>Price book parity: the item’s History</t>
        </is>
      </c>
      <c r="G538" s="12" t="inlineStr">
        <is>
          <t>3.06</t>
        </is>
      </c>
      <c r="H538" s="12" t="inlineStr"/>
      <c r="I538" s="17" t="n"/>
      <c r="J538" s="17" t="n"/>
    </row>
    <row r="539">
      <c r="A539" s="12" t="inlineStr">
        <is>
          <t>Quote editor</t>
        </is>
      </c>
      <c r="B539" s="12" t="inlineStr">
        <is>
          <t>QP-07</t>
        </is>
      </c>
      <c r="C539" s="12" t="inlineStr">
        <is>
          <t>The price book</t>
        </is>
      </c>
      <c r="D539" s="14" t="inlineStr">
        <is>
          <t>SKU numbers (PB-NNN)</t>
        </is>
      </c>
      <c r="E539" s="14" t="inlineStr">
        <is>
          <t>Not built — by design</t>
        </is>
      </c>
      <c r="F539" s="12" t="inlineStr">
        <is>
          <t>Not kept (price book Q-08)</t>
        </is>
      </c>
      <c r="G539" s="12" t="inlineStr"/>
      <c r="H539" s="12" t="inlineStr"/>
      <c r="I539" s="17" t="n"/>
      <c r="J539" s="17" t="n"/>
    </row>
    <row r="540">
      <c r="A540" s="12" t="inlineStr">
        <is>
          <t>Quote editor</t>
        </is>
      </c>
      <c r="B540" s="12" t="inlineStr">
        <is>
          <t>QP-08</t>
        </is>
      </c>
      <c r="C540" s="12" t="inlineStr">
        <is>
          <t>The price book</t>
        </is>
      </c>
      <c r="D540" s="14" t="inlineStr">
        <is>
          <t>Vendor directory with default markups</t>
        </is>
      </c>
      <c r="E540" s="14" t="inlineStr">
        <is>
          <t>Built</t>
        </is>
      </c>
      <c r="F540" s="12" t="inlineStr">
        <is>
          <t>Company › Finance › Vendors, picked in the Price book (S12); no default markups</t>
        </is>
      </c>
      <c r="G540" s="12" t="inlineStr">
        <is>
          <t>3.02</t>
        </is>
      </c>
      <c r="H540" s="12" t="inlineStr"/>
      <c r="I540" s="17" t="n"/>
      <c r="J540" s="17" t="n"/>
    </row>
    <row r="541">
      <c r="A541" s="12" t="inlineStr">
        <is>
          <t>Quote editor</t>
        </is>
      </c>
      <c r="B541" s="12" t="inlineStr">
        <is>
          <t>QP-09</t>
        </is>
      </c>
      <c r="C541" s="12" t="inlineStr">
        <is>
          <t>The price book</t>
        </is>
      </c>
      <c r="D541" s="14" t="inlineStr">
        <is>
          <t>Market rates and crowd signals</t>
        </is>
      </c>
      <c r="E541" s="14" t="inlineStr">
        <is>
          <t>Platform</t>
        </is>
      </c>
      <c r="F541" s="12" t="inlineStr"/>
      <c r="G541" s="12" t="inlineStr"/>
      <c r="H541" s="12" t="inlineStr"/>
      <c r="I541" s="17" t="n"/>
      <c r="J541" s="17" t="n"/>
    </row>
    <row r="542">
      <c r="A542" s="12" t="inlineStr">
        <is>
          <t>Quote editor</t>
        </is>
      </c>
      <c r="B542" s="12" t="inlineStr">
        <is>
          <t>QP-10</t>
        </is>
      </c>
      <c r="C542" s="12" t="inlineStr">
        <is>
          <t>The price book</t>
        </is>
      </c>
      <c r="D542" s="14" t="inlineStr">
        <is>
          <t>Import from CSV or AI</t>
        </is>
      </c>
      <c r="E542" s="14" t="inlineStr">
        <is>
          <t>Built</t>
        </is>
      </c>
      <c r="F542" s="12" t="inlineStr">
        <is>
          <t>AI reading is the platform’s</t>
        </is>
      </c>
      <c r="G542" s="12" t="inlineStr">
        <is>
          <t>3.12</t>
        </is>
      </c>
      <c r="H542" s="12" t="inlineStr"/>
      <c r="I542" s="17" t="n"/>
      <c r="J542" s="17" t="n"/>
    </row>
    <row r="543">
      <c r="A543" s="12" t="inlineStr">
        <is>
          <t>Quote editor</t>
        </is>
      </c>
      <c r="B543" s="12" t="inlineStr">
        <is>
          <t>QP-11</t>
        </is>
      </c>
      <c r="C543" s="12" t="inlineStr">
        <is>
          <t>The price book</t>
        </is>
      </c>
      <c r="D543" s="14" t="inlineStr">
        <is>
          <t>Export the price book</t>
        </is>
      </c>
      <c r="E543" s="14" t="inlineStr">
        <is>
          <t>Built in parity round 5</t>
        </is>
      </c>
      <c r="F543" s="12" t="inlineStr"/>
      <c r="G543" s="12" t="inlineStr">
        <is>
          <t>3.11</t>
        </is>
      </c>
      <c r="H543" s="12" t="inlineStr"/>
      <c r="I543" s="17" t="n"/>
      <c r="J543" s="17" t="n"/>
    </row>
    <row r="544">
      <c r="A544" s="12" t="inlineStr">
        <is>
          <t>Quote editor</t>
        </is>
      </c>
      <c r="B544" s="12" t="inlineStr">
        <is>
          <t>QP-12</t>
        </is>
      </c>
      <c r="C544" s="12" t="inlineStr">
        <is>
          <t>The price book</t>
        </is>
      </c>
      <c r="D544" s="14" t="inlineStr">
        <is>
          <t>Picking price-book items in the quote</t>
        </is>
      </c>
      <c r="E544" s="14" t="inlineStr">
        <is>
          <t>Built</t>
        </is>
      </c>
      <c r="F544" s="12" t="inlineStr">
        <is>
          <t>Typeahead plus the Price book window’s ticks</t>
        </is>
      </c>
      <c r="G544" s="12" t="inlineStr">
        <is>
          <t>6.05, 6.06</t>
        </is>
      </c>
      <c r="H544" s="12" t="inlineStr"/>
      <c r="I544" s="17" t="n"/>
      <c r="J544" s="17" t="n"/>
    </row>
    <row r="545">
      <c r="A545" s="12" t="inlineStr">
        <is>
          <t>Quote editor</t>
        </is>
      </c>
      <c r="B545" s="12" t="inlineStr">
        <is>
          <t>QP-13</t>
        </is>
      </c>
      <c r="C545" s="12" t="inlineStr">
        <is>
          <t>The price book</t>
        </is>
      </c>
      <c r="D545" s="14" t="inlineStr">
        <is>
          <t>Save a quote line to the book</t>
        </is>
      </c>
      <c r="E545" s="14" t="inlineStr">
        <is>
          <t>Built</t>
        </is>
      </c>
      <c r="F545" s="12" t="inlineStr"/>
      <c r="G545" s="12" t="inlineStr">
        <is>
          <t>6.06</t>
        </is>
      </c>
      <c r="H545" s="12" t="inlineStr"/>
      <c r="I545" s="17" t="n"/>
      <c r="J545" s="17" t="n"/>
    </row>
    <row r="546">
      <c r="A546" s="12" t="inlineStr">
        <is>
          <t>Quote editor</t>
        </is>
      </c>
      <c r="B546" s="12" t="inlineStr">
        <is>
          <t>QP-14</t>
        </is>
      </c>
      <c r="C546" s="12" t="inlineStr">
        <is>
          <t>The price book</t>
        </is>
      </c>
      <c r="D546" s="14" t="inlineStr">
        <is>
          <t>Auto-match and AI search</t>
        </is>
      </c>
      <c r="E546" s="14" t="inlineStr">
        <is>
          <t>Built</t>
        </is>
      </c>
      <c r="F546" s="12" t="inlineStr">
        <is>
          <t>“Match N lines” to My Items by rule, also after an upload (S12)</t>
        </is>
      </c>
      <c r="G546" s="12" t="inlineStr"/>
      <c r="H546" s="28" t="inlineStr">
        <is>
          <t>Team check</t>
        </is>
      </c>
      <c r="I546" s="17" t="n"/>
      <c r="J546" s="17" t="n"/>
    </row>
    <row r="547">
      <c r="A547" s="12" t="inlineStr">
        <is>
          <t>Quote editor</t>
        </is>
      </c>
      <c r="B547" s="12" t="inlineStr">
        <is>
          <t>QP-15</t>
        </is>
      </c>
      <c r="C547" s="12" t="inlineStr">
        <is>
          <t>The price book</t>
        </is>
      </c>
      <c r="D547" s="14" t="inlineStr">
        <is>
          <t>Price snapshots</t>
        </is>
      </c>
      <c r="E547" s="14" t="inlineStr">
        <is>
          <t>Dead</t>
        </is>
      </c>
      <c r="F547" s="12" t="inlineStr">
        <is>
          <t>Written, never read in 1.0</t>
        </is>
      </c>
      <c r="G547" s="12" t="inlineStr"/>
      <c r="H547" s="12" t="inlineStr"/>
      <c r="I547" s="17" t="n"/>
      <c r="J547" s="17" t="n"/>
    </row>
    <row r="548">
      <c r="A548" s="12" t="inlineStr">
        <is>
          <t>Quote editor</t>
        </is>
      </c>
      <c r="B548" s="12" t="inlineStr">
        <is>
          <t>QP-16</t>
        </is>
      </c>
      <c r="C548" s="12" t="inlineStr">
        <is>
          <t>The price book</t>
        </is>
      </c>
      <c r="D548" s="14" t="inlineStr">
        <is>
          <t>Volume price tiers</t>
        </is>
      </c>
      <c r="E548" s="14" t="inlineStr">
        <is>
          <t>Not built — by design</t>
        </is>
      </c>
      <c r="F548" s="12" t="inlineStr">
        <is>
          <t>Declined in the price book audit (Q-06)</t>
        </is>
      </c>
      <c r="G548" s="12" t="inlineStr"/>
      <c r="H548" s="12" t="inlineStr"/>
      <c r="I548" s="17" t="n"/>
      <c r="J548" s="17" t="n"/>
    </row>
    <row r="549">
      <c r="A549" s="12" t="inlineStr">
        <is>
          <t>Quote editor</t>
        </is>
      </c>
      <c r="B549" s="12" t="inlineStr">
        <is>
          <t>QG-01</t>
        </is>
      </c>
      <c r="C549" s="12" t="inlineStr">
        <is>
          <t>Getting lines in</t>
        </is>
      </c>
      <c r="D549" s="14" t="inlineStr">
        <is>
          <t>Add a line by hand</t>
        </is>
      </c>
      <c r="E549" s="14" t="inlineStr">
        <is>
          <t>Built</t>
        </is>
      </c>
      <c r="F549" s="12" t="inlineStr"/>
      <c r="G549" s="12" t="inlineStr">
        <is>
          <t>6.05</t>
        </is>
      </c>
      <c r="H549" s="12" t="inlineStr"/>
      <c r="I549" s="17" t="n"/>
      <c r="J549" s="17" t="n"/>
    </row>
    <row r="550">
      <c r="A550" s="12" t="inlineStr">
        <is>
          <t>Quote editor</t>
        </is>
      </c>
      <c r="B550" s="12" t="inlineStr">
        <is>
          <t>QG-02</t>
        </is>
      </c>
      <c r="C550" s="12" t="inlineStr">
        <is>
          <t>Getting lines in</t>
        </is>
      </c>
      <c r="D550" s="14" t="inlineStr">
        <is>
          <t>Packages of lines</t>
        </is>
      </c>
      <c r="E550" s="14" t="inlineStr">
        <is>
          <t>Built</t>
        </is>
      </c>
      <c r="F550" s="12" t="inlineStr">
        <is>
          <t>My Sections</t>
        </is>
      </c>
      <c r="G550" s="12" t="inlineStr">
        <is>
          <t>3.16</t>
        </is>
      </c>
      <c r="H550" s="12" t="inlineStr"/>
      <c r="I550" s="17" t="n"/>
      <c r="J550" s="17" t="n"/>
    </row>
    <row r="551">
      <c r="A551" s="12" t="inlineStr">
        <is>
          <t>Quote editor</t>
        </is>
      </c>
      <c r="B551" s="12" t="inlineStr">
        <is>
          <t>QG-03</t>
        </is>
      </c>
      <c r="C551" s="12" t="inlineStr">
        <is>
          <t>Getting lines in</t>
        </is>
      </c>
      <c r="D551" s="14" t="inlineStr">
        <is>
          <t>Starter quote by project type</t>
        </is>
      </c>
      <c r="E551" s="14" t="inlineStr">
        <is>
          <t>Later</t>
        </is>
      </c>
      <c r="F551" s="12" t="inlineStr">
        <is>
          <t>Held in the quote templates audit (Q-07)</t>
        </is>
      </c>
      <c r="G551" s="12" t="inlineStr"/>
      <c r="H551" s="12" t="inlineStr"/>
      <c r="I551" s="17" t="n"/>
      <c r="J551" s="17" t="n"/>
    </row>
    <row r="552">
      <c r="A552" s="12" t="inlineStr">
        <is>
          <t>Quote editor</t>
        </is>
      </c>
      <c r="B552" s="12" t="inlineStr">
        <is>
          <t>QG-04</t>
        </is>
      </c>
      <c r="C552" s="12" t="inlineStr">
        <is>
          <t>Getting lines in</t>
        </is>
      </c>
      <c r="D552" s="14" t="inlineStr">
        <is>
          <t>Templates as a source of lines</t>
        </is>
      </c>
      <c r="E552" s="14" t="inlineStr">
        <is>
          <t>Built</t>
        </is>
      </c>
      <c r="F552" s="12" t="inlineStr">
        <is>
          <t>Templates start sections; My Sections carry lines</t>
        </is>
      </c>
      <c r="G552" s="12" t="inlineStr">
        <is>
          <t>6.01</t>
        </is>
      </c>
      <c r="H552" s="12" t="inlineStr"/>
      <c r="I552" s="17" t="n"/>
      <c r="J552" s="17" t="n"/>
    </row>
    <row r="553">
      <c r="A553" s="12" t="inlineStr">
        <is>
          <t>Quote editor</t>
        </is>
      </c>
      <c r="B553" s="12" t="inlineStr">
        <is>
          <t>QG-05</t>
        </is>
      </c>
      <c r="C553" s="12" t="inlineStr">
        <is>
          <t>Getting lines in</t>
        </is>
      </c>
      <c r="D553" s="14" t="inlineStr">
        <is>
          <t>Quote Digitizer: upload an existing quote</t>
        </is>
      </c>
      <c r="E553" s="14" t="inlineStr">
        <is>
          <t>Built in parity round 5</t>
        </is>
      </c>
      <c r="F553" s="12" t="inlineStr">
        <is>
          <t>Sheets and text PDFs read by their own words; a photo refused, credits back (S42)</t>
        </is>
      </c>
      <c r="G553" s="12" t="inlineStr">
        <is>
          <t>6.41</t>
        </is>
      </c>
      <c r="H553" s="12" t="inlineStr"/>
      <c r="I553" s="17" t="n"/>
      <c r="J553" s="17" t="n"/>
    </row>
    <row r="554">
      <c r="A554" s="12" t="inlineStr">
        <is>
          <t>Quote editor</t>
        </is>
      </c>
      <c r="B554" s="12" t="inlineStr">
        <is>
          <t>QG-06</t>
        </is>
      </c>
      <c r="C554" s="12" t="inlineStr">
        <is>
          <t>Getting lines in</t>
        </is>
      </c>
      <c r="D554" s="14" t="inlineStr">
        <is>
          <t>AI hints per line</t>
        </is>
      </c>
      <c r="E554" s="14" t="inlineStr">
        <is>
          <t>Built</t>
        </is>
      </c>
      <c r="F554" s="12" t="inlineStr">
        <is>
          <t>Maison AI’s line hints by rule; market and upsell hints not built (S04)</t>
        </is>
      </c>
      <c r="G554" s="12" t="inlineStr"/>
      <c r="H554" s="28" t="inlineStr">
        <is>
          <t>Team check</t>
        </is>
      </c>
      <c r="I554" s="17" t="n"/>
      <c r="J554" s="17" t="n"/>
    </row>
    <row r="555">
      <c r="A555" s="12" t="inlineStr">
        <is>
          <t>Quote editor</t>
        </is>
      </c>
      <c r="B555" s="12" t="inlineStr">
        <is>
          <t>QG-07</t>
        </is>
      </c>
      <c r="C555" s="12" t="inlineStr">
        <is>
          <t>Getting lines in</t>
        </is>
      </c>
      <c r="D555" s="14" t="inlineStr">
        <is>
          <t>Chat with AI to draft a quote</t>
        </is>
      </c>
      <c r="E555" s="14" t="inlineStr">
        <is>
          <t>Built</t>
        </is>
      </c>
      <c r="F555" s="12" t="inlineStr">
        <is>
          <t>Draft with Maison AI: a brief becomes a first cut, by rule (S04)</t>
        </is>
      </c>
      <c r="G555" s="12" t="inlineStr"/>
      <c r="H555" s="28" t="inlineStr">
        <is>
          <t>Team check</t>
        </is>
      </c>
      <c r="I555" s="17" t="n"/>
      <c r="J555" s="17" t="n"/>
    </row>
    <row r="556">
      <c r="A556" s="12" t="inlineStr">
        <is>
          <t>Quote editor</t>
        </is>
      </c>
      <c r="B556" s="12" t="inlineStr">
        <is>
          <t>QG-08</t>
        </is>
      </c>
      <c r="C556" s="12" t="inlineStr">
        <is>
          <t>Getting lines in</t>
        </is>
      </c>
      <c r="D556" s="14" t="inlineStr">
        <is>
          <t>AI tiers, the import route and comparison</t>
        </is>
      </c>
      <c r="E556" s="14" t="inlineStr">
        <is>
          <t>Dead</t>
        </is>
      </c>
      <c r="F556" s="12" t="inlineStr"/>
      <c r="G556" s="12" t="inlineStr"/>
      <c r="H556" s="12" t="inlineStr"/>
      <c r="I556" s="17" t="n"/>
      <c r="J556" s="17" t="n"/>
    </row>
    <row r="557">
      <c r="A557" s="12" t="inlineStr">
        <is>
          <t>Quote editor</t>
        </is>
      </c>
      <c r="B557" s="12" t="inlineStr">
        <is>
          <t>QG-09</t>
        </is>
      </c>
      <c r="C557" s="12" t="inlineStr">
        <is>
          <t>Getting lines in</t>
        </is>
      </c>
      <c r="D557" s="14" t="inlineStr">
        <is>
          <t>Lines from a meeting brief</t>
        </is>
      </c>
      <c r="E557" s="14" t="inlineStr">
        <is>
          <t>Built</t>
        </is>
      </c>
      <c r="F557" s="12" t="inlineStr">
        <is>
          <t>A meeting’s brief › “Make a draft quote” (S23)</t>
        </is>
      </c>
      <c r="G557" s="12" t="inlineStr"/>
      <c r="H557" s="28" t="inlineStr">
        <is>
          <t>Team check</t>
        </is>
      </c>
      <c r="I557" s="17" t="n"/>
      <c r="J557" s="17" t="n"/>
    </row>
    <row r="558">
      <c r="A558" s="12" t="inlineStr">
        <is>
          <t>Quote editor</t>
        </is>
      </c>
      <c r="B558" s="12" t="inlineStr">
        <is>
          <t>QN-01</t>
        </is>
      </c>
      <c r="C558" s="12" t="inlineStr">
        <is>
          <t>Many quotes per lead</t>
        </is>
      </c>
      <c r="D558" s="14" t="inlineStr">
        <is>
          <t>Create a quote</t>
        </is>
      </c>
      <c r="E558" s="14" t="inlineStr">
        <is>
          <t>Built</t>
        </is>
      </c>
      <c r="F558" s="12" t="inlineStr"/>
      <c r="G558" s="12" t="inlineStr">
        <is>
          <t>6.01</t>
        </is>
      </c>
      <c r="H558" s="12" t="inlineStr"/>
      <c r="I558" s="17" t="n"/>
      <c r="J558" s="17" t="n"/>
    </row>
    <row r="559">
      <c r="A559" s="12" t="inlineStr">
        <is>
          <t>Quote editor</t>
        </is>
      </c>
      <c r="B559" s="12" t="inlineStr">
        <is>
          <t>QN-02</t>
        </is>
      </c>
      <c r="C559" s="12" t="inlineStr">
        <is>
          <t>Many quotes per lead</t>
        </is>
      </c>
      <c r="D559" s="14" t="inlineStr">
        <is>
          <t>One primary quote per lead</t>
        </is>
      </c>
      <c r="E559" s="14" t="inlineStr">
        <is>
          <t>Not built — by design</t>
        </is>
      </c>
      <c r="F559" s="12" t="inlineStr">
        <is>
          <t>No primary quote (Q-03)</t>
        </is>
      </c>
      <c r="G559" s="12" t="inlineStr"/>
      <c r="H559" s="12" t="inlineStr"/>
      <c r="I559" s="17" t="n"/>
      <c r="J559" s="17" t="n"/>
    </row>
    <row r="560">
      <c r="A560" s="12" t="inlineStr">
        <is>
          <t>Quote editor</t>
        </is>
      </c>
      <c r="B560" s="12" t="inlineStr">
        <is>
          <t>QN-03</t>
        </is>
      </c>
      <c r="C560" s="12" t="inlineStr">
        <is>
          <t>Many quotes per lead</t>
        </is>
      </c>
      <c r="D560" s="14" t="inlineStr">
        <is>
          <t>Lists of quotes</t>
        </is>
      </c>
      <c r="E560" s="14" t="inlineStr">
        <is>
          <t>Built</t>
        </is>
      </c>
      <c r="F560" s="12" t="inlineStr"/>
      <c r="G560" s="12" t="inlineStr">
        <is>
          <t>6.40, 11.11</t>
        </is>
      </c>
      <c r="H560" s="12" t="inlineStr"/>
      <c r="I560" s="17" t="n"/>
      <c r="J560" s="17" t="n"/>
    </row>
    <row r="561">
      <c r="A561" s="12" t="inlineStr">
        <is>
          <t>Quote editor</t>
        </is>
      </c>
      <c r="B561" s="12" t="inlineStr">
        <is>
          <t>QN-04</t>
        </is>
      </c>
      <c r="C561" s="12" t="inlineStr">
        <is>
          <t>Many quotes per lead</t>
        </is>
      </c>
      <c r="D561" s="14" t="inlineStr">
        <is>
          <t>Rename a quote</t>
        </is>
      </c>
      <c r="E561" s="14" t="inlineStr">
        <is>
          <t>Built</t>
        </is>
      </c>
      <c r="F561" s="12" t="inlineStr"/>
      <c r="G561" s="12" t="inlineStr">
        <is>
          <t>6.03</t>
        </is>
      </c>
      <c r="H561" s="12" t="inlineStr"/>
      <c r="I561" s="17" t="n"/>
      <c r="J561" s="17" t="n"/>
    </row>
    <row r="562">
      <c r="A562" s="12" t="inlineStr">
        <is>
          <t>Quote editor</t>
        </is>
      </c>
      <c r="B562" s="12" t="inlineStr">
        <is>
          <t>QN-05</t>
        </is>
      </c>
      <c r="C562" s="12" t="inlineStr">
        <is>
          <t>Many quotes per lead</t>
        </is>
      </c>
      <c r="D562" s="14" t="inlineStr">
        <is>
          <t>Clone a quote</t>
        </is>
      </c>
      <c r="E562" s="14" t="inlineStr">
        <is>
          <t>Built</t>
        </is>
      </c>
      <c r="F562" s="12" t="inlineStr">
        <is>
          <t>A copy starts clean (fixed in round 2)</t>
        </is>
      </c>
      <c r="G562" s="12" t="inlineStr"/>
      <c r="H562" s="28" t="inlineStr">
        <is>
          <t>Team check</t>
        </is>
      </c>
      <c r="I562" s="17" t="n"/>
      <c r="J562" s="17" t="n"/>
    </row>
    <row r="563">
      <c r="A563" s="12" t="inlineStr">
        <is>
          <t>Quote editor</t>
        </is>
      </c>
      <c r="B563" s="12" t="inlineStr">
        <is>
          <t>QN-06</t>
        </is>
      </c>
      <c r="C563" s="12" t="inlineStr">
        <is>
          <t>Many quotes per lead</t>
        </is>
      </c>
      <c r="D563" s="14" t="inlineStr">
        <is>
          <t>Delete a quote</t>
        </is>
      </c>
      <c r="E563" s="14" t="inlineStr">
        <is>
          <t>Built in parity round 3</t>
        </is>
      </c>
      <c r="F563" s="12" t="inlineStr">
        <is>
          <t>Soft delete, Deleted Quotes, who may (Q-27, Q-28)</t>
        </is>
      </c>
      <c r="G563" s="12" t="inlineStr">
        <is>
          <t>6.42, 6.43</t>
        </is>
      </c>
      <c r="H563" s="12" t="inlineStr"/>
      <c r="I563" s="17" t="n"/>
      <c r="J563" s="17" t="n"/>
    </row>
    <row r="564">
      <c r="A564" s="12" t="inlineStr">
        <is>
          <t>Quote editor</t>
        </is>
      </c>
      <c r="B564" s="12" t="inlineStr">
        <is>
          <t>QN-07</t>
        </is>
      </c>
      <c r="C564" s="12" t="inlineStr">
        <is>
          <t>Many quotes per lead</t>
        </is>
      </c>
      <c r="D564" s="14" t="inlineStr">
        <is>
          <t>Quote numbers</t>
        </is>
      </c>
      <c r="E564" s="14" t="inlineStr">
        <is>
          <t>Built</t>
        </is>
      </c>
      <c r="F564" s="12" t="inlineStr"/>
      <c r="G564" s="12" t="inlineStr">
        <is>
          <t>2.25</t>
        </is>
      </c>
      <c r="H564" s="12" t="inlineStr"/>
      <c r="I564" s="17" t="n"/>
      <c r="J564" s="17" t="n"/>
    </row>
    <row r="565">
      <c r="A565" s="12" t="inlineStr">
        <is>
          <t>Quote editor</t>
        </is>
      </c>
      <c r="B565" s="12" t="inlineStr">
        <is>
          <t>QN-08</t>
        </is>
      </c>
      <c r="C565" s="12" t="inlineStr">
        <is>
          <t>Many quotes per lead</t>
        </is>
      </c>
      <c r="D565" s="14" t="inlineStr">
        <is>
          <t>Valid-until date</t>
        </is>
      </c>
      <c r="E565" s="14" t="inlineStr">
        <is>
          <t>Built in parity round 3</t>
        </is>
      </c>
      <c r="F565" s="12" t="inlineStr">
        <is>
          <t>A passed date is marked, not blocked (Q-29)</t>
        </is>
      </c>
      <c r="G565" s="12" t="inlineStr">
        <is>
          <t>6.31</t>
        </is>
      </c>
      <c r="H565" s="12" t="inlineStr"/>
      <c r="I565" s="17" t="n"/>
      <c r="J565" s="17" t="n"/>
    </row>
    <row r="566">
      <c r="A566" s="12" t="inlineStr">
        <is>
          <t>Quote editor</t>
        </is>
      </c>
      <c r="B566" s="12" t="inlineStr">
        <is>
          <t>QN-09</t>
        </is>
      </c>
      <c r="C566" s="12" t="inlineStr">
        <is>
          <t>Many quotes per lead</t>
        </is>
      </c>
      <c r="D566" s="14" t="inlineStr">
        <is>
          <t>Which quote becomes the contract</t>
        </is>
      </c>
      <c r="E566" s="14" t="inlineStr">
        <is>
          <t>Built</t>
        </is>
      </c>
      <c r="F566" s="12" t="inlineStr"/>
      <c r="G566" s="12" t="inlineStr"/>
      <c r="H566" s="28" t="inlineStr">
        <is>
          <t>Team check</t>
        </is>
      </c>
      <c r="I566" s="17" t="n"/>
      <c r="J566" s="17" t="n"/>
    </row>
    <row r="567">
      <c r="A567" s="12" t="inlineStr">
        <is>
          <t>Quote editor</t>
        </is>
      </c>
      <c r="B567" s="12" t="inlineStr">
        <is>
          <t>QN-10</t>
        </is>
      </c>
      <c r="C567" s="12" t="inlineStr">
        <is>
          <t>Many quotes per lead</t>
        </is>
      </c>
      <c r="D567" s="14" t="inlineStr">
        <is>
          <t>Readiness before sending</t>
        </is>
      </c>
      <c r="E567" s="14" t="inlineStr">
        <is>
          <t>Built</t>
        </is>
      </c>
      <c r="F567" s="12" t="inlineStr">
        <is>
          <t>Margin hints by rule in Maison AI (S04); market insights stay the platform’s</t>
        </is>
      </c>
      <c r="G567" s="12" t="inlineStr">
        <is>
          <t>6.04, 6.25</t>
        </is>
      </c>
      <c r="H567" s="12" t="inlineStr"/>
      <c r="I567" s="17" t="n"/>
      <c r="J567" s="17" t="n"/>
    </row>
    <row r="568">
      <c r="A568" s="12" t="inlineStr">
        <is>
          <t>Quote editor</t>
        </is>
      </c>
      <c r="B568" s="12" t="inlineStr">
        <is>
          <t>QA-01</t>
        </is>
      </c>
      <c r="C568" s="12" t="inlineStr">
        <is>
          <t>Statuses and approval</t>
        </is>
      </c>
      <c r="D568" s="14" t="inlineStr">
        <is>
          <t>Quote status names</t>
        </is>
      </c>
      <c r="E568" s="14" t="inlineStr">
        <is>
          <t>Built</t>
        </is>
      </c>
      <c r="F568" s="12" t="inlineStr">
        <is>
          <t>2.0’s six (Q-02)</t>
        </is>
      </c>
      <c r="G568" s="12" t="inlineStr">
        <is>
          <t>6.38</t>
        </is>
      </c>
      <c r="H568" s="12" t="inlineStr"/>
      <c r="I568" s="17" t="n"/>
      <c r="J568" s="17" t="n"/>
    </row>
    <row r="569">
      <c r="A569" s="12" t="inlineStr">
        <is>
          <t>Quote editor</t>
        </is>
      </c>
      <c r="B569" s="12" t="inlineStr">
        <is>
          <t>QA-02</t>
        </is>
      </c>
      <c r="C569" s="12" t="inlineStr">
        <is>
          <t>Statuses and approval</t>
        </is>
      </c>
      <c r="D569" s="14" t="inlineStr">
        <is>
          <t>Where statuses change</t>
        </is>
      </c>
      <c r="E569" s="14" t="inlineStr">
        <is>
          <t>Built</t>
        </is>
      </c>
      <c r="F569" s="12" t="inlineStr"/>
      <c r="G569" s="12" t="inlineStr"/>
      <c r="H569" s="28" t="inlineStr">
        <is>
          <t>Team check</t>
        </is>
      </c>
      <c r="I569" s="17" t="n"/>
      <c r="J569" s="17" t="n"/>
    </row>
    <row r="570">
      <c r="A570" s="12" t="inlineStr">
        <is>
          <t>Quote editor</t>
        </is>
      </c>
      <c r="B570" s="12" t="inlineStr">
        <is>
          <t>QA-03</t>
        </is>
      </c>
      <c r="C570" s="12" t="inlineStr">
        <is>
          <t>Statuses and approval</t>
        </is>
      </c>
      <c r="D570" s="14" t="inlineStr">
        <is>
          <t>An approver’s submit approves at once</t>
        </is>
      </c>
      <c r="E570" s="14" t="inlineStr">
        <is>
          <t>Built in parity round 2</t>
        </is>
      </c>
      <c r="F570" s="12" t="inlineStr"/>
      <c r="G570" s="12" t="inlineStr">
        <is>
          <t>6.28</t>
        </is>
      </c>
      <c r="H570" s="12" t="inlineStr"/>
      <c r="I570" s="17" t="n"/>
      <c r="J570" s="17" t="n"/>
    </row>
    <row r="571">
      <c r="A571" s="12" t="inlineStr">
        <is>
          <t>Quote editor</t>
        </is>
      </c>
      <c r="B571" s="12" t="inlineStr">
        <is>
          <t>QA-04</t>
        </is>
      </c>
      <c r="C571" s="12" t="inlineStr">
        <is>
          <t>Statuses and approval</t>
        </is>
      </c>
      <c r="D571" s="14" t="inlineStr">
        <is>
          <t>Status history</t>
        </is>
      </c>
      <c r="E571" s="14" t="inlineStr">
        <is>
          <t>Built in parity round 2</t>
        </is>
      </c>
      <c r="F571" s="12" t="inlineStr">
        <is>
          <t>Approval decisions stamped and shown in Activity</t>
        </is>
      </c>
      <c r="G571" s="12" t="inlineStr">
        <is>
          <t>6.38</t>
        </is>
      </c>
      <c r="H571" s="12" t="inlineStr"/>
      <c r="I571" s="17" t="n"/>
      <c r="J571" s="17" t="n"/>
    </row>
    <row r="572">
      <c r="A572" s="12" t="inlineStr">
        <is>
          <t>Quote editor</t>
        </is>
      </c>
      <c r="B572" s="12" t="inlineStr">
        <is>
          <t>QA-05</t>
        </is>
      </c>
      <c r="C572" s="12" t="inlineStr">
        <is>
          <t>Statuses and approval</t>
        </is>
      </c>
      <c r="D572" s="14" t="inlineStr">
        <is>
          <t>Signing marks the quote signed</t>
        </is>
      </c>
      <c r="E572" s="14" t="inlineStr">
        <is>
          <t>Built in parity round 4</t>
        </is>
      </c>
      <c r="F572" s="12" t="inlineStr"/>
      <c r="G572" s="12" t="inlineStr"/>
      <c r="H572" s="28" t="inlineStr">
        <is>
          <t>Team check</t>
        </is>
      </c>
      <c r="I572" s="17" t="n"/>
      <c r="J572" s="17" t="n"/>
    </row>
    <row r="573">
      <c r="A573" s="12" t="inlineStr">
        <is>
          <t>Quote editor</t>
        </is>
      </c>
      <c r="B573" s="12" t="inlineStr">
        <is>
          <t>QA-06</t>
        </is>
      </c>
      <c r="C573" s="12" t="inlineStr">
        <is>
          <t>Statuses and approval</t>
        </is>
      </c>
      <c r="D573" s="14" t="inlineStr">
        <is>
          <t>Reopen an approved quote to revise it</t>
        </is>
      </c>
      <c r="E573" s="14" t="inlineStr">
        <is>
          <t>Built</t>
        </is>
      </c>
      <c r="F573" s="12" t="inlineStr"/>
      <c r="G573" s="12" t="inlineStr">
        <is>
          <t>6.32, 10.07</t>
        </is>
      </c>
      <c r="H573" s="12" t="inlineStr"/>
      <c r="I573" s="17" t="n"/>
      <c r="J573" s="17" t="n"/>
    </row>
    <row r="574">
      <c r="A574" s="12" t="inlineStr">
        <is>
          <t>Quote editor</t>
        </is>
      </c>
      <c r="B574" s="12" t="inlineStr">
        <is>
          <t>QA-07</t>
        </is>
      </c>
      <c r="C574" s="12" t="inlineStr">
        <is>
          <t>Statuses and approval</t>
        </is>
      </c>
      <c r="D574" s="14" t="inlineStr">
        <is>
          <t>The lead mirrors the quote’s status</t>
        </is>
      </c>
      <c r="E574" s="14" t="inlineStr">
        <is>
          <t>Not built — by design</t>
        </is>
      </c>
      <c r="F574" s="12" t="inlineStr">
        <is>
          <t>Derived, no mirror (Q-03)</t>
        </is>
      </c>
      <c r="G574" s="12" t="inlineStr">
        <is>
          <t>6.39</t>
        </is>
      </c>
      <c r="H574" s="12" t="inlineStr"/>
      <c r="I574" s="17" t="n"/>
      <c r="J574" s="17" t="n"/>
    </row>
    <row r="575">
      <c r="A575" s="12" t="inlineStr">
        <is>
          <t>Quote editor</t>
        </is>
      </c>
      <c r="B575" s="12" t="inlineStr">
        <is>
          <t>QA-08</t>
        </is>
      </c>
      <c r="C575" s="12" t="inlineStr">
        <is>
          <t>Statuses and approval</t>
        </is>
      </c>
      <c r="D575" s="14" t="inlineStr">
        <is>
          <t>Who approves quotes</t>
        </is>
      </c>
      <c r="E575" s="14" t="inlineStr">
        <is>
          <t>Built</t>
        </is>
      </c>
      <c r="F575" s="12" t="inlineStr"/>
      <c r="G575" s="12" t="inlineStr">
        <is>
          <t>2.30, 10.07</t>
        </is>
      </c>
      <c r="H575" s="12" t="inlineStr"/>
      <c r="I575" s="17" t="n"/>
      <c r="J575" s="17" t="n"/>
    </row>
    <row r="576">
      <c r="A576" s="12" t="inlineStr">
        <is>
          <t>Quote editor</t>
        </is>
      </c>
      <c r="B576" s="12" t="inlineStr">
        <is>
          <t>QA-09</t>
        </is>
      </c>
      <c r="C576" s="12" t="inlineStr">
        <is>
          <t>Statuses and approval</t>
        </is>
      </c>
      <c r="D576" s="14" t="inlineStr">
        <is>
          <t>An approval task for approvers</t>
        </is>
      </c>
      <c r="E576" s="14" t="inlineStr">
        <is>
          <t>Built</t>
        </is>
      </c>
      <c r="F576" s="12" t="inlineStr">
        <is>
          <t>A notification in the bell instead</t>
        </is>
      </c>
      <c r="G576" s="12" t="inlineStr">
        <is>
          <t>10.11</t>
        </is>
      </c>
      <c r="H576" s="12" t="inlineStr"/>
      <c r="I576" s="17" t="n"/>
      <c r="J576" s="17" t="n"/>
    </row>
    <row r="577">
      <c r="A577" s="12" t="inlineStr">
        <is>
          <t>Quote editor</t>
        </is>
      </c>
      <c r="B577" s="12" t="inlineStr">
        <is>
          <t>QA-10</t>
        </is>
      </c>
      <c r="C577" s="12" t="inlineStr">
        <is>
          <t>Statuses and approval</t>
        </is>
      </c>
      <c r="D577" s="14" t="inlineStr">
        <is>
          <t>Approve or reject in the editor</t>
        </is>
      </c>
      <c r="E577" s="14" t="inlineStr">
        <is>
          <t>Built in parity round 2</t>
        </is>
      </c>
      <c r="F577" s="12" t="inlineStr"/>
      <c r="G577" s="12" t="inlineStr">
        <is>
          <t>10.12</t>
        </is>
      </c>
      <c r="H577" s="12" t="inlineStr"/>
      <c r="I577" s="17" t="n"/>
      <c r="J577" s="17" t="n"/>
    </row>
    <row r="578">
      <c r="A578" s="12" t="inlineStr">
        <is>
          <t>Quote editor</t>
        </is>
      </c>
      <c r="B578" s="12" t="inlineStr">
        <is>
          <t>QA-11</t>
        </is>
      </c>
      <c r="C578" s="12" t="inlineStr">
        <is>
          <t>Statuses and approval</t>
        </is>
      </c>
      <c r="D578" s="14" t="inlineStr">
        <is>
          <t>Approve quotes from Finance</t>
        </is>
      </c>
      <c r="E578" s="14" t="inlineStr">
        <is>
          <t>Not built — by design</t>
        </is>
      </c>
      <c r="F578" s="12" t="inlineStr">
        <is>
          <t>Quotes are approved in the quote; Accounting never approves them (S04)</t>
        </is>
      </c>
      <c r="G578" s="12" t="inlineStr"/>
      <c r="H578" s="12" t="inlineStr"/>
      <c r="I578" s="17" t="n"/>
      <c r="J578" s="17" t="n"/>
    </row>
    <row r="579">
      <c r="A579" s="12" t="inlineStr">
        <is>
          <t>Quote editor</t>
        </is>
      </c>
      <c r="B579" s="12" t="inlineStr">
        <is>
          <t>QA-12</t>
        </is>
      </c>
      <c r="C579" s="12" t="inlineStr">
        <is>
          <t>Statuses and approval</t>
        </is>
      </c>
      <c r="D579" s="14" t="inlineStr">
        <is>
          <t>Approval rules and checks never read</t>
        </is>
      </c>
      <c r="E579" s="14" t="inlineStr">
        <is>
          <t>Dead</t>
        </is>
      </c>
      <c r="F579" s="12" t="inlineStr">
        <is>
          <t>Q-24</t>
        </is>
      </c>
      <c r="G579" s="12" t="inlineStr"/>
      <c r="H579" s="12" t="inlineStr"/>
      <c r="I579" s="17" t="n"/>
      <c r="J579" s="17" t="n"/>
    </row>
    <row r="580">
      <c r="A580" s="12" t="inlineStr">
        <is>
          <t>Quote editor</t>
        </is>
      </c>
      <c r="B580" s="12" t="inlineStr">
        <is>
          <t>QV-01</t>
        </is>
      </c>
      <c r="C580" s="12" t="inlineStr">
        <is>
          <t>Versions</t>
        </is>
      </c>
      <c r="D580" s="14" t="inlineStr">
        <is>
          <t>What a version holds</t>
        </is>
      </c>
      <c r="E580" s="14" t="inlineStr">
        <is>
          <t>Built</t>
        </is>
      </c>
      <c r="F580" s="12" t="inlineStr">
        <is>
          <t>Per quote, made by Revise</t>
        </is>
      </c>
      <c r="G580" s="12" t="inlineStr">
        <is>
          <t>6.32</t>
        </is>
      </c>
      <c r="H580" s="12" t="inlineStr"/>
      <c r="I580" s="17" t="n"/>
      <c r="J580" s="17" t="n"/>
    </row>
    <row r="581">
      <c r="A581" s="12" t="inlineStr">
        <is>
          <t>Quote editor</t>
        </is>
      </c>
      <c r="B581" s="12" t="inlineStr">
        <is>
          <t>QV-02</t>
        </is>
      </c>
      <c r="C581" s="12" t="inlineStr">
        <is>
          <t>Versions</t>
        </is>
      </c>
      <c r="D581" s="14" t="inlineStr">
        <is>
          <t>Versions drawer</t>
        </is>
      </c>
      <c r="E581" s="14" t="inlineStr">
        <is>
          <t>Built</t>
        </is>
      </c>
      <c r="F581" s="12" t="inlineStr"/>
      <c r="G581" s="12" t="inlineStr">
        <is>
          <t>6.33</t>
        </is>
      </c>
      <c r="H581" s="12" t="inlineStr"/>
      <c r="I581" s="17" t="n"/>
      <c r="J581" s="17" t="n"/>
    </row>
    <row r="582">
      <c r="A582" s="12" t="inlineStr">
        <is>
          <t>Quote editor</t>
        </is>
      </c>
      <c r="B582" s="12" t="inlineStr">
        <is>
          <t>QV-03</t>
        </is>
      </c>
      <c r="C582" s="12" t="inlineStr">
        <is>
          <t>Versions</t>
        </is>
      </c>
      <c r="D582" s="14" t="inlineStr">
        <is>
          <t>Compare two versions</t>
        </is>
      </c>
      <c r="E582" s="14" t="inlineStr">
        <is>
          <t>Built</t>
        </is>
      </c>
      <c r="F582" s="12" t="inlineStr">
        <is>
          <t>A revision prints its changes; no any-two compare (Q-26)</t>
        </is>
      </c>
      <c r="G582" s="12" t="inlineStr">
        <is>
          <t>6.35</t>
        </is>
      </c>
      <c r="H582" s="12" t="inlineStr"/>
      <c r="I582" s="17" t="n"/>
      <c r="J582" s="17" t="n"/>
    </row>
    <row r="583">
      <c r="A583" s="12" t="inlineStr">
        <is>
          <t>Quote editor</t>
        </is>
      </c>
      <c r="B583" s="12" t="inlineStr">
        <is>
          <t>QV-04</t>
        </is>
      </c>
      <c r="C583" s="12" t="inlineStr">
        <is>
          <t>Versions</t>
        </is>
      </c>
      <c r="D583" s="14" t="inlineStr">
        <is>
          <t>Restore an older version</t>
        </is>
      </c>
      <c r="E583" s="14" t="inlineStr">
        <is>
          <t>Built in parity round 3</t>
        </is>
      </c>
      <c r="F583" s="12" t="inlineStr"/>
      <c r="G583" s="12" t="inlineStr">
        <is>
          <t>6.34</t>
        </is>
      </c>
      <c r="H583" s="12" t="inlineStr"/>
      <c r="I583" s="17" t="n"/>
      <c r="J583" s="17" t="n"/>
    </row>
    <row r="584">
      <c r="A584" s="12" t="inlineStr">
        <is>
          <t>Quote editor</t>
        </is>
      </c>
      <c r="B584" s="12" t="inlineStr">
        <is>
          <t>QD-01</t>
        </is>
      </c>
      <c r="C584" s="12" t="inlineStr">
        <is>
          <t>Sending</t>
        </is>
      </c>
      <c r="D584" s="14" t="inlineStr">
        <is>
          <t>The Share menu</t>
        </is>
      </c>
      <c r="E584" s="14" t="inlineStr">
        <is>
          <t>Built</t>
        </is>
      </c>
      <c r="F584" s="12" t="inlineStr"/>
      <c r="G584" s="12" t="inlineStr">
        <is>
          <t>6.28, 6.36</t>
        </is>
      </c>
      <c r="H584" s="12" t="inlineStr"/>
      <c r="I584" s="17" t="n"/>
      <c r="J584" s="17" t="n"/>
    </row>
    <row r="585">
      <c r="A585" s="12" t="inlineStr">
        <is>
          <t>Quote editor</t>
        </is>
      </c>
      <c r="B585" s="12" t="inlineStr">
        <is>
          <t>QD-02</t>
        </is>
      </c>
      <c r="C585" s="12" t="inlineStr">
        <is>
          <t>Sending</t>
        </is>
      </c>
      <c r="D585" s="14" t="inlineStr">
        <is>
          <t>Share to the homeowner portal</t>
        </is>
      </c>
      <c r="E585" s="14" t="inlineStr">
        <is>
          <t>Built</t>
        </is>
      </c>
      <c r="F585" s="12" t="inlineStr">
        <is>
          <t>The client portal lists the client’s quotes with their links (Projects build)</t>
        </is>
      </c>
      <c r="G585" s="12" t="inlineStr"/>
      <c r="H585" s="28" t="inlineStr">
        <is>
          <t>Team check</t>
        </is>
      </c>
      <c r="I585" s="17" t="n"/>
      <c r="J585" s="17" t="n"/>
    </row>
    <row r="586">
      <c r="A586" s="12" t="inlineStr">
        <is>
          <t>Quote editor</t>
        </is>
      </c>
      <c r="B586" s="12" t="inlineStr">
        <is>
          <t>QD-03</t>
        </is>
      </c>
      <c r="C586" s="12" t="inlineStr">
        <is>
          <t>Sending</t>
        </is>
      </c>
      <c r="D586" s="14" t="inlineStr">
        <is>
          <t>Client link with a one-time code</t>
        </is>
      </c>
      <c r="E586" s="14" t="inlineStr">
        <is>
          <t>Built in parity round 4</t>
        </is>
      </c>
      <c r="F586" s="12" t="inlineStr">
        <is>
          <t>A token link (/confirm/…) that opens once sent; the SMS code stays a stand-in (S04)</t>
        </is>
      </c>
      <c r="G586" s="12" t="inlineStr">
        <is>
          <t>6.29</t>
        </is>
      </c>
      <c r="H586" s="12" t="inlineStr"/>
      <c r="I586" s="17" t="n"/>
      <c r="J586" s="17" t="n"/>
    </row>
    <row r="587">
      <c r="A587" s="12" t="inlineStr">
        <is>
          <t>Quote editor</t>
        </is>
      </c>
      <c r="B587" s="12" t="inlineStr">
        <is>
          <t>QD-04</t>
        </is>
      </c>
      <c r="C587" s="12" t="inlineStr">
        <is>
          <t>Sending</t>
        </is>
      </c>
      <c r="D587" s="14" t="inlineStr">
        <is>
          <t>Quote Sharing settings</t>
        </is>
      </c>
      <c r="E587" s="14" t="inlineStr">
        <is>
          <t>Not built — by design</t>
        </is>
      </c>
      <c r="F587" s="12" t="inlineStr">
        <is>
          <t>Never read in 1.0 (quote templates Q-09)</t>
        </is>
      </c>
      <c r="G587" s="12" t="inlineStr"/>
      <c r="H587" s="12" t="inlineStr"/>
      <c r="I587" s="17" t="n"/>
      <c r="J587" s="17" t="n"/>
    </row>
    <row r="588">
      <c r="A588" s="12" t="inlineStr">
        <is>
          <t>Quote editor</t>
        </is>
      </c>
      <c r="B588" s="12" t="inlineStr">
        <is>
          <t>QD-05</t>
        </is>
      </c>
      <c r="C588" s="12" t="inlineStr">
        <is>
          <t>Sending</t>
        </is>
      </c>
      <c r="D588" s="14" t="inlineStr">
        <is>
          <t>Download and print</t>
        </is>
      </c>
      <c r="E588" s="14" t="inlineStr">
        <is>
          <t>Built</t>
        </is>
      </c>
      <c r="F588" s="12" t="inlineStr"/>
      <c r="G588" s="12" t="inlineStr">
        <is>
          <t>6.25</t>
        </is>
      </c>
      <c r="H588" s="12" t="inlineStr"/>
      <c r="I588" s="17" t="n"/>
      <c r="J588" s="17" t="n"/>
    </row>
    <row r="589">
      <c r="A589" s="12" t="inlineStr">
        <is>
          <t>Quote editor</t>
        </is>
      </c>
      <c r="B589" s="12" t="inlineStr">
        <is>
          <t>QD-06</t>
        </is>
      </c>
      <c r="C589" s="12" t="inlineStr">
        <is>
          <t>Sending</t>
        </is>
      </c>
      <c r="D589" s="14" t="inlineStr">
        <is>
          <t>Sharing locked until approved</t>
        </is>
      </c>
      <c r="E589" s="14" t="inlineStr">
        <is>
          <t>Built</t>
        </is>
      </c>
      <c r="F589" s="12" t="inlineStr"/>
      <c r="G589" s="12" t="inlineStr">
        <is>
          <t>6.28</t>
        </is>
      </c>
      <c r="H589" s="12" t="inlineStr"/>
      <c r="I589" s="17" t="n"/>
      <c r="J589" s="17" t="n"/>
    </row>
    <row r="590">
      <c r="A590" s="12" t="inlineStr">
        <is>
          <t>Quote editor</t>
        </is>
      </c>
      <c r="B590" s="12" t="inlineStr">
        <is>
          <t>QC-01</t>
        </is>
      </c>
      <c r="C590" s="12" t="inlineStr">
        <is>
          <t>Signing and the client</t>
        </is>
      </c>
      <c r="D590" s="14" t="inlineStr">
        <is>
          <t>Signature request that freezes the quote</t>
        </is>
      </c>
      <c r="E590" s="14" t="inlineStr">
        <is>
          <t>Built</t>
        </is>
      </c>
      <c r="F590" s="12" t="inlineStr">
        <is>
          <t>A contract raised from the quote</t>
        </is>
      </c>
      <c r="G590" s="12" t="inlineStr"/>
      <c r="H590" s="28" t="inlineStr">
        <is>
          <t>Team check</t>
        </is>
      </c>
      <c r="I590" s="17" t="n"/>
      <c r="J590" s="17" t="n"/>
    </row>
    <row r="591">
      <c r="A591" s="12" t="inlineStr">
        <is>
          <t>Quote editor</t>
        </is>
      </c>
      <c r="B591" s="12" t="inlineStr">
        <is>
          <t>QC-02</t>
        </is>
      </c>
      <c r="C591" s="12" t="inlineStr">
        <is>
          <t>Signing and the client</t>
        </is>
      </c>
      <c r="D591" s="14" t="inlineStr">
        <is>
          <t>Several quotes in one signing</t>
        </is>
      </c>
      <c r="E591" s="14" t="inlineStr">
        <is>
          <t>Later</t>
        </is>
      </c>
      <c r="F591" s="12" t="inlineStr">
        <is>
          <t>Contracts bundle contracts, not quotes</t>
        </is>
      </c>
      <c r="G591" s="12" t="inlineStr"/>
      <c r="H591" s="12" t="inlineStr"/>
      <c r="I591" s="17" t="n"/>
      <c r="J591" s="17" t="n"/>
    </row>
    <row r="592">
      <c r="A592" s="12" t="inlineStr">
        <is>
          <t>Quote editor</t>
        </is>
      </c>
      <c r="B592" s="12" t="inlineStr">
        <is>
          <t>QC-03</t>
        </is>
      </c>
      <c r="C592" s="12" t="inlineStr">
        <is>
          <t>Signing and the client</t>
        </is>
      </c>
      <c r="D592" s="14" t="inlineStr">
        <is>
          <t>Signing link expires after 7 days</t>
        </is>
      </c>
      <c r="E592" s="14" t="inlineStr">
        <is>
          <t>Built</t>
        </is>
      </c>
      <c r="F592" s="12" t="inlineStr">
        <is>
          <t>The contract’s signing link closes after the studio’s window, 7 days by default (S03)</t>
        </is>
      </c>
      <c r="G592" s="12" t="inlineStr"/>
      <c r="H592" s="28" t="inlineStr">
        <is>
          <t>Team check</t>
        </is>
      </c>
      <c r="I592" s="17" t="n"/>
      <c r="J592" s="17" t="n"/>
    </row>
    <row r="593">
      <c r="A593" s="12" t="inlineStr">
        <is>
          <t>Quote editor</t>
        </is>
      </c>
      <c r="B593" s="12" t="inlineStr">
        <is>
          <t>QC-04</t>
        </is>
      </c>
      <c r="C593" s="12" t="inlineStr">
        <is>
          <t>Signing and the client</t>
        </is>
      </c>
      <c r="D593" s="14" t="inlineStr">
        <is>
          <t>Signing page, one-time code and review steps</t>
        </is>
      </c>
      <c r="E593" s="14" t="inlineStr">
        <is>
          <t>Built</t>
        </is>
      </c>
      <c r="F593" s="12" t="inlineStr">
        <is>
          <t>Confirmation page; the code is the platform’s</t>
        </is>
      </c>
      <c r="G593" s="12" t="inlineStr">
        <is>
          <t>6.29</t>
        </is>
      </c>
      <c r="H593" s="12" t="inlineStr"/>
      <c r="I593" s="17" t="n"/>
      <c r="J593" s="17" t="n"/>
    </row>
    <row r="594">
      <c r="A594" s="12" t="inlineStr">
        <is>
          <t>Quote editor</t>
        </is>
      </c>
      <c r="B594" s="12" t="inlineStr">
        <is>
          <t>QC-05</t>
        </is>
      </c>
      <c r="C594" s="12" t="inlineStr">
        <is>
          <t>Signing and the client</t>
        </is>
      </c>
      <c r="D594" s="14" t="inlineStr">
        <is>
          <t>Client accepts or declines optional add-ons</t>
        </is>
      </c>
      <c r="E594" s="14" t="inlineStr">
        <is>
          <t>Built in parity round 4</t>
        </is>
      </c>
      <c r="F594" s="12" t="inlineStr"/>
      <c r="G594" s="12" t="inlineStr">
        <is>
          <t>6.37</t>
        </is>
      </c>
      <c r="H594" s="12" t="inlineStr"/>
      <c r="I594" s="17" t="n"/>
      <c r="J594" s="17" t="n"/>
    </row>
    <row r="595">
      <c r="A595" s="12" t="inlineStr">
        <is>
          <t>Quote editor</t>
        </is>
      </c>
      <c r="B595" s="12" t="inlineStr">
        <is>
          <t>QC-06</t>
        </is>
      </c>
      <c r="C595" s="12" t="inlineStr">
        <is>
          <t>Signing and the client</t>
        </is>
      </c>
      <c r="D595" s="14" t="inlineStr">
        <is>
          <t>CaseTrust step</t>
        </is>
      </c>
      <c r="E595" s="14" t="inlineStr">
        <is>
          <t>Built</t>
        </is>
      </c>
      <c r="F595" s="12" t="inlineStr">
        <is>
          <t>An accredited studio’s signing page asks for the CaseTrust tick (Projects gaps D)</t>
        </is>
      </c>
      <c r="G595" s="12" t="inlineStr"/>
      <c r="H595" s="28" t="inlineStr">
        <is>
          <t>Team check</t>
        </is>
      </c>
      <c r="I595" s="17" t="n"/>
      <c r="J595" s="17" t="n"/>
    </row>
    <row r="596">
      <c r="A596" s="12" t="inlineStr">
        <is>
          <t>Quote editor</t>
        </is>
      </c>
      <c r="B596" s="12" t="inlineStr">
        <is>
          <t>QC-07</t>
        </is>
      </c>
      <c r="C596" s="12" t="inlineStr">
        <is>
          <t>Signing and the client</t>
        </is>
      </c>
      <c r="D596" s="14" t="inlineStr">
        <is>
          <t>Who signs</t>
        </is>
      </c>
      <c r="E596" s="14" t="inlineStr">
        <is>
          <t>Built</t>
        </is>
      </c>
      <c r="F596" s="12" t="inlineStr">
        <is>
          <t>The contract: NRIC and a second client</t>
        </is>
      </c>
      <c r="G596" s="12" t="inlineStr"/>
      <c r="H596" s="28" t="inlineStr">
        <is>
          <t>Team check</t>
        </is>
      </c>
      <c r="I596" s="17" t="n"/>
      <c r="J596" s="17" t="n"/>
    </row>
    <row r="597">
      <c r="A597" s="12" t="inlineStr">
        <is>
          <t>Quote editor</t>
        </is>
      </c>
      <c r="B597" s="12" t="inlineStr">
        <is>
          <t>QC-08</t>
        </is>
      </c>
      <c r="C597" s="12" t="inlineStr">
        <is>
          <t>Signing and the client</t>
        </is>
      </c>
      <c r="D597" s="14" t="inlineStr">
        <is>
          <t>What signing sets off</t>
        </is>
      </c>
      <c r="E597" s="14" t="inlineStr">
        <is>
          <t>Built in parity round 4</t>
        </is>
      </c>
      <c r="F597" s="12" t="inlineStr">
        <is>
          <t>The signed quote feeds the Won step</t>
        </is>
      </c>
      <c r="G597" s="12" t="inlineStr">
        <is>
          <t>9.02</t>
        </is>
      </c>
      <c r="H597" s="12" t="inlineStr"/>
      <c r="I597" s="17" t="n"/>
      <c r="J597" s="17" t="n"/>
    </row>
    <row r="598">
      <c r="A598" s="12" t="inlineStr">
        <is>
          <t>Quote editor</t>
        </is>
      </c>
      <c r="B598" s="12" t="inlineStr">
        <is>
          <t>QC-09</t>
        </is>
      </c>
      <c r="C598" s="12" t="inlineStr">
        <is>
          <t>Signing and the client</t>
        </is>
      </c>
      <c r="D598" s="14" t="inlineStr">
        <is>
          <t>Done page, certificate and audit trail</t>
        </is>
      </c>
      <c r="E598" s="14" t="inlineStr">
        <is>
          <t>Built</t>
        </is>
      </c>
      <c r="F598" s="12" t="inlineStr">
        <is>
          <t>Download a copy; the contract keeps the signing record</t>
        </is>
      </c>
      <c r="G598" s="12" t="inlineStr"/>
      <c r="H598" s="28" t="inlineStr">
        <is>
          <t>Team check</t>
        </is>
      </c>
      <c r="I598" s="17" t="n"/>
      <c r="J598" s="17" t="n"/>
    </row>
    <row r="599">
      <c r="A599" s="12" t="inlineStr">
        <is>
          <t>Quote editor</t>
        </is>
      </c>
      <c r="B599" s="12" t="inlineStr">
        <is>
          <t>QC-10</t>
        </is>
      </c>
      <c r="C599" s="12" t="inlineStr">
        <is>
          <t>Signing and the client</t>
        </is>
      </c>
      <c r="D599" s="14" t="inlineStr">
        <is>
          <t>Resend, regenerate or cancel a request</t>
        </is>
      </c>
      <c r="E599" s="14" t="inlineStr">
        <is>
          <t>Built</t>
        </is>
      </c>
      <c r="F599" s="12" t="inlineStr">
        <is>
          <t>On the contract</t>
        </is>
      </c>
      <c r="G599" s="12" t="inlineStr"/>
      <c r="H599" s="28" t="inlineStr">
        <is>
          <t>Team check</t>
        </is>
      </c>
      <c r="I599" s="17" t="n"/>
      <c r="J599" s="17" t="n"/>
    </row>
    <row r="600">
      <c r="A600" s="12" t="inlineStr">
        <is>
          <t>Quote editor</t>
        </is>
      </c>
      <c r="B600" s="12" t="inlineStr">
        <is>
          <t>QC-11</t>
        </is>
      </c>
      <c r="C600" s="12" t="inlineStr">
        <is>
          <t>Signing and the client</t>
        </is>
      </c>
      <c r="D600" s="14" t="inlineStr">
        <is>
          <t>Paper signing and portal signing</t>
        </is>
      </c>
      <c r="E600" s="14" t="inlineStr">
        <is>
          <t>Built</t>
        </is>
      </c>
      <c r="F600" s="12" t="inlineStr">
        <is>
          <t>Mark as signed; the client portal opens the signing links (Projects build)</t>
        </is>
      </c>
      <c r="G600" s="12" t="inlineStr"/>
      <c r="H600" s="28" t="inlineStr">
        <is>
          <t>Team check</t>
        </is>
      </c>
      <c r="I600" s="17" t="n"/>
      <c r="J600" s="17" t="n"/>
    </row>
    <row r="601">
      <c r="A601" s="12" t="inlineStr">
        <is>
          <t>Quote editor</t>
        </is>
      </c>
      <c r="B601" s="12" t="inlineStr">
        <is>
          <t>QY-01</t>
        </is>
      </c>
      <c r="C601" s="12" t="inlineStr">
        <is>
          <t>The payment schedule</t>
        </is>
      </c>
      <c r="D601" s="14" t="inlineStr">
        <is>
          <t>Payment milestones and default splits</t>
        </is>
      </c>
      <c r="E601" s="14" t="inlineStr">
        <is>
          <t>Built</t>
        </is>
      </c>
      <c r="F601" s="12" t="inlineStr"/>
      <c r="G601" s="12" t="inlineStr">
        <is>
          <t>3.18, 6.19</t>
        </is>
      </c>
      <c r="H601" s="12" t="inlineStr"/>
      <c r="I601" s="17" t="n"/>
      <c r="J601" s="17" t="n"/>
    </row>
    <row r="602">
      <c r="A602" s="12" t="inlineStr">
        <is>
          <t>Quote editor</t>
        </is>
      </c>
      <c r="B602" s="12" t="inlineStr">
        <is>
          <t>QY-02</t>
        </is>
      </c>
      <c r="C602" s="12" t="inlineStr">
        <is>
          <t>The payment schedule</t>
        </is>
      </c>
      <c r="D602" s="14" t="inlineStr">
        <is>
          <t>Editing the schedule</t>
        </is>
      </c>
      <c r="E602" s="14" t="inlineStr">
        <is>
          <t>Built</t>
        </is>
      </c>
      <c r="F602" s="12" t="inlineStr"/>
      <c r="G602" s="12" t="inlineStr">
        <is>
          <t>6.19</t>
        </is>
      </c>
      <c r="H602" s="12" t="inlineStr"/>
      <c r="I602" s="17" t="n"/>
      <c r="J602" s="17" t="n"/>
    </row>
    <row r="603">
      <c r="A603" s="12" t="inlineStr">
        <is>
          <t>Quote editor</t>
        </is>
      </c>
      <c r="B603" s="12" t="inlineStr">
        <is>
          <t>QY-03</t>
        </is>
      </c>
      <c r="C603" s="12" t="inlineStr">
        <is>
          <t>The payment schedule</t>
        </is>
      </c>
      <c r="D603" s="14" t="inlineStr">
        <is>
          <t>Schedule must total 100% before sending</t>
        </is>
      </c>
      <c r="E603" s="14" t="inlineStr">
        <is>
          <t>Built in parity round 4</t>
        </is>
      </c>
      <c r="F603" s="12" t="inlineStr">
        <is>
          <t>The header’s Send now runs the checks</t>
        </is>
      </c>
      <c r="G603" s="12" t="inlineStr">
        <is>
          <t>6.04</t>
        </is>
      </c>
      <c r="H603" s="12" t="inlineStr"/>
      <c r="I603" s="17" t="n"/>
      <c r="J603" s="17" t="n"/>
    </row>
    <row r="604">
      <c r="A604" s="12" t="inlineStr">
        <is>
          <t>Quote editor</t>
        </is>
      </c>
      <c r="B604" s="12" t="inlineStr">
        <is>
          <t>QY-04</t>
        </is>
      </c>
      <c r="C604" s="12" t="inlineStr">
        <is>
          <t>The payment schedule</t>
        </is>
      </c>
      <c r="D604" s="14" t="inlineStr">
        <is>
          <t>Amounts from the quote total</t>
        </is>
      </c>
      <c r="E604" s="14" t="inlineStr">
        <is>
          <t>Built</t>
        </is>
      </c>
      <c r="F604" s="12" t="inlineStr"/>
      <c r="G604" s="12" t="inlineStr">
        <is>
          <t>6.19</t>
        </is>
      </c>
      <c r="H604" s="12" t="inlineStr"/>
      <c r="I604" s="17" t="n"/>
      <c r="J604" s="17" t="n"/>
    </row>
    <row r="605">
      <c r="A605" s="12" t="inlineStr">
        <is>
          <t>Quote editor</t>
        </is>
      </c>
      <c r="B605" s="12" t="inlineStr">
        <is>
          <t>QY-05</t>
        </is>
      </c>
      <c r="C605" s="12" t="inlineStr">
        <is>
          <t>The payment schedule</t>
        </is>
      </c>
      <c r="D605" s="14" t="inlineStr">
        <is>
          <t>Locking the schedule</t>
        </is>
      </c>
      <c r="E605" s="14" t="inlineStr">
        <is>
          <t>Built in parity round 4</t>
        </is>
      </c>
      <c r="F605" s="12" t="inlineStr">
        <is>
          <t>The payment lock holds on the server</t>
        </is>
      </c>
      <c r="G605" s="12" t="inlineStr">
        <is>
          <t>2.29</t>
        </is>
      </c>
      <c r="H605" s="12" t="inlineStr"/>
      <c r="I605" s="17" t="n"/>
      <c r="J605" s="17" t="n"/>
    </row>
    <row r="606">
      <c r="A606" s="12" t="inlineStr">
        <is>
          <t>Quote editor</t>
        </is>
      </c>
      <c r="B606" s="12" t="inlineStr">
        <is>
          <t>QY-06</t>
        </is>
      </c>
      <c r="C606" s="12" t="inlineStr">
        <is>
          <t>The payment schedule</t>
        </is>
      </c>
      <c r="D606" s="14" t="inlineStr">
        <is>
          <t>Schedule frozen at signing</t>
        </is>
      </c>
      <c r="E606" s="14" t="inlineStr">
        <is>
          <t>Built</t>
        </is>
      </c>
      <c r="F606" s="12" t="inlineStr"/>
      <c r="G606" s="12" t="inlineStr"/>
      <c r="H606" s="28" t="inlineStr">
        <is>
          <t>Team check</t>
        </is>
      </c>
      <c r="I606" s="17" t="n"/>
      <c r="J606" s="17" t="n"/>
    </row>
    <row r="607">
      <c r="A607" s="12" t="inlineStr">
        <is>
          <t>Quote editor</t>
        </is>
      </c>
      <c r="B607" s="12" t="inlineStr">
        <is>
          <t>QY-07</t>
        </is>
      </c>
      <c r="C607" s="12" t="inlineStr">
        <is>
          <t>The payment schedule</t>
        </is>
      </c>
      <c r="D607" s="14" t="inlineStr">
        <is>
          <t>Fixed-amount rows</t>
        </is>
      </c>
      <c r="E607" s="14" t="inlineStr">
        <is>
          <t>Built</t>
        </is>
      </c>
      <c r="F607" s="12" t="inlineStr">
        <is>
          <t>A fixed fee may open the split, a Settings › Finance switch (parity map P-A)</t>
        </is>
      </c>
      <c r="G607" s="12" t="inlineStr"/>
      <c r="H607" s="28" t="inlineStr">
        <is>
          <t>Team check</t>
        </is>
      </c>
      <c r="I607" s="17" t="n"/>
      <c r="J607" s="17" t="n"/>
    </row>
    <row r="608">
      <c r="A608" s="12" t="inlineStr">
        <is>
          <t>Quote editor</t>
        </is>
      </c>
      <c r="B608" s="12" t="inlineStr">
        <is>
          <t>QY-08</t>
        </is>
      </c>
      <c r="C608" s="12" t="inlineStr">
        <is>
          <t>The payment schedule</t>
        </is>
      </c>
      <c r="D608" s="14" t="inlineStr">
        <is>
          <t>The project-side schedule (Gantt)</t>
        </is>
      </c>
      <c r="E608" s="14" t="inlineStr">
        <is>
          <t>Built</t>
        </is>
      </c>
      <c r="F608" s="12" t="inlineStr">
        <is>
          <t>The project’s Schedule tab; Money bills the signed quote’s split (Projects build)</t>
        </is>
      </c>
      <c r="G608" s="12" t="inlineStr"/>
      <c r="H608" s="28" t="inlineStr">
        <is>
          <t>Team check</t>
        </is>
      </c>
      <c r="I608" s="17" t="n"/>
      <c r="J608" s="17" t="n"/>
    </row>
    <row r="609">
      <c r="A609" s="12" t="inlineStr">
        <is>
          <t>Quote editor</t>
        </is>
      </c>
      <c r="B609" s="12" t="inlineStr">
        <is>
          <t>QT-01</t>
        </is>
      </c>
      <c r="C609" s="12" t="inlineStr">
        <is>
          <t>Follow-ups and notifications</t>
        </is>
      </c>
      <c r="D609" s="14" t="inlineStr">
        <is>
          <t>Follow-up tasks for quotes</t>
        </is>
      </c>
      <c r="E609" s="14" t="inlineStr">
        <is>
          <t>2.0 only</t>
        </is>
      </c>
      <c r="F609" s="12" t="inlineStr">
        <is>
          <t>A due date raises a follow-up task</t>
        </is>
      </c>
      <c r="G609" s="12" t="inlineStr">
        <is>
          <t>6.30</t>
        </is>
      </c>
      <c r="H609" s="12" t="inlineStr"/>
      <c r="I609" s="17" t="n"/>
      <c r="J609" s="17" t="n"/>
    </row>
    <row r="610">
      <c r="A610" s="12" t="inlineStr">
        <is>
          <t>Quote editor</t>
        </is>
      </c>
      <c r="B610" s="12" t="inlineStr">
        <is>
          <t>QT-02</t>
        </is>
      </c>
      <c r="C610" s="12" t="inlineStr">
        <is>
          <t>Follow-ups and notifications</t>
        </is>
      </c>
      <c r="D610" s="14" t="inlineStr">
        <is>
          <t>Sent and signed notifications</t>
        </is>
      </c>
      <c r="E610" s="14" t="inlineStr">
        <is>
          <t>Built</t>
        </is>
      </c>
      <c r="F610" s="12" t="inlineStr"/>
      <c r="G610" s="12" t="inlineStr">
        <is>
          <t>6.38</t>
        </is>
      </c>
      <c r="H610" s="12" t="inlineStr"/>
      <c r="I610" s="17" t="n"/>
      <c r="J610" s="17" t="n"/>
    </row>
    <row r="611">
      <c r="A611" s="12" t="inlineStr">
        <is>
          <t>Quote editor</t>
        </is>
      </c>
      <c r="B611" s="12" t="inlineStr">
        <is>
          <t>QT-03</t>
        </is>
      </c>
      <c r="C611" s="12" t="inlineStr">
        <is>
          <t>Follow-ups and notifications</t>
        </is>
      </c>
      <c r="D611" s="14" t="inlineStr">
        <is>
          <t>Approval notifications</t>
        </is>
      </c>
      <c r="E611" s="14" t="inlineStr">
        <is>
          <t>Built in parity round 2</t>
        </is>
      </c>
      <c r="F611" s="12" t="inlineStr">
        <is>
          <t>Approved and changes-requested go to the sender</t>
        </is>
      </c>
      <c r="G611" s="12" t="inlineStr">
        <is>
          <t>10.11</t>
        </is>
      </c>
      <c r="H611" s="12" t="inlineStr"/>
      <c r="I611" s="17" t="n"/>
      <c r="J611" s="17" t="n"/>
    </row>
    <row r="612">
      <c r="A612" s="12" t="inlineStr">
        <is>
          <t>Quote editor</t>
        </is>
      </c>
      <c r="B612" s="12" t="inlineStr">
        <is>
          <t>QT-04</t>
        </is>
      </c>
      <c r="C612" s="12" t="inlineStr">
        <is>
          <t>Follow-ups and notifications</t>
        </is>
      </c>
      <c r="D612" s="14" t="inlineStr">
        <is>
          <t>Portal bells and usage events</t>
        </is>
      </c>
      <c r="E612" s="14" t="inlineStr">
        <is>
          <t>Built</t>
        </is>
      </c>
      <c r="F612" s="12" t="inlineStr">
        <is>
          <t>The client’s portal bell lists quotes sent; usage events stay the platform’s (Projects build)</t>
        </is>
      </c>
      <c r="G612" s="12" t="inlineStr"/>
      <c r="H612" s="28" t="inlineStr">
        <is>
          <t>Team check</t>
        </is>
      </c>
      <c r="I612" s="17" t="n"/>
      <c r="J612" s="17" t="n"/>
    </row>
    <row r="613">
      <c r="A613" s="12" t="inlineStr">
        <is>
          <t>Quote editor</t>
        </is>
      </c>
      <c r="B613" s="12" t="inlineStr">
        <is>
          <t>QR-01</t>
        </is>
      </c>
      <c r="C613" s="12" t="inlineStr">
        <is>
          <t>Roles</t>
        </is>
      </c>
      <c r="D613" s="14" t="inlineStr">
        <is>
          <t>Permissions per role</t>
        </is>
      </c>
      <c r="E613" s="14" t="inlineStr">
        <is>
          <t>Built</t>
        </is>
      </c>
      <c r="F613" s="12" t="inlineStr"/>
      <c r="G613" s="12" t="inlineStr"/>
      <c r="H613" s="28" t="inlineStr">
        <is>
          <t>Team check</t>
        </is>
      </c>
      <c r="I613" s="17" t="n"/>
      <c r="J613" s="17" t="n"/>
    </row>
    <row r="614">
      <c r="A614" s="12" t="inlineStr">
        <is>
          <t>Quote editor</t>
        </is>
      </c>
      <c r="B614" s="12" t="inlineStr">
        <is>
          <t>QR-02</t>
        </is>
      </c>
      <c r="C614" s="12" t="inlineStr">
        <is>
          <t>Roles</t>
        </is>
      </c>
      <c r="D614" s="14" t="inlineStr">
        <is>
          <t>Server checks on quote actions</t>
        </is>
      </c>
      <c r="E614" s="14" t="inlineStr">
        <is>
          <t>Built in parity round 3</t>
        </is>
      </c>
      <c r="F614" s="12" t="inlineStr">
        <is>
          <t>Who deletes; Who sees leads on quote pages</t>
        </is>
      </c>
      <c r="G614" s="12" t="inlineStr">
        <is>
          <t>6.42</t>
        </is>
      </c>
      <c r="H614" s="12" t="inlineStr"/>
      <c r="I614" s="17" t="n"/>
      <c r="J614" s="17" t="n"/>
    </row>
    <row r="615">
      <c r="A615" s="12" t="inlineStr">
        <is>
          <t>Quote editor</t>
        </is>
      </c>
      <c r="B615" s="12" t="inlineStr">
        <is>
          <t>QR-03</t>
        </is>
      </c>
      <c r="C615" s="12" t="inlineStr">
        <is>
          <t>Roles</t>
        </is>
      </c>
      <c r="D615" s="14" t="inlineStr">
        <is>
          <t>Accounting approves from Finance</t>
        </is>
      </c>
      <c r="E615" s="14" t="inlineStr">
        <is>
          <t>Not built — by design</t>
        </is>
      </c>
      <c r="F615" s="12" t="inlineStr">
        <is>
          <t>Accounting keeps the books and never approves quotes (S04)</t>
        </is>
      </c>
      <c r="G615" s="12" t="inlineStr"/>
      <c r="H615" s="12" t="inlineStr"/>
      <c r="I615" s="17" t="n"/>
      <c r="J615" s="17" t="n"/>
    </row>
    <row r="616">
      <c r="A616" s="12" t="inlineStr">
        <is>
          <t>Quote editor</t>
        </is>
      </c>
      <c r="B616" s="12" t="inlineStr">
        <is>
          <t>QX-01</t>
        </is>
      </c>
      <c r="C616" s="12" t="inlineStr">
        <is>
          <t>Touchpoints</t>
        </is>
      </c>
      <c r="D616" s="14" t="inlineStr">
        <is>
          <t>Quote X-Ray on a quote</t>
        </is>
      </c>
      <c r="E616" s="14" t="inlineStr">
        <is>
          <t>Built</t>
        </is>
      </c>
      <c r="F616" s="12" t="inlineStr">
        <is>
          <t>Covered by the Quote X-Ray audit</t>
        </is>
      </c>
      <c r="G616" s="12" t="inlineStr"/>
      <c r="H616" s="28" t="inlineStr">
        <is>
          <t>Team check</t>
        </is>
      </c>
      <c r="I616" s="17" t="n"/>
      <c r="J616" s="17" t="n"/>
    </row>
    <row r="617">
      <c r="A617" s="12" t="inlineStr">
        <is>
          <t>Quote editor</t>
        </is>
      </c>
      <c r="B617" s="12" t="inlineStr">
        <is>
          <t>QX-02</t>
        </is>
      </c>
      <c r="C617" s="12" t="inlineStr">
        <is>
          <t>Touchpoints</t>
        </is>
      </c>
      <c r="D617" s="14" t="inlineStr">
        <is>
          <t>Contracts from a quote and the signing bundle</t>
        </is>
      </c>
      <c r="E617" s="14" t="inlineStr">
        <is>
          <t>Built</t>
        </is>
      </c>
      <c r="F617" s="12" t="inlineStr">
        <is>
          <t>Covered by the Contracts audit</t>
        </is>
      </c>
      <c r="G617" s="12" t="inlineStr"/>
      <c r="H617" s="28" t="inlineStr">
        <is>
          <t>Team check</t>
        </is>
      </c>
      <c r="I617" s="17" t="n"/>
      <c r="J617" s="17" t="n"/>
    </row>
    <row r="618">
      <c r="A618" s="12" t="inlineStr">
        <is>
          <t>Quote editor</t>
        </is>
      </c>
      <c r="B618" s="12" t="inlineStr">
        <is>
          <t>QX-03</t>
        </is>
      </c>
      <c r="C618" s="12" t="inlineStr">
        <is>
          <t>Touchpoints</t>
        </is>
      </c>
      <c r="D618" s="14" t="inlineStr">
        <is>
          <t>What a signed quote creates (project, Gantt)</t>
        </is>
      </c>
      <c r="E618" s="14" t="inlineStr">
        <is>
          <t>Built</t>
        </is>
      </c>
      <c r="F618" s="12" t="inlineStr">
        <is>
          <t>Won creates the project, its Schedule plans the works (Projects build)</t>
        </is>
      </c>
      <c r="G618" s="12" t="inlineStr"/>
      <c r="H618" s="28" t="inlineStr">
        <is>
          <t>Team check</t>
        </is>
      </c>
      <c r="I618" s="17" t="n"/>
      <c r="J618" s="17" t="n"/>
    </row>
    <row r="619">
      <c r="A619" s="12" t="inlineStr">
        <is>
          <t>Quote editor</t>
        </is>
      </c>
      <c r="B619" s="12" t="inlineStr">
        <is>
          <t>QX-04</t>
        </is>
      </c>
      <c r="C619" s="12" t="inlineStr">
        <is>
          <t>Touchpoints</t>
        </is>
      </c>
      <c r="D619" s="14" t="inlineStr">
        <is>
          <t>Invoices, POs, variation orders, commissions</t>
        </is>
      </c>
      <c r="E619" s="14" t="inlineStr">
        <is>
          <t>Built</t>
        </is>
      </c>
      <c r="F619" s="12" t="inlineStr">
        <is>
          <t>Project Money and Company › Finance: invoices, POs, VOs, commission (Projects, Finance builds)</t>
        </is>
      </c>
      <c r="G619" s="12" t="inlineStr"/>
      <c r="H619" s="28" t="inlineStr">
        <is>
          <t>Team check</t>
        </is>
      </c>
      <c r="I619" s="17" t="n"/>
      <c r="J619" s="17" t="n"/>
    </row>
    <row r="620">
      <c r="A620" s="12" t="inlineStr">
        <is>
          <t>Quote editor</t>
        </is>
      </c>
      <c r="B620" s="12" t="inlineStr">
        <is>
          <t>QX-05</t>
        </is>
      </c>
      <c r="C620" s="12" t="inlineStr">
        <is>
          <t>Touchpoints</t>
        </is>
      </c>
      <c r="D620" s="14" t="inlineStr">
        <is>
          <t>The co-pilot’s meeting brief</t>
        </is>
      </c>
      <c r="E620" s="14" t="inlineStr">
        <is>
          <t>Built</t>
        </is>
      </c>
      <c r="F620" s="12" t="inlineStr">
        <is>
          <t>Tools › Meeting Copilot writes the brief; it can draft the quote (S23)</t>
        </is>
      </c>
      <c r="G620" s="12" t="inlineStr"/>
      <c r="H620" s="28" t="inlineStr">
        <is>
          <t>Team check</t>
        </is>
      </c>
      <c r="I620" s="17" t="n"/>
      <c r="J620" s="17" t="n"/>
    </row>
    <row r="621">
      <c r="A621" s="12" t="inlineStr">
        <is>
          <t>Contracts</t>
        </is>
      </c>
      <c r="B621" s="12" t="inlineStr">
        <is>
          <t>DEF-01</t>
        </is>
      </c>
      <c r="C621" s="12" t="inlineStr">
        <is>
          <t>Definitions</t>
        </is>
      </c>
      <c r="D621" s="14" t="inlineStr">
        <is>
          <t>What a contract is — no record, four stand-ins</t>
        </is>
      </c>
      <c r="E621" s="14" t="inlineStr">
        <is>
          <t>Built in parity round 1</t>
        </is>
      </c>
      <c r="F621" s="12" t="inlineStr"/>
      <c r="G621" s="12" t="inlineStr">
        <is>
          <t>8.02</t>
        </is>
      </c>
      <c r="H621" s="12" t="inlineStr"/>
      <c r="I621" s="17" t="n"/>
      <c r="J621" s="17" t="n"/>
    </row>
    <row r="622">
      <c r="A622" s="12" t="inlineStr">
        <is>
          <t>Contracts</t>
        </is>
      </c>
      <c r="B622" s="12" t="inlineStr">
        <is>
          <t>DEF-02</t>
        </is>
      </c>
      <c r="C622" s="12" t="inlineStr">
        <is>
          <t>Definitions</t>
        </is>
      </c>
      <c r="D622" s="14" t="inlineStr">
        <is>
          <t>What the client signs — the quote plus documents</t>
        </is>
      </c>
      <c r="E622" s="14" t="inlineStr">
        <is>
          <t>Built in parity round 3</t>
        </is>
      </c>
      <c r="F622" s="12" t="inlineStr"/>
      <c r="G622" s="12" t="inlineStr">
        <is>
          <t>8.08</t>
        </is>
      </c>
      <c r="H622" s="12" t="inlineStr"/>
      <c r="I622" s="17" t="n"/>
      <c r="J622" s="17" t="n"/>
    </row>
    <row r="623">
      <c r="A623" s="12" t="inlineStr">
        <is>
          <t>Contracts</t>
        </is>
      </c>
      <c r="B623" s="12" t="inlineStr">
        <is>
          <t>DEF-03</t>
        </is>
      </c>
      <c r="C623" s="12" t="inlineStr">
        <is>
          <t>Definitions</t>
        </is>
      </c>
      <c r="D623" s="14" t="inlineStr">
        <is>
          <t>The signing library with read and accept checks</t>
        </is>
      </c>
      <c r="E623" s="14" t="inlineStr">
        <is>
          <t>Built in parity round 3</t>
        </is>
      </c>
      <c r="F623" s="12" t="inlineStr">
        <is>
          <t>Standard PDFs and written documents are both contract templates (S03)</t>
        </is>
      </c>
      <c r="G623" s="12" t="inlineStr">
        <is>
          <t>8.05, 8.24</t>
        </is>
      </c>
      <c r="H623" s="12" t="inlineStr"/>
      <c r="I623" s="17" t="n"/>
      <c r="J623" s="17" t="n"/>
    </row>
    <row r="624">
      <c r="A624" s="12" t="inlineStr">
        <is>
          <t>Contracts</t>
        </is>
      </c>
      <c r="B624" s="12" t="inlineStr">
        <is>
          <t>DEF-04</t>
        </is>
      </c>
      <c r="C624" s="12" t="inlineStr">
        <is>
          <t>Definitions</t>
        </is>
      </c>
      <c r="D624" s="14" t="inlineStr">
        <is>
          <t>Contract templates with tokens and a default</t>
        </is>
      </c>
      <c r="E624" s="14" t="inlineStr">
        <is>
          <t>Built</t>
        </is>
      </c>
      <c r="F624" s="12" t="inlineStr"/>
      <c r="G624" s="12" t="inlineStr">
        <is>
          <t>3.21, 8.02</t>
        </is>
      </c>
      <c r="H624" s="12" t="inlineStr"/>
      <c r="I624" s="17" t="n"/>
      <c r="J624" s="17" t="n"/>
    </row>
    <row r="625">
      <c r="A625" s="12" t="inlineStr">
        <is>
          <t>Contracts</t>
        </is>
      </c>
      <c r="B625" s="12" t="inlineStr">
        <is>
          <t>DEF-05</t>
        </is>
      </c>
      <c r="C625" s="12" t="inlineStr">
        <is>
          <t>Definitions</t>
        </is>
      </c>
      <c r="D625" s="14" t="inlineStr">
        <is>
          <t>Statuses: pending, viewed, signed, expired, cancelled</t>
        </is>
      </c>
      <c r="E625" s="14" t="inlineStr">
        <is>
          <t>Built in parity round 3</t>
        </is>
      </c>
      <c r="F625" s="12" t="inlineStr">
        <is>
          <t>Expired links say so; Stop the signing link is cancel; viewed is a date (S03)</t>
        </is>
      </c>
      <c r="G625" s="12" t="inlineStr">
        <is>
          <t>8.14</t>
        </is>
      </c>
      <c r="H625" s="12" t="inlineStr"/>
      <c r="I625" s="17" t="n"/>
      <c r="J625" s="17" t="n"/>
    </row>
    <row r="626">
      <c r="A626" s="12" t="inlineStr">
        <is>
          <t>Contracts</t>
        </is>
      </c>
      <c r="B626" s="12" t="inlineStr">
        <is>
          <t>DEF-06</t>
        </is>
      </c>
      <c r="C626" s="12" t="inlineStr">
        <is>
          <t>Definitions</t>
        </is>
      </c>
      <c r="D626" s="14" t="inlineStr">
        <is>
          <t>The text is fixed and fingerprinted when sent</t>
        </is>
      </c>
      <c r="E626" s="14" t="inlineStr">
        <is>
          <t>Built in parity round 1</t>
        </is>
      </c>
      <c r="F626" s="12" t="inlineStr"/>
      <c r="G626" s="12" t="inlineStr">
        <is>
          <t>8.11</t>
        </is>
      </c>
      <c r="H626" s="12" t="inlineStr"/>
      <c r="I626" s="17" t="n"/>
      <c r="J626" s="17" t="n"/>
    </row>
    <row r="627">
      <c r="A627" s="12" t="inlineStr">
        <is>
          <t>Contracts</t>
        </is>
      </c>
      <c r="B627" s="12" t="inlineStr">
        <is>
          <t>DEF-07</t>
        </is>
      </c>
      <c r="C627" s="12" t="inlineStr">
        <is>
          <t>Definitions</t>
        </is>
      </c>
      <c r="D627" s="14" t="inlineStr">
        <is>
          <t>Merge fields (11 tokens)</t>
        </is>
      </c>
      <c r="E627" s="14" t="inlineStr">
        <is>
          <t>Built</t>
        </is>
      </c>
      <c r="F627" s="12" t="inlineStr"/>
      <c r="G627" s="12" t="inlineStr">
        <is>
          <t>8.03</t>
        </is>
      </c>
      <c r="H627" s="12" t="inlineStr"/>
      <c r="I627" s="17" t="n"/>
      <c r="J627" s="17" t="n"/>
    </row>
    <row r="628">
      <c r="A628" s="12" t="inlineStr">
        <is>
          <t>Contracts</t>
        </is>
      </c>
      <c r="B628" s="12" t="inlineStr">
        <is>
          <t>DEF-08</t>
        </is>
      </c>
      <c r="C628" s="12" t="inlineStr">
        <is>
          <t>Definitions</t>
        </is>
      </c>
      <c r="D628" s="14" t="inlineStr">
        <is>
          <t>Which quote the contract belongs to</t>
        </is>
      </c>
      <c r="E628" s="14" t="inlineStr">
        <is>
          <t>Built in parity round 2</t>
        </is>
      </c>
      <c r="F628" s="12" t="inlineStr"/>
      <c r="G628" s="12" t="inlineStr">
        <is>
          <t>8.02</t>
        </is>
      </c>
      <c r="H628" s="12" t="inlineStr"/>
      <c r="I628" s="17" t="n"/>
      <c r="J628" s="17" t="n"/>
    </row>
    <row r="629">
      <c r="A629" s="12" t="inlineStr">
        <is>
          <t>Contracts</t>
        </is>
      </c>
      <c r="B629" s="12" t="inlineStr">
        <is>
          <t>DEF-09</t>
        </is>
      </c>
      <c r="C629" s="12" t="inlineStr">
        <is>
          <t>Definitions</t>
        </is>
      </c>
      <c r="D629" s="14" t="inlineStr">
        <is>
          <t>The issuing entity on the contract</t>
        </is>
      </c>
      <c r="E629" s="14" t="inlineStr">
        <is>
          <t>Built in parity round 2</t>
        </is>
      </c>
      <c r="F629" s="12" t="inlineStr"/>
      <c r="G629" s="12" t="inlineStr"/>
      <c r="H629" s="28" t="inlineStr">
        <is>
          <t>Team check</t>
        </is>
      </c>
      <c r="I629" s="17" t="n"/>
      <c r="J629" s="17" t="n"/>
    </row>
    <row r="630">
      <c r="A630" s="12" t="inlineStr">
        <is>
          <t>Contracts</t>
        </is>
      </c>
      <c r="B630" s="12" t="inlineStr">
        <is>
          <t>DEF-10</t>
        </is>
      </c>
      <c r="C630" s="12" t="inlineStr">
        <is>
          <t>Definitions</t>
        </is>
      </c>
      <c r="D630" s="14" t="inlineStr">
        <is>
          <t>Who signs, and how — drawn signature, phone code</t>
        </is>
      </c>
      <c r="E630" s="14" t="inlineStr">
        <is>
          <t>Built in parity round 3</t>
        </is>
      </c>
      <c r="F630" s="12" t="inlineStr">
        <is>
          <t>The code goes through the sign-in provider; the demo says no text is sent (S42)</t>
        </is>
      </c>
      <c r="G630" s="12" t="inlineStr">
        <is>
          <t>8.12, 12.12</t>
        </is>
      </c>
      <c r="H630" s="12" t="inlineStr"/>
      <c r="I630" s="17" t="n"/>
      <c r="J630" s="17" t="n"/>
    </row>
    <row r="631">
      <c r="A631" s="12" t="inlineStr">
        <is>
          <t>Contracts</t>
        </is>
      </c>
      <c r="B631" s="12" t="inlineStr">
        <is>
          <t>DEF-11</t>
        </is>
      </c>
      <c r="C631" s="12" t="inlineStr">
        <is>
          <t>Definitions</t>
        </is>
      </c>
      <c r="D631" s="14" t="inlineStr">
        <is>
          <t>The signing evidence and certificate</t>
        </is>
      </c>
      <c r="E631" s="14" t="inlineStr">
        <is>
          <t>Built in parity round 3</t>
        </is>
      </c>
      <c r="F631" s="12" t="inlineStr"/>
      <c r="G631" s="12" t="inlineStr">
        <is>
          <t>8.13</t>
        </is>
      </c>
      <c r="H631" s="12" t="inlineStr"/>
      <c r="I631" s="17" t="n"/>
      <c r="J631" s="17" t="n"/>
    </row>
    <row r="632">
      <c r="A632" s="12" t="inlineStr">
        <is>
          <t>Contracts</t>
        </is>
      </c>
      <c r="B632" s="12" t="inlineStr">
        <is>
          <t>DEF-12</t>
        </is>
      </c>
      <c r="C632" s="12" t="inlineStr">
        <is>
          <t>Definitions</t>
        </is>
      </c>
      <c r="D632" s="14" t="inlineStr">
        <is>
          <t>A paper contract uploaded on the lead</t>
        </is>
      </c>
      <c r="E632" s="14" t="inlineStr">
        <is>
          <t>Built in parity round 2</t>
        </is>
      </c>
      <c r="F632" s="12" t="inlineStr"/>
      <c r="G632" s="12" t="inlineStr">
        <is>
          <t>8.19, 8.21</t>
        </is>
      </c>
      <c r="H632" s="12" t="inlineStr"/>
      <c r="I632" s="17" t="n"/>
      <c r="J632" s="17" t="n"/>
    </row>
    <row r="633">
      <c r="A633" s="12" t="inlineStr">
        <is>
          <t>Contracts</t>
        </is>
      </c>
      <c r="B633" s="12" t="inlineStr">
        <is>
          <t>DEF-13</t>
        </is>
      </c>
      <c r="C633" s="12" t="inlineStr">
        <is>
          <t>Definitions</t>
        </is>
      </c>
      <c r="D633" s="14" t="inlineStr">
        <is>
          <t>The studio’s own signature on documents</t>
        </is>
      </c>
      <c r="E633" s="14" t="inlineStr">
        <is>
          <t>Built in parity round 1</t>
        </is>
      </c>
      <c r="F633" s="12" t="inlineStr">
        <is>
          <t>Your profile › Your signature; it prints only with your yes (S01, S03)</t>
        </is>
      </c>
      <c r="G633" s="12" t="inlineStr"/>
      <c r="H633" s="28" t="inlineStr">
        <is>
          <t>Team check</t>
        </is>
      </c>
      <c r="I633" s="17" t="n"/>
      <c r="J633" s="17" t="n"/>
    </row>
    <row r="634">
      <c r="A634" s="12" t="inlineStr">
        <is>
          <t>Contracts</t>
        </is>
      </c>
      <c r="B634" s="12" t="inlineStr">
        <is>
          <t>MM-01</t>
        </is>
      </c>
      <c r="C634" s="12" t="inlineStr">
        <is>
          <t>Mismatches</t>
        </is>
      </c>
      <c r="D634" s="14" t="inlineStr">
        <is>
          <t>What a contract is</t>
        </is>
      </c>
      <c r="E634" s="14" t="inlineStr">
        <is>
          <t>Built in parity round 1</t>
        </is>
      </c>
      <c r="F634" s="12" t="inlineStr"/>
      <c r="G634" s="12" t="inlineStr">
        <is>
          <t>8.02</t>
        </is>
      </c>
      <c r="H634" s="12" t="inlineStr"/>
      <c r="I634" s="17" t="n"/>
      <c r="J634" s="17" t="n"/>
    </row>
    <row r="635">
      <c r="A635" s="12" t="inlineStr">
        <is>
          <t>Contracts</t>
        </is>
      </c>
      <c r="B635" s="12" t="inlineStr">
        <is>
          <t>MM-02</t>
        </is>
      </c>
      <c r="C635" s="12" t="inlineStr">
        <is>
          <t>Mismatches</t>
        </is>
      </c>
      <c r="D635" s="14" t="inlineStr">
        <is>
          <t>What the client signs</t>
        </is>
      </c>
      <c r="E635" s="14" t="inlineStr">
        <is>
          <t>Built in parity round 3</t>
        </is>
      </c>
      <c r="F635" s="12" t="inlineStr"/>
      <c r="G635" s="12" t="inlineStr">
        <is>
          <t>8.08</t>
        </is>
      </c>
      <c r="H635" s="12" t="inlineStr"/>
      <c r="I635" s="17" t="n"/>
      <c r="J635" s="17" t="n"/>
    </row>
    <row r="636">
      <c r="A636" s="12" t="inlineStr">
        <is>
          <t>Contracts</t>
        </is>
      </c>
      <c r="B636" s="12" t="inlineStr">
        <is>
          <t>MM-03</t>
        </is>
      </c>
      <c r="C636" s="12" t="inlineStr">
        <is>
          <t>Mismatches</t>
        </is>
      </c>
      <c r="D636" s="14" t="inlineStr">
        <is>
          <t>Statuses</t>
        </is>
      </c>
      <c r="E636" s="14" t="inlineStr">
        <is>
          <t>Built in parity round 3</t>
        </is>
      </c>
      <c r="F636" s="12" t="inlineStr"/>
      <c r="G636" s="12" t="inlineStr">
        <is>
          <t>8.14</t>
        </is>
      </c>
      <c r="H636" s="12" t="inlineStr"/>
      <c r="I636" s="17" t="n"/>
      <c r="J636" s="17" t="n"/>
    </row>
    <row r="637">
      <c r="A637" s="12" t="inlineStr">
        <is>
          <t>Contracts</t>
        </is>
      </c>
      <c r="B637" s="12" t="inlineStr">
        <is>
          <t>MM-04</t>
        </is>
      </c>
      <c r="C637" s="12" t="inlineStr">
        <is>
          <t>Mismatches</t>
        </is>
      </c>
      <c r="D637" s="14" t="inlineStr">
        <is>
          <t>The text at signing</t>
        </is>
      </c>
      <c r="E637" s="14" t="inlineStr">
        <is>
          <t>Built in parity round 1</t>
        </is>
      </c>
      <c r="F637" s="12" t="inlineStr"/>
      <c r="G637" s="12" t="inlineStr">
        <is>
          <t>8.11</t>
        </is>
      </c>
      <c r="H637" s="12" t="inlineStr"/>
      <c r="I637" s="17" t="n"/>
      <c r="J637" s="17" t="n"/>
    </row>
    <row r="638">
      <c r="A638" s="12" t="inlineStr">
        <is>
          <t>Contracts</t>
        </is>
      </c>
      <c r="B638" s="12" t="inlineStr">
        <is>
          <t>MM-05</t>
        </is>
      </c>
      <c r="C638" s="12" t="inlineStr">
        <is>
          <t>Mismatches</t>
        </is>
      </c>
      <c r="D638" s="14" t="inlineStr">
        <is>
          <t>What can change after signing</t>
        </is>
      </c>
      <c r="E638" s="14" t="inlineStr">
        <is>
          <t>Built in parity round 1</t>
        </is>
      </c>
      <c r="F638" s="12" t="inlineStr"/>
      <c r="G638" s="12" t="inlineStr">
        <is>
          <t>8.14, 8.20</t>
        </is>
      </c>
      <c r="H638" s="12" t="inlineStr"/>
      <c r="I638" s="17" t="n"/>
      <c r="J638" s="17" t="n"/>
    </row>
    <row r="639">
      <c r="A639" s="12" t="inlineStr">
        <is>
          <t>Contracts</t>
        </is>
      </c>
      <c r="B639" s="12" t="inlineStr">
        <is>
          <t>MM-06</t>
        </is>
      </c>
      <c r="C639" s="12" t="inlineStr">
        <is>
          <t>Mismatches</t>
        </is>
      </c>
      <c r="D639" s="14" t="inlineStr">
        <is>
          <t>The signing link’s life</t>
        </is>
      </c>
      <c r="E639" s="14" t="inlineStr">
        <is>
          <t>Built in parity round 1</t>
        </is>
      </c>
      <c r="F639" s="12" t="inlineStr">
        <is>
          <t>Token link, open 7 days by default; Stop the signing link (S03)</t>
        </is>
      </c>
      <c r="G639" s="12" t="inlineStr">
        <is>
          <t>8.07, 8.26, 12.10</t>
        </is>
      </c>
      <c r="H639" s="12" t="inlineStr"/>
      <c r="I639" s="17" t="n"/>
      <c r="J639" s="17" t="n"/>
    </row>
    <row r="640">
      <c r="A640" s="12" t="inlineStr">
        <is>
          <t>Contracts</t>
        </is>
      </c>
      <c r="B640" s="12" t="inlineStr">
        <is>
          <t>MM-07</t>
        </is>
      </c>
      <c r="C640" s="12" t="inlineStr">
        <is>
          <t>Mismatches</t>
        </is>
      </c>
      <c r="D640" s="14" t="inlineStr">
        <is>
          <t>The contract’s quote</t>
        </is>
      </c>
      <c r="E640" s="14" t="inlineStr">
        <is>
          <t>Built in parity round 2</t>
        </is>
      </c>
      <c r="F640" s="12" t="inlineStr"/>
      <c r="G640" s="12" t="inlineStr">
        <is>
          <t>8.02</t>
        </is>
      </c>
      <c r="H640" s="12" t="inlineStr"/>
      <c r="I640" s="17" t="n"/>
      <c r="J640" s="17" t="n"/>
    </row>
    <row r="641">
      <c r="A641" s="12" t="inlineStr">
        <is>
          <t>Contracts</t>
        </is>
      </c>
      <c r="B641" s="12" t="inlineStr">
        <is>
          <t>MM-08</t>
        </is>
      </c>
      <c r="C641" s="12" t="inlineStr">
        <is>
          <t>Mismatches</t>
        </is>
      </c>
      <c r="D641" s="14" t="inlineStr">
        <is>
          <t>The issuer</t>
        </is>
      </c>
      <c r="E641" s="14" t="inlineStr">
        <is>
          <t>Built in parity round 2</t>
        </is>
      </c>
      <c r="F641" s="12" t="inlineStr"/>
      <c r="G641" s="12" t="inlineStr"/>
      <c r="H641" s="28" t="inlineStr">
        <is>
          <t>Team check</t>
        </is>
      </c>
      <c r="I641" s="17" t="n"/>
      <c r="J641" s="17" t="n"/>
    </row>
    <row r="642">
      <c r="A642" s="12" t="inlineStr">
        <is>
          <t>Contracts</t>
        </is>
      </c>
      <c r="B642" s="12" t="inlineStr">
        <is>
          <t>MM-09</t>
        </is>
      </c>
      <c r="C642" s="12" t="inlineStr">
        <is>
          <t>Mismatches</t>
        </is>
      </c>
      <c r="D642" s="14" t="inlineStr">
        <is>
          <t>Several documents in one signing</t>
        </is>
      </c>
      <c r="E642" s="14" t="inlineStr">
        <is>
          <t>Built in parity round 3</t>
        </is>
      </c>
      <c r="F642" s="12" t="inlineStr"/>
      <c r="G642" s="12" t="inlineStr">
        <is>
          <t>8.05, 8.23</t>
        </is>
      </c>
      <c r="H642" s="12" t="inlineStr"/>
      <c r="I642" s="17" t="n"/>
      <c r="J642" s="17" t="n"/>
    </row>
    <row r="643">
      <c r="A643" s="12" t="inlineStr">
        <is>
          <t>Contracts</t>
        </is>
      </c>
      <c r="B643" s="12" t="inlineStr">
        <is>
          <t>MM-10</t>
        </is>
      </c>
      <c r="C643" s="12" t="inlineStr">
        <is>
          <t>Mismatches</t>
        </is>
      </c>
      <c r="D643" s="14" t="inlineStr">
        <is>
          <t>The signature — drawn or typed</t>
        </is>
      </c>
      <c r="E643" s="14" t="inlineStr">
        <is>
          <t>Built in parity round 3</t>
        </is>
      </c>
      <c r="F643" s="12" t="inlineStr"/>
      <c r="G643" s="12" t="inlineStr">
        <is>
          <t>8.12</t>
        </is>
      </c>
      <c r="H643" s="12" t="inlineStr"/>
      <c r="I643" s="17" t="n"/>
      <c r="J643" s="17" t="n"/>
    </row>
    <row r="644">
      <c r="A644" s="12" t="inlineStr">
        <is>
          <t>Contracts</t>
        </is>
      </c>
      <c r="B644" s="12" t="inlineStr">
        <is>
          <t>MM-11</t>
        </is>
      </c>
      <c r="C644" s="12" t="inlineStr">
        <is>
          <t>Mismatches</t>
        </is>
      </c>
      <c r="D644" s="14" t="inlineStr">
        <is>
          <t>Reminders</t>
        </is>
      </c>
      <c r="E644" s="14" t="inlineStr">
        <is>
          <t>Built in parity round 4</t>
        </is>
      </c>
      <c r="F644" s="12" t="inlineStr"/>
      <c r="G644" s="12" t="inlineStr">
        <is>
          <t>8.06, 8.16</t>
        </is>
      </c>
      <c r="H644" s="12" t="inlineStr"/>
      <c r="I644" s="17" t="n"/>
      <c r="J644" s="17" t="n"/>
    </row>
    <row r="645">
      <c r="A645" s="12" t="inlineStr">
        <is>
          <t>Contracts</t>
        </is>
      </c>
      <c r="B645" s="12" t="inlineStr">
        <is>
          <t>MM-12</t>
        </is>
      </c>
      <c r="C645" s="12" t="inlineStr">
        <is>
          <t>Mismatches</t>
        </is>
      </c>
      <c r="D645" s="14" t="inlineStr">
        <is>
          <t>Roles — who may do what with contracts</t>
        </is>
      </c>
      <c r="E645" s="14" t="inlineStr">
        <is>
          <t>Built in parity round 4</t>
        </is>
      </c>
      <c r="F645" s="12" t="inlineStr"/>
      <c r="G645" s="12" t="inlineStr">
        <is>
          <t>8.20</t>
        </is>
      </c>
      <c r="H645" s="12" t="inlineStr"/>
      <c r="I645" s="17" t="n"/>
      <c r="J645" s="17" t="n"/>
    </row>
    <row r="646">
      <c r="A646" s="12" t="inlineStr">
        <is>
          <t>Contracts</t>
        </is>
      </c>
      <c r="B646" s="12" t="inlineStr">
        <is>
          <t>CR-01</t>
        </is>
      </c>
      <c r="C646" s="12" t="inlineStr">
        <is>
          <t>The record and its ways in</t>
        </is>
      </c>
      <c r="D646" s="14" t="inlineStr">
        <is>
          <t>Ways to start a contract</t>
        </is>
      </c>
      <c r="E646" s="14" t="inlineStr">
        <is>
          <t>Built</t>
        </is>
      </c>
      <c r="F646" s="12" t="inlineStr"/>
      <c r="G646" s="12" t="inlineStr">
        <is>
          <t>8.01, 11.12, 12.10</t>
        </is>
      </c>
      <c r="H646" s="12" t="inlineStr"/>
      <c r="I646" s="17" t="n"/>
      <c r="J646" s="17" t="n"/>
    </row>
    <row r="647">
      <c r="A647" s="12" t="inlineStr">
        <is>
          <t>Contracts</t>
        </is>
      </c>
      <c r="B647" s="12" t="inlineStr">
        <is>
          <t>CR-02</t>
        </is>
      </c>
      <c r="C647" s="12" t="inlineStr">
        <is>
          <t>The record and its ways in</t>
        </is>
      </c>
      <c r="D647" s="14" t="inlineStr">
        <is>
          <t>The contract dialog’s states</t>
        </is>
      </c>
      <c r="E647" s="14" t="inlineStr">
        <is>
          <t>Built</t>
        </is>
      </c>
      <c r="F647" s="12" t="inlineStr"/>
      <c r="G647" s="12" t="inlineStr"/>
      <c r="H647" s="28" t="inlineStr">
        <is>
          <t>Team check</t>
        </is>
      </c>
      <c r="I647" s="17" t="n"/>
      <c r="J647" s="17" t="n"/>
    </row>
    <row r="648">
      <c r="A648" s="12" t="inlineStr">
        <is>
          <t>Contracts</t>
        </is>
      </c>
      <c r="B648" s="12" t="inlineStr">
        <is>
          <t>CR-03</t>
        </is>
      </c>
      <c r="C648" s="12" t="inlineStr">
        <is>
          <t>The record and its ways in</t>
        </is>
      </c>
      <c r="D648" s="14" t="inlineStr">
        <is>
          <t>A contract only with an approved quote</t>
        </is>
      </c>
      <c r="E648" s="14" t="inlineStr">
        <is>
          <t>Built</t>
        </is>
      </c>
      <c r="F648" s="12" t="inlineStr"/>
      <c r="G648" s="12" t="inlineStr"/>
      <c r="H648" s="28" t="inlineStr">
        <is>
          <t>Team check</t>
        </is>
      </c>
      <c r="I648" s="17" t="n"/>
      <c r="J648" s="17" t="n"/>
    </row>
    <row r="649">
      <c r="A649" s="12" t="inlineStr">
        <is>
          <t>Contracts</t>
        </is>
      </c>
      <c r="B649" s="12" t="inlineStr">
        <is>
          <t>CR-04</t>
        </is>
      </c>
      <c r="C649" s="12" t="inlineStr">
        <is>
          <t>The record and its ways in</t>
        </is>
      </c>
      <c r="D649" s="14" t="inlineStr">
        <is>
          <t>A record per contract</t>
        </is>
      </c>
      <c r="E649" s="14" t="inlineStr">
        <is>
          <t>2.0 only</t>
        </is>
      </c>
      <c r="F649" s="12" t="inlineStr"/>
      <c r="G649" s="12" t="inlineStr">
        <is>
          <t>8.02</t>
        </is>
      </c>
      <c r="H649" s="12" t="inlineStr"/>
      <c r="I649" s="17" t="n"/>
      <c r="J649" s="17" t="n"/>
    </row>
    <row r="650">
      <c r="A650" s="12" t="inlineStr">
        <is>
          <t>Contracts</t>
        </is>
      </c>
      <c r="B650" s="12" t="inlineStr">
        <is>
          <t>CR-05</t>
        </is>
      </c>
      <c r="C650" s="12" t="inlineStr">
        <is>
          <t>The record and its ways in</t>
        </is>
      </c>
      <c r="D650" s="14" t="inlineStr">
        <is>
          <t>Drafts kept while writing</t>
        </is>
      </c>
      <c r="E650" s="14" t="inlineStr">
        <is>
          <t>Built</t>
        </is>
      </c>
      <c r="F650" s="12" t="inlineStr"/>
      <c r="G650" s="12" t="inlineStr">
        <is>
          <t>8.02</t>
        </is>
      </c>
      <c r="H650" s="12" t="inlineStr"/>
      <c r="I650" s="17" t="n"/>
      <c r="J650" s="17" t="n"/>
    </row>
    <row r="651">
      <c r="A651" s="12" t="inlineStr">
        <is>
          <t>Contracts</t>
        </is>
      </c>
      <c r="B651" s="12" t="inlineStr">
        <is>
          <t>CR-06</t>
        </is>
      </c>
      <c r="C651" s="12" t="inlineStr">
        <is>
          <t>The record and its ways in</t>
        </is>
      </c>
      <c r="D651" s="14" t="inlineStr">
        <is>
          <t>Close and reopen</t>
        </is>
      </c>
      <c r="E651" s="14" t="inlineStr">
        <is>
          <t>Built</t>
        </is>
      </c>
      <c r="F651" s="12" t="inlineStr"/>
      <c r="G651" s="12" t="inlineStr">
        <is>
          <t>8.15</t>
        </is>
      </c>
      <c r="H651" s="12" t="inlineStr"/>
      <c r="I651" s="17" t="n"/>
      <c r="J651" s="17" t="n"/>
    </row>
    <row r="652">
      <c r="A652" s="12" t="inlineStr">
        <is>
          <t>Contracts</t>
        </is>
      </c>
      <c r="B652" s="12" t="inlineStr">
        <is>
          <t>CR-07</t>
        </is>
      </c>
      <c r="C652" s="12" t="inlineStr">
        <is>
          <t>The record and its ways in</t>
        </is>
      </c>
      <c r="D652" s="14" t="inlineStr">
        <is>
          <t>Duplicate a contract</t>
        </is>
      </c>
      <c r="E652" s="14" t="inlineStr">
        <is>
          <t>2.0 only</t>
        </is>
      </c>
      <c r="F652" s="12" t="inlineStr"/>
      <c r="G652" s="12" t="inlineStr"/>
      <c r="H652" s="28" t="inlineStr">
        <is>
          <t>Team check</t>
        </is>
      </c>
      <c r="I652" s="17" t="n"/>
      <c r="J652" s="17" t="n"/>
    </row>
    <row r="653">
      <c r="A653" s="12" t="inlineStr">
        <is>
          <t>Contracts</t>
        </is>
      </c>
      <c r="B653" s="12" t="inlineStr">
        <is>
          <t>CR-08</t>
        </is>
      </c>
      <c r="C653" s="12" t="inlineStr">
        <is>
          <t>The record and its ways in</t>
        </is>
      </c>
      <c r="D653" s="14" t="inlineStr">
        <is>
          <t>Archive</t>
        </is>
      </c>
      <c r="E653" s="14" t="inlineStr">
        <is>
          <t>Built in parity round 1</t>
        </is>
      </c>
      <c r="F653" s="12" t="inlineStr"/>
      <c r="G653" s="12" t="inlineStr"/>
      <c r="H653" s="28" t="inlineStr">
        <is>
          <t>Team check</t>
        </is>
      </c>
      <c r="I653" s="17" t="n"/>
      <c r="J653" s="17" t="n"/>
    </row>
    <row r="654">
      <c r="A654" s="12" t="inlineStr">
        <is>
          <t>Contracts</t>
        </is>
      </c>
      <c r="B654" s="12" t="inlineStr">
        <is>
          <t>CR-09</t>
        </is>
      </c>
      <c r="C654" s="12" t="inlineStr">
        <is>
          <t>The record and its ways in</t>
        </is>
      </c>
      <c r="D654" s="14" t="inlineStr">
        <is>
          <t>Delete</t>
        </is>
      </c>
      <c r="E654" s="14" t="inlineStr">
        <is>
          <t>Built in parity round 4</t>
        </is>
      </c>
      <c r="F654" s="12" t="inlineStr"/>
      <c r="G654" s="12" t="inlineStr">
        <is>
          <t>8.25, 8.26</t>
        </is>
      </c>
      <c r="H654" s="12" t="inlineStr"/>
      <c r="I654" s="17" t="n"/>
      <c r="J654" s="17" t="n"/>
    </row>
    <row r="655">
      <c r="A655" s="12" t="inlineStr">
        <is>
          <t>Contracts</t>
        </is>
      </c>
      <c r="B655" s="12" t="inlineStr">
        <is>
          <t>CR-10</t>
        </is>
      </c>
      <c r="C655" s="12" t="inlineStr">
        <is>
          <t>The record and its ways in</t>
        </is>
      </c>
      <c r="D655" s="14" t="inlineStr">
        <is>
          <t>What happens when the lead goes</t>
        </is>
      </c>
      <c r="E655" s="14" t="inlineStr">
        <is>
          <t>Built in parity round 1</t>
        </is>
      </c>
      <c r="F655" s="12" t="inlineStr"/>
      <c r="G655" s="12" t="inlineStr"/>
      <c r="H655" s="28" t="inlineStr">
        <is>
          <t>Team check</t>
        </is>
      </c>
      <c r="I655" s="17" t="n"/>
      <c r="J655" s="17" t="n"/>
    </row>
    <row r="656">
      <c r="A656" s="12" t="inlineStr">
        <is>
          <t>Contracts</t>
        </is>
      </c>
      <c r="B656" s="12" t="inlineStr">
        <is>
          <t>CD-01</t>
        </is>
      </c>
      <c r="C656" s="12" t="inlineStr">
        <is>
          <t>The document</t>
        </is>
      </c>
      <c r="D656" s="14" t="inlineStr">
        <is>
          <t>One rich-text body</t>
        </is>
      </c>
      <c r="E656" s="14" t="inlineStr">
        <is>
          <t>Built</t>
        </is>
      </c>
      <c r="F656" s="12" t="inlineStr"/>
      <c r="G656" s="12" t="inlineStr">
        <is>
          <t>8.04</t>
        </is>
      </c>
      <c r="H656" s="12" t="inlineStr"/>
      <c r="I656" s="17" t="n"/>
      <c r="J656" s="17" t="n"/>
    </row>
    <row r="657">
      <c r="A657" s="12" t="inlineStr">
        <is>
          <t>Contracts</t>
        </is>
      </c>
      <c r="B657" s="12" t="inlineStr">
        <is>
          <t>CD-02</t>
        </is>
      </c>
      <c r="C657" s="12" t="inlineStr">
        <is>
          <t>The document</t>
        </is>
      </c>
      <c r="D657" s="14" t="inlineStr">
        <is>
          <t>Start from a template or blank</t>
        </is>
      </c>
      <c r="E657" s="14" t="inlineStr">
        <is>
          <t>Built</t>
        </is>
      </c>
      <c r="F657" s="12" t="inlineStr"/>
      <c r="G657" s="12" t="inlineStr">
        <is>
          <t>8.01</t>
        </is>
      </c>
      <c r="H657" s="12" t="inlineStr"/>
      <c r="I657" s="17" t="n"/>
      <c r="J657" s="17" t="n"/>
    </row>
    <row r="658">
      <c r="A658" s="12" t="inlineStr">
        <is>
          <t>Contracts</t>
        </is>
      </c>
      <c r="B658" s="12" t="inlineStr">
        <is>
          <t>CD-03</t>
        </is>
      </c>
      <c r="C658" s="12" t="inlineStr">
        <is>
          <t>The document</t>
        </is>
      </c>
      <c r="D658" s="14" t="inlineStr">
        <is>
          <t>Save as a new template</t>
        </is>
      </c>
      <c r="E658" s="14" t="inlineStr">
        <is>
          <t>Built</t>
        </is>
      </c>
      <c r="F658" s="12" t="inlineStr"/>
      <c r="G658" s="12" t="inlineStr"/>
      <c r="H658" s="28" t="inlineStr">
        <is>
          <t>Team check</t>
        </is>
      </c>
      <c r="I658" s="17" t="n"/>
      <c r="J658" s="17" t="n"/>
    </row>
    <row r="659">
      <c r="A659" s="12" t="inlineStr">
        <is>
          <t>Contracts</t>
        </is>
      </c>
      <c r="B659" s="12" t="inlineStr">
        <is>
          <t>CD-04</t>
        </is>
      </c>
      <c r="C659" s="12" t="inlineStr">
        <is>
          <t>The document</t>
        </is>
      </c>
      <c r="D659" s="14" t="inlineStr">
        <is>
          <t>The live preview matches the client’s page</t>
        </is>
      </c>
      <c r="E659" s="14" t="inlineStr">
        <is>
          <t>Built in parity round 1</t>
        </is>
      </c>
      <c r="F659" s="12" t="inlineStr"/>
      <c r="G659" s="12" t="inlineStr"/>
      <c r="H659" s="28" t="inlineStr">
        <is>
          <t>Team check</t>
        </is>
      </c>
      <c r="I659" s="17" t="n"/>
      <c r="J659" s="17" t="n"/>
    </row>
    <row r="660">
      <c r="A660" s="12" t="inlineStr">
        <is>
          <t>Contracts</t>
        </is>
      </c>
      <c r="B660" s="12" t="inlineStr">
        <is>
          <t>CD-05</t>
        </is>
      </c>
      <c r="C660" s="12" t="inlineStr">
        <is>
          <t>The document</t>
        </is>
      </c>
      <c r="D660" s="14" t="inlineStr">
        <is>
          <t>Formatting survives on every surface</t>
        </is>
      </c>
      <c r="E660" s="14" t="inlineStr">
        <is>
          <t>Built</t>
        </is>
      </c>
      <c r="F660" s="12" t="inlineStr"/>
      <c r="G660" s="12" t="inlineStr"/>
      <c r="H660" s="28" t="inlineStr">
        <is>
          <t>Team check</t>
        </is>
      </c>
      <c r="I660" s="17" t="n"/>
      <c r="J660" s="17" t="n"/>
    </row>
    <row r="661">
      <c r="A661" s="12" t="inlineStr">
        <is>
          <t>Contracts</t>
        </is>
      </c>
      <c r="B661" s="12" t="inlineStr">
        <is>
          <t>CD-06</t>
        </is>
      </c>
      <c r="C661" s="12" t="inlineStr">
        <is>
          <t>The document</t>
        </is>
      </c>
      <c r="D661" s="14" t="inlineStr">
        <is>
          <t>Cleaning pasted HTML safely</t>
        </is>
      </c>
      <c r="E661" s="14" t="inlineStr">
        <is>
          <t>Built in parity round 1</t>
        </is>
      </c>
      <c r="F661" s="12" t="inlineStr"/>
      <c r="G661" s="12" t="inlineStr"/>
      <c r="H661" s="28" t="inlineStr">
        <is>
          <t>Team check</t>
        </is>
      </c>
      <c r="I661" s="17" t="n"/>
      <c r="J661" s="17" t="n"/>
    </row>
    <row r="662">
      <c r="A662" s="12" t="inlineStr">
        <is>
          <t>Contracts</t>
        </is>
      </c>
      <c r="B662" s="12" t="inlineStr">
        <is>
          <t>CD-07</t>
        </is>
      </c>
      <c r="C662" s="12" t="inlineStr">
        <is>
          <t>The document</t>
        </is>
      </c>
      <c r="D662" s="14" t="inlineStr">
        <is>
          <t>Download as PDF</t>
        </is>
      </c>
      <c r="E662" s="14" t="inlineStr">
        <is>
          <t>Platform</t>
        </is>
      </c>
      <c r="F662" s="12" t="inlineStr">
        <is>
          <t>A PDF contract downloads its kept file; a written one prints (S03, S34)</t>
        </is>
      </c>
      <c r="G662" s="12" t="inlineStr">
        <is>
          <t>8.13</t>
        </is>
      </c>
      <c r="H662" s="12" t="inlineStr"/>
      <c r="I662" s="17" t="n"/>
      <c r="J662" s="17" t="n"/>
    </row>
    <row r="663">
      <c r="A663" s="12" t="inlineStr">
        <is>
          <t>Contracts</t>
        </is>
      </c>
      <c r="B663" s="12" t="inlineStr">
        <is>
          <t>CD-08</t>
        </is>
      </c>
      <c r="C663" s="12" t="inlineStr">
        <is>
          <t>The document</t>
        </is>
      </c>
      <c r="D663" s="14" t="inlineStr">
        <is>
          <t>The PDF page layout</t>
        </is>
      </c>
      <c r="E663" s="14" t="inlineStr">
        <is>
          <t>Built</t>
        </is>
      </c>
      <c r="F663" s="12" t="inlineStr"/>
      <c r="G663" s="12" t="inlineStr">
        <is>
          <t>8.13</t>
        </is>
      </c>
      <c r="H663" s="12" t="inlineStr"/>
      <c r="I663" s="17" t="n"/>
      <c r="J663" s="17" t="n"/>
    </row>
    <row r="664">
      <c r="A664" s="12" t="inlineStr">
        <is>
          <t>Contracts</t>
        </is>
      </c>
      <c r="B664" s="12" t="inlineStr">
        <is>
          <t>CD-09</t>
        </is>
      </c>
      <c r="C664" s="12" t="inlineStr">
        <is>
          <t>The document</t>
        </is>
      </c>
      <c r="D664" s="14" t="inlineStr">
        <is>
          <t>Checks before sending</t>
        </is>
      </c>
      <c r="E664" s="14" t="inlineStr">
        <is>
          <t>Built in parity round 4</t>
        </is>
      </c>
      <c r="F664" s="12" t="inlineStr"/>
      <c r="G664" s="12" t="inlineStr">
        <is>
          <t>8.07, 8.22</t>
        </is>
      </c>
      <c r="H664" s="12" t="inlineStr"/>
      <c r="I664" s="17" t="n"/>
      <c r="J664" s="17" t="n"/>
    </row>
    <row r="665">
      <c r="A665" s="12" t="inlineStr">
        <is>
          <t>Contracts</t>
        </is>
      </c>
      <c r="B665" s="12" t="inlineStr">
        <is>
          <t>CD-10</t>
        </is>
      </c>
      <c r="C665" s="12" t="inlineStr">
        <is>
          <t>The document</t>
        </is>
      </c>
      <c r="D665" s="14" t="inlineStr">
        <is>
          <t>Read-only once signed</t>
        </is>
      </c>
      <c r="E665" s="14" t="inlineStr">
        <is>
          <t>Built in parity round 1</t>
        </is>
      </c>
      <c r="F665" s="12" t="inlineStr"/>
      <c r="G665" s="12" t="inlineStr">
        <is>
          <t>8.14</t>
        </is>
      </c>
      <c r="H665" s="12" t="inlineStr"/>
      <c r="I665" s="17" t="n"/>
      <c r="J665" s="17" t="n"/>
    </row>
    <row r="666">
      <c r="A666" s="12" t="inlineStr">
        <is>
          <t>Contracts</t>
        </is>
      </c>
      <c r="B666" s="12" t="inlineStr">
        <is>
          <t>CD-11</t>
        </is>
      </c>
      <c r="C666" s="12" t="inlineStr">
        <is>
          <t>The document</t>
        </is>
      </c>
      <c r="D666" s="14" t="inlineStr">
        <is>
          <t>Outline of headings</t>
        </is>
      </c>
      <c r="E666" s="14" t="inlineStr">
        <is>
          <t>2.0 only</t>
        </is>
      </c>
      <c r="F666" s="12" t="inlineStr"/>
      <c r="G666" s="12" t="inlineStr">
        <is>
          <t>8.04</t>
        </is>
      </c>
      <c r="H666" s="12" t="inlineStr"/>
      <c r="I666" s="17" t="n"/>
      <c r="J666" s="17" t="n"/>
    </row>
    <row r="667">
      <c r="A667" s="12" t="inlineStr">
        <is>
          <t>Contracts</t>
        </is>
      </c>
      <c r="B667" s="12" t="inlineStr">
        <is>
          <t>CD-12</t>
        </is>
      </c>
      <c r="C667" s="12" t="inlineStr">
        <is>
          <t>The document</t>
        </is>
      </c>
      <c r="D667" s="14" t="inlineStr">
        <is>
          <t>An uploaded contract file</t>
        </is>
      </c>
      <c r="E667" s="14" t="inlineStr">
        <is>
          <t>Built</t>
        </is>
      </c>
      <c r="F667" s="12" t="inlineStr">
        <is>
          <t>The PDF kept in the lead’s Files › Contract &amp; VOs and shown (S03)</t>
        </is>
      </c>
      <c r="G667" s="12" t="inlineStr">
        <is>
          <t>8.19</t>
        </is>
      </c>
      <c r="H667" s="12" t="inlineStr"/>
      <c r="I667" s="17" t="n"/>
      <c r="J667" s="17" t="n"/>
    </row>
    <row r="668">
      <c r="A668" s="12" t="inlineStr">
        <is>
          <t>Contracts</t>
        </is>
      </c>
      <c r="B668" s="12" t="inlineStr">
        <is>
          <t>CM-01</t>
        </is>
      </c>
      <c r="C668" s="12" t="inlineStr">
        <is>
          <t>Smart text</t>
        </is>
      </c>
      <c r="D668" s="14" t="inlineStr">
        <is>
          <t>The merge fields</t>
        </is>
      </c>
      <c r="E668" s="14" t="inlineStr">
        <is>
          <t>Built</t>
        </is>
      </c>
      <c r="F668" s="12" t="inlineStr"/>
      <c r="G668" s="12" t="inlineStr">
        <is>
          <t>8.03</t>
        </is>
      </c>
      <c r="H668" s="12" t="inlineStr"/>
      <c r="I668" s="17" t="n"/>
      <c r="J668" s="17" t="n"/>
    </row>
    <row r="669">
      <c r="A669" s="12" t="inlineStr">
        <is>
          <t>Contracts</t>
        </is>
      </c>
      <c r="B669" s="12" t="inlineStr">
        <is>
          <t>CM-02</t>
        </is>
      </c>
      <c r="C669" s="12" t="inlineStr">
        <is>
          <t>Smart text</t>
        </is>
      </c>
      <c r="D669" s="14" t="inlineStr">
        <is>
          <t>Client name</t>
        </is>
      </c>
      <c r="E669" s="14" t="inlineStr">
        <is>
          <t>Built</t>
        </is>
      </c>
      <c r="F669" s="12" t="inlineStr"/>
      <c r="G669" s="12" t="inlineStr"/>
      <c r="H669" s="28" t="inlineStr">
        <is>
          <t>Team check</t>
        </is>
      </c>
      <c r="I669" s="17" t="n"/>
      <c r="J669" s="17" t="n"/>
    </row>
    <row r="670">
      <c r="A670" s="12" t="inlineStr">
        <is>
          <t>Contracts</t>
        </is>
      </c>
      <c r="B670" s="12" t="inlineStr">
        <is>
          <t>CM-03</t>
        </is>
      </c>
      <c r="C670" s="12" t="inlineStr">
        <is>
          <t>Smart text</t>
        </is>
      </c>
      <c r="D670" s="14" t="inlineStr">
        <is>
          <t>Quote total</t>
        </is>
      </c>
      <c r="E670" s="14" t="inlineStr">
        <is>
          <t>Built in parity round 2</t>
        </is>
      </c>
      <c r="F670" s="12" t="inlineStr"/>
      <c r="G670" s="12" t="inlineStr">
        <is>
          <t>8.03</t>
        </is>
      </c>
      <c r="H670" s="12" t="inlineStr"/>
      <c r="I670" s="17" t="n"/>
      <c r="J670" s="17" t="n"/>
    </row>
    <row r="671">
      <c r="A671" s="12" t="inlineStr">
        <is>
          <t>Contracts</t>
        </is>
      </c>
      <c r="B671" s="12" t="inlineStr">
        <is>
          <t>CM-04</t>
        </is>
      </c>
      <c r="C671" s="12" t="inlineStr">
        <is>
          <t>Smart text</t>
        </is>
      </c>
      <c r="D671" s="14" t="inlineStr">
        <is>
          <t>Project address</t>
        </is>
      </c>
      <c r="E671" s="14" t="inlineStr">
        <is>
          <t>Built</t>
        </is>
      </c>
      <c r="F671" s="12" t="inlineStr"/>
      <c r="G671" s="12" t="inlineStr"/>
      <c r="H671" s="28" t="inlineStr">
        <is>
          <t>Team check</t>
        </is>
      </c>
      <c r="I671" s="17" t="n"/>
      <c r="J671" s="17" t="n"/>
    </row>
    <row r="672">
      <c r="A672" s="12" t="inlineStr">
        <is>
          <t>Contracts</t>
        </is>
      </c>
      <c r="B672" s="12" t="inlineStr">
        <is>
          <t>CM-05</t>
        </is>
      </c>
      <c r="C672" s="12" t="inlineStr">
        <is>
          <t>Smart text</t>
        </is>
      </c>
      <c r="D672" s="14" t="inlineStr">
        <is>
          <t>Dates</t>
        </is>
      </c>
      <c r="E672" s="14" t="inlineStr">
        <is>
          <t>Built</t>
        </is>
      </c>
      <c r="F672" s="12" t="inlineStr">
        <is>
          <t>No start date — key collection is a period (Q-11)</t>
        </is>
      </c>
      <c r="G672" s="12" t="inlineStr"/>
      <c r="H672" s="28" t="inlineStr">
        <is>
          <t>Team check</t>
        </is>
      </c>
      <c r="I672" s="17" t="n"/>
      <c r="J672" s="17" t="n"/>
    </row>
    <row r="673">
      <c r="A673" s="12" t="inlineStr">
        <is>
          <t>Contracts</t>
        </is>
      </c>
      <c r="B673" s="12" t="inlineStr">
        <is>
          <t>CM-06</t>
        </is>
      </c>
      <c r="C673" s="12" t="inlineStr">
        <is>
          <t>Smart text</t>
        </is>
      </c>
      <c r="D673" s="14" t="inlineStr">
        <is>
          <t>The entity’s fields incl. GST number</t>
        </is>
      </c>
      <c r="E673" s="14" t="inlineStr">
        <is>
          <t>Built in parity round 2</t>
        </is>
      </c>
      <c r="F673" s="12" t="inlineStr"/>
      <c r="G673" s="12" t="inlineStr">
        <is>
          <t>8.03</t>
        </is>
      </c>
      <c r="H673" s="12" t="inlineStr"/>
      <c r="I673" s="17" t="n"/>
      <c r="J673" s="17" t="n"/>
    </row>
    <row r="674">
      <c r="A674" s="12" t="inlineStr">
        <is>
          <t>Contracts</t>
        </is>
      </c>
      <c r="B674" s="12" t="inlineStr">
        <is>
          <t>CM-07</t>
        </is>
      </c>
      <c r="C674" s="12" t="inlineStr">
        <is>
          <t>Smart text</t>
        </is>
      </c>
      <c r="D674" s="14" t="inlineStr">
        <is>
          <t>Variables list showing each value</t>
        </is>
      </c>
      <c r="E674" s="14" t="inlineStr">
        <is>
          <t>Built in parity round 2</t>
        </is>
      </c>
      <c r="F674" s="12" t="inlineStr"/>
      <c r="G674" s="12" t="inlineStr">
        <is>
          <t>8.03</t>
        </is>
      </c>
      <c r="H674" s="12" t="inlineStr"/>
      <c r="I674" s="17" t="n"/>
      <c r="J674" s="17" t="n"/>
    </row>
    <row r="675">
      <c r="A675" s="12" t="inlineStr">
        <is>
          <t>Contracts</t>
        </is>
      </c>
      <c r="B675" s="12" t="inlineStr">
        <is>
          <t>CM-08</t>
        </is>
      </c>
      <c r="C675" s="12" t="inlineStr">
        <is>
          <t>Smart text</t>
        </is>
      </c>
      <c r="D675" s="14" t="inlineStr">
        <is>
          <t>Unknown and empty fields</t>
        </is>
      </c>
      <c r="E675" s="14" t="inlineStr">
        <is>
          <t>Built</t>
        </is>
      </c>
      <c r="F675" s="12" t="inlineStr"/>
      <c r="G675" s="12" t="inlineStr">
        <is>
          <t>8.03</t>
        </is>
      </c>
      <c r="H675" s="12" t="inlineStr"/>
      <c r="I675" s="17" t="n"/>
      <c r="J675" s="17" t="n"/>
    </row>
    <row r="676">
      <c r="A676" s="12" t="inlineStr">
        <is>
          <t>Contracts</t>
        </is>
      </c>
      <c r="B676" s="12" t="inlineStr">
        <is>
          <t>CM-09</t>
        </is>
      </c>
      <c r="C676" s="12" t="inlineStr">
        <is>
          <t>Smart text</t>
        </is>
      </c>
      <c r="D676" s="14" t="inlineStr">
        <is>
          <t>Money format</t>
        </is>
      </c>
      <c r="E676" s="14" t="inlineStr">
        <is>
          <t>Built</t>
        </is>
      </c>
      <c r="F676" s="12" t="inlineStr"/>
      <c r="G676" s="12" t="inlineStr">
        <is>
          <t>8.03</t>
        </is>
      </c>
      <c r="H676" s="12" t="inlineStr"/>
      <c r="I676" s="17" t="n"/>
      <c r="J676" s="17" t="n"/>
    </row>
    <row r="677">
      <c r="A677" s="12" t="inlineStr">
        <is>
          <t>Contracts</t>
        </is>
      </c>
      <c r="B677" s="12" t="inlineStr">
        <is>
          <t>CM-10</t>
        </is>
      </c>
      <c r="C677" s="12" t="inlineStr">
        <is>
          <t>Smart text</t>
        </is>
      </c>
      <c r="D677" s="14" t="inlineStr">
        <is>
          <t>Values fixed when sent</t>
        </is>
      </c>
      <c r="E677" s="14" t="inlineStr">
        <is>
          <t>Built in parity round 1</t>
        </is>
      </c>
      <c r="F677" s="12" t="inlineStr"/>
      <c r="G677" s="12" t="inlineStr">
        <is>
          <t>8.14</t>
        </is>
      </c>
      <c r="H677" s="12" t="inlineStr"/>
      <c r="I677" s="17" t="n"/>
      <c r="J677" s="17" t="n"/>
    </row>
    <row r="678">
      <c r="A678" s="12" t="inlineStr">
        <is>
          <t>Contracts</t>
        </is>
      </c>
      <c r="B678" s="12" t="inlineStr">
        <is>
          <t>CT-01</t>
        </is>
      </c>
      <c r="C678" s="12" t="inlineStr">
        <is>
          <t>Templates</t>
        </is>
      </c>
      <c r="D678" s="14" t="inlineStr">
        <is>
          <t>Where contract templates live</t>
        </is>
      </c>
      <c r="E678" s="14" t="inlineStr">
        <is>
          <t>Built</t>
        </is>
      </c>
      <c r="F678" s="12" t="inlineStr"/>
      <c r="G678" s="12" t="inlineStr">
        <is>
          <t>3.21, 8.01</t>
        </is>
      </c>
      <c r="H678" s="12" t="inlineStr"/>
      <c r="I678" s="17" t="n"/>
      <c r="J678" s="17" t="n"/>
    </row>
    <row r="679">
      <c r="A679" s="12" t="inlineStr">
        <is>
          <t>Contracts</t>
        </is>
      </c>
      <c r="B679" s="12" t="inlineStr">
        <is>
          <t>CT-02</t>
        </is>
      </c>
      <c r="C679" s="12" t="inlineStr">
        <is>
          <t>Templates</t>
        </is>
      </c>
      <c r="D679" s="14" t="inlineStr">
        <is>
          <t>The template picker</t>
        </is>
      </c>
      <c r="E679" s="14" t="inlineStr">
        <is>
          <t>Built</t>
        </is>
      </c>
      <c r="F679" s="12" t="inlineStr"/>
      <c r="G679" s="12" t="inlineStr">
        <is>
          <t>8.01</t>
        </is>
      </c>
      <c r="H679" s="12" t="inlineStr"/>
      <c r="I679" s="17" t="n"/>
      <c r="J679" s="17" t="n"/>
    </row>
    <row r="680">
      <c r="A680" s="12" t="inlineStr">
        <is>
          <t>Contracts</t>
        </is>
      </c>
      <c r="B680" s="12" t="inlineStr">
        <is>
          <t>CT-03</t>
        </is>
      </c>
      <c r="C680" s="12" t="inlineStr">
        <is>
          <t>Templates</t>
        </is>
      </c>
      <c r="D680" s="14" t="inlineStr">
        <is>
          <t>No templates yet</t>
        </is>
      </c>
      <c r="E680" s="14" t="inlineStr">
        <is>
          <t>Built</t>
        </is>
      </c>
      <c r="F680" s="12" t="inlineStr"/>
      <c r="G680" s="12" t="inlineStr">
        <is>
          <t>3.21</t>
        </is>
      </c>
      <c r="H680" s="12" t="inlineStr"/>
      <c r="I680" s="17" t="n"/>
      <c r="J680" s="17" t="n"/>
    </row>
    <row r="681">
      <c r="A681" s="12" t="inlineStr">
        <is>
          <t>Contracts</t>
        </is>
      </c>
      <c r="B681" s="12" t="inlineStr">
        <is>
          <t>CT-04</t>
        </is>
      </c>
      <c r="C681" s="12" t="inlineStr">
        <is>
          <t>Templates</t>
        </is>
      </c>
      <c r="D681" s="14" t="inlineStr">
        <is>
          <t>The default template</t>
        </is>
      </c>
      <c r="E681" s="14" t="inlineStr">
        <is>
          <t>Built in parity round 2</t>
        </is>
      </c>
      <c r="F681" s="12" t="inlineStr"/>
      <c r="G681" s="12" t="inlineStr">
        <is>
          <t>3.22, 8.01</t>
        </is>
      </c>
      <c r="H681" s="12" t="inlineStr"/>
      <c r="I681" s="17" t="n"/>
      <c r="J681" s="17" t="n"/>
    </row>
    <row r="682">
      <c r="A682" s="12" t="inlineStr">
        <is>
          <t>Contracts</t>
        </is>
      </c>
      <c r="B682" s="12" t="inlineStr">
        <is>
          <t>CT-05</t>
        </is>
      </c>
      <c r="C682" s="12" t="inlineStr">
        <is>
          <t>Templates</t>
        </is>
      </c>
      <c r="D682" s="14" t="inlineStr">
        <is>
          <t>Per-entity template copies</t>
        </is>
      </c>
      <c r="E682" s="14" t="inlineStr">
        <is>
          <t>Not built — by design</t>
        </is>
      </c>
      <c r="F682" s="12" t="inlineStr">
        <is>
          <t>The contract’s issuing entity picks the letterhead instead (Q-29)</t>
        </is>
      </c>
      <c r="G682" s="12" t="inlineStr"/>
      <c r="H682" s="12" t="inlineStr"/>
      <c r="I682" s="17" t="n"/>
      <c r="J682" s="17" t="n"/>
    </row>
    <row r="683">
      <c r="A683" s="12" t="inlineStr">
        <is>
          <t>Contracts</t>
        </is>
      </c>
      <c r="B683" s="12" t="inlineStr">
        <is>
          <t>CT-06</t>
        </is>
      </c>
      <c r="C683" s="12" t="inlineStr">
        <is>
          <t>Templates</t>
        </is>
      </c>
      <c r="D683" s="14" t="inlineStr">
        <is>
          <t>The seeded contract template</t>
        </is>
      </c>
      <c r="E683" s="14" t="inlineStr">
        <is>
          <t>Built</t>
        </is>
      </c>
      <c r="F683" s="12" t="inlineStr"/>
      <c r="G683" s="12" t="inlineStr"/>
      <c r="H683" s="28" t="inlineStr">
        <is>
          <t>Team check</t>
        </is>
      </c>
      <c r="I683" s="17" t="n"/>
      <c r="J683" s="17" t="n"/>
    </row>
    <row r="684">
      <c r="A684" s="12" t="inlineStr">
        <is>
          <t>Contracts</t>
        </is>
      </c>
      <c r="B684" s="12" t="inlineStr">
        <is>
          <t>CT-07</t>
        </is>
      </c>
      <c r="C684" s="12" t="inlineStr">
        <is>
          <t>Templates</t>
        </is>
      </c>
      <c r="D684" s="14" t="inlineStr">
        <is>
          <t>The template editor</t>
        </is>
      </c>
      <c r="E684" s="14" t="inlineStr">
        <is>
          <t>Built</t>
        </is>
      </c>
      <c r="F684" s="12" t="inlineStr"/>
      <c r="G684" s="12" t="inlineStr">
        <is>
          <t>3.21</t>
        </is>
      </c>
      <c r="H684" s="12" t="inlineStr"/>
      <c r="I684" s="17" t="n"/>
      <c r="J684" s="17" t="n"/>
    </row>
    <row r="685">
      <c r="A685" s="12" t="inlineStr">
        <is>
          <t>Contracts</t>
        </is>
      </c>
      <c r="B685" s="12" t="inlineStr">
        <is>
          <t>CT-08</t>
        </is>
      </c>
      <c r="C685" s="12" t="inlineStr">
        <is>
          <t>Templates</t>
        </is>
      </c>
      <c r="D685" s="14" t="inlineStr">
        <is>
          <t>Delete a template</t>
        </is>
      </c>
      <c r="E685" s="14" t="inlineStr">
        <is>
          <t>Built in parity round 4</t>
        </is>
      </c>
      <c r="F685" s="12" t="inlineStr"/>
      <c r="G685" s="12" t="inlineStr"/>
      <c r="H685" s="28" t="inlineStr">
        <is>
          <t>Team check</t>
        </is>
      </c>
      <c r="I685" s="17" t="n"/>
      <c r="J685" s="17" t="n"/>
    </row>
    <row r="686">
      <c r="A686" s="12" t="inlineStr">
        <is>
          <t>Contracts</t>
        </is>
      </c>
      <c r="B686" s="12" t="inlineStr">
        <is>
          <t>CT-09</t>
        </is>
      </c>
      <c r="C686" s="12" t="inlineStr">
        <is>
          <t>Templates</t>
        </is>
      </c>
      <c r="D686" s="14" t="inlineStr">
        <is>
          <t>Who edits templates</t>
        </is>
      </c>
      <c r="E686" s="14" t="inlineStr">
        <is>
          <t>Built</t>
        </is>
      </c>
      <c r="F686" s="12" t="inlineStr"/>
      <c r="G686" s="12" t="inlineStr"/>
      <c r="H686" s="28" t="inlineStr">
        <is>
          <t>Team check</t>
        </is>
      </c>
      <c r="I686" s="17" t="n"/>
      <c r="J686" s="17" t="n"/>
    </row>
    <row r="687">
      <c r="A687" s="12" t="inlineStr">
        <is>
          <t>Contracts</t>
        </is>
      </c>
      <c r="B687" s="12" t="inlineStr">
        <is>
          <t>CT-10</t>
        </is>
      </c>
      <c r="C687" s="12" t="inlineStr">
        <is>
          <t>Templates</t>
        </is>
      </c>
      <c r="D687" s="14" t="inlineStr">
        <is>
          <t>Which template a contract came from</t>
        </is>
      </c>
      <c r="E687" s="14" t="inlineStr">
        <is>
          <t>Built</t>
        </is>
      </c>
      <c r="F687" s="12" t="inlineStr"/>
      <c r="G687" s="12" t="inlineStr">
        <is>
          <t>8.02</t>
        </is>
      </c>
      <c r="H687" s="12" t="inlineStr"/>
      <c r="I687" s="17" t="n"/>
      <c r="J687" s="17" t="n"/>
    </row>
    <row r="688">
      <c r="A688" s="12" t="inlineStr">
        <is>
          <t>Contracts</t>
        </is>
      </c>
      <c r="B688" s="12" t="inlineStr">
        <is>
          <t>CT-11</t>
        </is>
      </c>
      <c r="C688" s="12" t="inlineStr">
        <is>
          <t>Templates</t>
        </is>
      </c>
      <c r="D688" s="14" t="inlineStr">
        <is>
          <t>Updated by</t>
        </is>
      </c>
      <c r="E688" s="14" t="inlineStr">
        <is>
          <t>Built in parity round 4</t>
        </is>
      </c>
      <c r="F688" s="12" t="inlineStr"/>
      <c r="G688" s="12" t="inlineStr"/>
      <c r="H688" s="28" t="inlineStr">
        <is>
          <t>Team check</t>
        </is>
      </c>
      <c r="I688" s="17" t="n"/>
      <c r="J688" s="17" t="n"/>
    </row>
    <row r="689">
      <c r="A689" s="12" t="inlineStr">
        <is>
          <t>Contracts</t>
        </is>
      </c>
      <c r="B689" s="12" t="inlineStr">
        <is>
          <t>CT-12</t>
        </is>
      </c>
      <c r="C689" s="12" t="inlineStr">
        <is>
          <t>Templates</t>
        </is>
      </c>
      <c r="D689" s="14" t="inlineStr">
        <is>
          <t>Signing flow order setting</t>
        </is>
      </c>
      <c r="E689" s="14" t="inlineStr">
        <is>
          <t>Dead</t>
        </is>
      </c>
      <c r="F689" s="12" t="inlineStr">
        <is>
          <t>Seeded in 1.0, never read</t>
        </is>
      </c>
      <c r="G689" s="12" t="inlineStr"/>
      <c r="H689" s="12" t="inlineStr"/>
      <c r="I689" s="17" t="n"/>
      <c r="J689" s="17" t="n"/>
    </row>
    <row r="690">
      <c r="A690" s="12" t="inlineStr">
        <is>
          <t>Contracts</t>
        </is>
      </c>
      <c r="B690" s="12" t="inlineStr">
        <is>
          <t>CT-13</t>
        </is>
      </c>
      <c r="C690" s="12" t="inlineStr">
        <is>
          <t>Templates</t>
        </is>
      </c>
      <c r="D690" s="14" t="inlineStr">
        <is>
          <t>T&amp;Cs at signing</t>
        </is>
      </c>
      <c r="E690" s="14" t="inlineStr">
        <is>
          <t>Built</t>
        </is>
      </c>
      <c r="F690" s="12" t="inlineStr"/>
      <c r="G690" s="12" t="inlineStr">
        <is>
          <t>8.09</t>
        </is>
      </c>
      <c r="H690" s="12" t="inlineStr"/>
      <c r="I690" s="17" t="n"/>
      <c r="J690" s="17" t="n"/>
    </row>
    <row r="691">
      <c r="A691" s="12" t="inlineStr">
        <is>
          <t>Contracts</t>
        </is>
      </c>
      <c r="B691" s="12" t="inlineStr">
        <is>
          <t>CT-14</t>
        </is>
      </c>
      <c r="C691" s="12" t="inlineStr">
        <is>
          <t>Templates</t>
        </is>
      </c>
      <c r="D691" s="14" t="inlineStr">
        <is>
          <t>Read and accept checks on a document</t>
        </is>
      </c>
      <c r="E691" s="14" t="inlineStr">
        <is>
          <t>Built in parity round 3</t>
        </is>
      </c>
      <c r="F691" s="12" t="inlineStr"/>
      <c r="G691" s="12" t="inlineStr">
        <is>
          <t>3.21, 8.05</t>
        </is>
      </c>
      <c r="H691" s="12" t="inlineStr"/>
      <c r="I691" s="17" t="n"/>
      <c r="J691" s="17" t="n"/>
    </row>
    <row r="692">
      <c r="A692" s="12" t="inlineStr">
        <is>
          <t>Contracts</t>
        </is>
      </c>
      <c r="B692" s="12" t="inlineStr">
        <is>
          <t>CQ-01</t>
        </is>
      </c>
      <c r="C692" s="12" t="inlineStr">
        <is>
          <t>The quote and the issuing entity</t>
        </is>
      </c>
      <c r="D692" s="14" t="inlineStr">
        <is>
          <t>Which quote the contract reads</t>
        </is>
      </c>
      <c r="E692" s="14" t="inlineStr">
        <is>
          <t>Built in parity round 2</t>
        </is>
      </c>
      <c r="F692" s="12" t="inlineStr"/>
      <c r="G692" s="12" t="inlineStr">
        <is>
          <t>8.02</t>
        </is>
      </c>
      <c r="H692" s="12" t="inlineStr"/>
      <c r="I692" s="17" t="n"/>
      <c r="J692" s="17" t="n"/>
    </row>
    <row r="693">
      <c r="A693" s="12" t="inlineStr">
        <is>
          <t>Contracts</t>
        </is>
      </c>
      <c r="B693" s="12" t="inlineStr">
        <is>
          <t>CQ-02</t>
        </is>
      </c>
      <c r="C693" s="12" t="inlineStr">
        <is>
          <t>The quote and the issuing entity</t>
        </is>
      </c>
      <c r="D693" s="14" t="inlineStr">
        <is>
          <t>Choosing the quote</t>
        </is>
      </c>
      <c r="E693" s="14" t="inlineStr">
        <is>
          <t>Built in parity round 2</t>
        </is>
      </c>
      <c r="F693" s="12" t="inlineStr"/>
      <c r="G693" s="12" t="inlineStr">
        <is>
          <t>8.02</t>
        </is>
      </c>
      <c r="H693" s="12" t="inlineStr"/>
      <c r="I693" s="17" t="n"/>
      <c r="J693" s="17" t="n"/>
    </row>
    <row r="694">
      <c r="A694" s="12" t="inlineStr">
        <is>
          <t>Contracts</t>
        </is>
      </c>
      <c r="B694" s="12" t="inlineStr">
        <is>
          <t>CQ-03</t>
        </is>
      </c>
      <c r="C694" s="12" t="inlineStr">
        <is>
          <t>The quote and the issuing entity</t>
        </is>
      </c>
      <c r="D694" s="14" t="inlineStr">
        <is>
          <t>The quote shown on the contract</t>
        </is>
      </c>
      <c r="E694" s="14" t="inlineStr">
        <is>
          <t>Built in parity round 2</t>
        </is>
      </c>
      <c r="F694" s="12" t="inlineStr"/>
      <c r="G694" s="12" t="inlineStr">
        <is>
          <t>8.02</t>
        </is>
      </c>
      <c r="H694" s="12" t="inlineStr"/>
      <c r="I694" s="17" t="n"/>
      <c r="J694" s="17" t="n"/>
    </row>
    <row r="695">
      <c r="A695" s="12" t="inlineStr">
        <is>
          <t>Contracts</t>
        </is>
      </c>
      <c r="B695" s="12" t="inlineStr">
        <is>
          <t>CQ-04</t>
        </is>
      </c>
      <c r="C695" s="12" t="inlineStr">
        <is>
          <t>The quote and the issuing entity</t>
        </is>
      </c>
      <c r="D695" s="14" t="inlineStr">
        <is>
          <t>The contract shown on the quote</t>
        </is>
      </c>
      <c r="E695" s="14" t="inlineStr">
        <is>
          <t>Built in parity round 2</t>
        </is>
      </c>
      <c r="F695" s="12" t="inlineStr"/>
      <c r="G695" s="12" t="inlineStr">
        <is>
          <t>8.15</t>
        </is>
      </c>
      <c r="H695" s="12" t="inlineStr"/>
      <c r="I695" s="17" t="n"/>
      <c r="J695" s="17" t="n"/>
    </row>
    <row r="696">
      <c r="A696" s="12" t="inlineStr">
        <is>
          <t>Contracts</t>
        </is>
      </c>
      <c r="B696" s="12" t="inlineStr">
        <is>
          <t>CQ-05</t>
        </is>
      </c>
      <c r="C696" s="12" t="inlineStr">
        <is>
          <t>The quote and the issuing entity</t>
        </is>
      </c>
      <c r="D696" s="14" t="inlineStr">
        <is>
          <t>Signing the contract signs the quote</t>
        </is>
      </c>
      <c r="E696" s="14" t="inlineStr">
        <is>
          <t>Built</t>
        </is>
      </c>
      <c r="F696" s="12" t="inlineStr"/>
      <c r="G696" s="12" t="inlineStr">
        <is>
          <t>8.15</t>
        </is>
      </c>
      <c r="H696" s="12" t="inlineStr"/>
      <c r="I696" s="17" t="n"/>
      <c r="J696" s="17" t="n"/>
    </row>
    <row r="697">
      <c r="A697" s="12" t="inlineStr">
        <is>
          <t>Contracts</t>
        </is>
      </c>
      <c r="B697" s="12" t="inlineStr">
        <is>
          <t>CQ-06</t>
        </is>
      </c>
      <c r="C697" s="12" t="inlineStr">
        <is>
          <t>The quote and the issuing entity</t>
        </is>
      </c>
      <c r="D697" s="14" t="inlineStr">
        <is>
          <t>One signed base quote per lead</t>
        </is>
      </c>
      <c r="E697" s="14" t="inlineStr">
        <is>
          <t>Built</t>
        </is>
      </c>
      <c r="F697" s="12" t="inlineStr">
        <is>
          <t>Not proposed: each contract names its own quote</t>
        </is>
      </c>
      <c r="G697" s="12" t="inlineStr"/>
      <c r="H697" s="28" t="inlineStr">
        <is>
          <t>Team check</t>
        </is>
      </c>
      <c r="I697" s="17" t="n"/>
      <c r="J697" s="17" t="n"/>
    </row>
    <row r="698">
      <c r="A698" s="12" t="inlineStr">
        <is>
          <t>Contracts</t>
        </is>
      </c>
      <c r="B698" s="12" t="inlineStr">
        <is>
          <t>CQ-07</t>
        </is>
      </c>
      <c r="C698" s="12" t="inlineStr">
        <is>
          <t>The quote and the issuing entity</t>
        </is>
      </c>
      <c r="D698" s="14" t="inlineStr">
        <is>
          <t>The signed quote shows the client’s signed name</t>
        </is>
      </c>
      <c r="E698" s="14" t="inlineStr">
        <is>
          <t>Built in parity round 2</t>
        </is>
      </c>
      <c r="F698" s="12" t="inlineStr"/>
      <c r="G698" s="12" t="inlineStr"/>
      <c r="H698" s="28" t="inlineStr">
        <is>
          <t>Team check</t>
        </is>
      </c>
      <c r="I698" s="17" t="n"/>
      <c r="J698" s="17" t="n"/>
    </row>
    <row r="699">
      <c r="A699" s="12" t="inlineStr">
        <is>
          <t>Contracts</t>
        </is>
      </c>
      <c r="B699" s="12" t="inlineStr">
        <is>
          <t>CQ-08</t>
        </is>
      </c>
      <c r="C699" s="12" t="inlineStr">
        <is>
          <t>The quote and the issuing entity</t>
        </is>
      </c>
      <c r="D699" s="14" t="inlineStr">
        <is>
          <t>Picking the entity when sending</t>
        </is>
      </c>
      <c r="E699" s="14" t="inlineStr">
        <is>
          <t>Built in parity round 2</t>
        </is>
      </c>
      <c r="F699" s="12" t="inlineStr"/>
      <c r="G699" s="12" t="inlineStr"/>
      <c r="H699" s="28" t="inlineStr">
        <is>
          <t>Team check</t>
        </is>
      </c>
      <c r="I699" s="17" t="n"/>
      <c r="J699" s="17" t="n"/>
    </row>
    <row r="700">
      <c r="A700" s="12" t="inlineStr">
        <is>
          <t>Contracts</t>
        </is>
      </c>
      <c r="B700" s="12" t="inlineStr">
        <is>
          <t>CQ-09</t>
        </is>
      </c>
      <c r="C700" s="12" t="inlineStr">
        <is>
          <t>The quote and the issuing entity</t>
        </is>
      </c>
      <c r="D700" s="14" t="inlineStr">
        <is>
          <t>The entity printed on the document</t>
        </is>
      </c>
      <c r="E700" s="14" t="inlineStr">
        <is>
          <t>Built in parity round 2</t>
        </is>
      </c>
      <c r="F700" s="12" t="inlineStr"/>
      <c r="G700" s="12" t="inlineStr"/>
      <c r="H700" s="28" t="inlineStr">
        <is>
          <t>Team check</t>
        </is>
      </c>
      <c r="I700" s="17" t="n"/>
      <c r="J700" s="17" t="n"/>
    </row>
    <row r="701">
      <c r="A701" s="12" t="inlineStr">
        <is>
          <t>Contracts</t>
        </is>
      </c>
      <c r="B701" s="12" t="inlineStr">
        <is>
          <t>CS-01</t>
        </is>
      </c>
      <c r="C701" s="12" t="inlineStr">
        <is>
          <t>Sending</t>
        </is>
      </c>
      <c r="D701" s="14" t="inlineStr">
        <is>
          <t>The send form</t>
        </is>
      </c>
      <c r="E701" s="14" t="inlineStr">
        <is>
          <t>Built</t>
        </is>
      </c>
      <c r="F701" s="12" t="inlineStr"/>
      <c r="G701" s="12" t="inlineStr">
        <is>
          <t>8.07, 8.23</t>
        </is>
      </c>
      <c r="H701" s="12" t="inlineStr"/>
      <c r="I701" s="17" t="n"/>
      <c r="J701" s="17" t="n"/>
    </row>
    <row r="702">
      <c r="A702" s="12" t="inlineStr">
        <is>
          <t>Contracts</t>
        </is>
      </c>
      <c r="B702" s="12" t="inlineStr">
        <is>
          <t>CS-02</t>
        </is>
      </c>
      <c r="C702" s="12" t="inlineStr">
        <is>
          <t>Sending</t>
        </is>
      </c>
      <c r="D702" s="14" t="inlineStr">
        <is>
          <t>E-mail a composed contract as a PDF</t>
        </is>
      </c>
      <c r="E702" s="14" t="inlineStr">
        <is>
          <t>Not built — by design</t>
        </is>
      </c>
      <c r="F702" s="12" t="inlineStr">
        <is>
          <t>2.0 sends a signing link on WhatsApp; e-mail is the platform’s (Q-27)</t>
        </is>
      </c>
      <c r="G702" s="12" t="inlineStr"/>
      <c r="H702" s="12" t="inlineStr"/>
      <c r="I702" s="17" t="n"/>
      <c r="J702" s="17" t="n"/>
    </row>
    <row r="703">
      <c r="A703" s="12" t="inlineStr">
        <is>
          <t>Contracts</t>
        </is>
      </c>
      <c r="B703" s="12" t="inlineStr">
        <is>
          <t>CS-03</t>
        </is>
      </c>
      <c r="C703" s="12" t="inlineStr">
        <is>
          <t>Sending</t>
        </is>
      </c>
      <c r="D703" s="14" t="inlineStr">
        <is>
          <t>The link: copy, resend, regenerate, cancel</t>
        </is>
      </c>
      <c r="E703" s="14" t="inlineStr">
        <is>
          <t>Built in parity round 1</t>
        </is>
      </c>
      <c r="F703" s="12" t="inlineStr">
        <is>
          <t>Stop the signing link cancels; Send the link again renews it (S03)</t>
        </is>
      </c>
      <c r="G703" s="12" t="inlineStr">
        <is>
          <t>8.07</t>
        </is>
      </c>
      <c r="H703" s="12" t="inlineStr"/>
      <c r="I703" s="17" t="n"/>
      <c r="J703" s="17" t="n"/>
    </row>
    <row r="704">
      <c r="A704" s="12" t="inlineStr">
        <is>
          <t>Contracts</t>
        </is>
      </c>
      <c r="B704" s="12" t="inlineStr">
        <is>
          <t>CS-04</t>
        </is>
      </c>
      <c r="C704" s="12" t="inlineStr">
        <is>
          <t>Sending</t>
        </is>
      </c>
      <c r="D704" s="14" t="inlineStr">
        <is>
          <t>Checks before sending</t>
        </is>
      </c>
      <c r="E704" s="14" t="inlineStr">
        <is>
          <t>Built in parity round 4</t>
        </is>
      </c>
      <c r="F704" s="12" t="inlineStr"/>
      <c r="G704" s="12" t="inlineStr">
        <is>
          <t>8.07, 8.22</t>
        </is>
      </c>
      <c r="H704" s="12" t="inlineStr"/>
      <c r="I704" s="17" t="n"/>
      <c r="J704" s="17" t="n"/>
    </row>
    <row r="705">
      <c r="A705" s="12" t="inlineStr">
        <is>
          <t>Contracts</t>
        </is>
      </c>
      <c r="B705" s="12" t="inlineStr">
        <is>
          <t>CS-05</t>
        </is>
      </c>
      <c r="C705" s="12" t="inlineStr">
        <is>
          <t>Sending</t>
        </is>
      </c>
      <c r="D705" s="14" t="inlineStr">
        <is>
          <t>The studio told when it is sent</t>
        </is>
      </c>
      <c r="E705" s="14" t="inlineStr">
        <is>
          <t>Built in parity round 4</t>
        </is>
      </c>
      <c r="F705" s="12" t="inlineStr"/>
      <c r="G705" s="12" t="inlineStr"/>
      <c r="H705" s="28" t="inlineStr">
        <is>
          <t>Team check</t>
        </is>
      </c>
      <c r="I705" s="17" t="n"/>
      <c r="J705" s="17" t="n"/>
    </row>
    <row r="706">
      <c r="A706" s="12" t="inlineStr">
        <is>
          <t>Contracts</t>
        </is>
      </c>
      <c r="B706" s="12" t="inlineStr">
        <is>
          <t>CS-06</t>
        </is>
      </c>
      <c r="C706" s="12" t="inlineStr">
        <is>
          <t>Sending</t>
        </is>
      </c>
      <c r="D706" s="14" t="inlineStr">
        <is>
          <t>Who sent it</t>
        </is>
      </c>
      <c r="E706" s="14" t="inlineStr">
        <is>
          <t>Built in parity round 4</t>
        </is>
      </c>
      <c r="F706" s="12" t="inlineStr"/>
      <c r="G706" s="12" t="inlineStr"/>
      <c r="H706" s="28" t="inlineStr">
        <is>
          <t>Team check</t>
        </is>
      </c>
      <c r="I706" s="17" t="n"/>
      <c r="J706" s="17" t="n"/>
    </row>
    <row r="707">
      <c r="A707" s="12" t="inlineStr">
        <is>
          <t>Contracts</t>
        </is>
      </c>
      <c r="B707" s="12" t="inlineStr">
        <is>
          <t>CS-07</t>
        </is>
      </c>
      <c r="C707" s="12" t="inlineStr">
        <is>
          <t>Sending</t>
        </is>
      </c>
      <c r="D707" s="14" t="inlineStr">
        <is>
          <t>The client’s phone number</t>
        </is>
      </c>
      <c r="E707" s="14" t="inlineStr">
        <is>
          <t>Built in parity round 1</t>
        </is>
      </c>
      <c r="F707" s="12" t="inlineStr"/>
      <c r="G707" s="12" t="inlineStr">
        <is>
          <t>8.07</t>
        </is>
      </c>
      <c r="H707" s="12" t="inlineStr"/>
      <c r="I707" s="17" t="n"/>
      <c r="J707" s="17" t="n"/>
    </row>
    <row r="708">
      <c r="A708" s="12" t="inlineStr">
        <is>
          <t>Contracts</t>
        </is>
      </c>
      <c r="B708" s="12" t="inlineStr">
        <is>
          <t>CP-01</t>
        </is>
      </c>
      <c r="C708" s="12" t="inlineStr">
        <is>
          <t>The signing page</t>
        </is>
      </c>
      <c r="D708" s="14" t="inlineStr">
        <is>
          <t>The signing steps</t>
        </is>
      </c>
      <c r="E708" s="14" t="inlineStr">
        <is>
          <t>Built</t>
        </is>
      </c>
      <c r="F708" s="12" t="inlineStr"/>
      <c r="G708" s="12" t="inlineStr">
        <is>
          <t>8.08</t>
        </is>
      </c>
      <c r="H708" s="12" t="inlineStr"/>
      <c r="I708" s="17" t="n"/>
      <c r="J708" s="17" t="n"/>
    </row>
    <row r="709">
      <c r="A709" s="12" t="inlineStr">
        <is>
          <t>Contracts</t>
        </is>
      </c>
      <c r="B709" s="12" t="inlineStr">
        <is>
          <t>CP-02</t>
        </is>
      </c>
      <c r="C709" s="12" t="inlineStr">
        <is>
          <t>The signing page</t>
        </is>
      </c>
      <c r="D709" s="14" t="inlineStr">
        <is>
          <t>The one-time code</t>
        </is>
      </c>
      <c r="E709" s="14" t="inlineStr">
        <is>
          <t>Platform</t>
        </is>
      </c>
      <c r="F709" s="12" t="inlineStr">
        <is>
          <t>Real SMS is the sign-in provider’s; the demo page says no text is sent (S42)</t>
        </is>
      </c>
      <c r="G709" s="12" t="inlineStr">
        <is>
          <t>8.11</t>
        </is>
      </c>
      <c r="H709" s="12" t="inlineStr"/>
      <c r="I709" s="17" t="n"/>
      <c r="J709" s="17" t="n"/>
    </row>
    <row r="710">
      <c r="A710" s="12" t="inlineStr">
        <is>
          <t>Contracts</t>
        </is>
      </c>
      <c r="B710" s="12" t="inlineStr">
        <is>
          <t>CP-03</t>
        </is>
      </c>
      <c r="C710" s="12" t="inlineStr">
        <is>
          <t>The signing page</t>
        </is>
      </c>
      <c r="D710" s="14" t="inlineStr">
        <is>
          <t>One document per screen with progress</t>
        </is>
      </c>
      <c r="E710" s="14" t="inlineStr">
        <is>
          <t>Built in parity round 3</t>
        </is>
      </c>
      <c r="F710" s="12" t="inlineStr"/>
      <c r="G710" s="12" t="inlineStr">
        <is>
          <t>8.24</t>
        </is>
      </c>
      <c r="H710" s="12" t="inlineStr"/>
      <c r="I710" s="17" t="n"/>
      <c r="J710" s="17" t="n"/>
    </row>
    <row r="711">
      <c r="A711" s="12" t="inlineStr">
        <is>
          <t>Contracts</t>
        </is>
      </c>
      <c r="B711" s="12" t="inlineStr">
        <is>
          <t>CP-04</t>
        </is>
      </c>
      <c r="C711" s="12" t="inlineStr">
        <is>
          <t>The signing page</t>
        </is>
      </c>
      <c r="D711" s="14" t="inlineStr">
        <is>
          <t>A PDF drawn inline</t>
        </is>
      </c>
      <c r="E711" s="14" t="inlineStr">
        <is>
          <t>Built</t>
        </is>
      </c>
      <c r="F711" s="12" t="inlineStr">
        <is>
          <t>The browser’s viewer shows the PDF; a phone shows its first page (S03)</t>
        </is>
      </c>
      <c r="G711" s="12" t="inlineStr"/>
      <c r="H711" s="28" t="inlineStr">
        <is>
          <t>Team check</t>
        </is>
      </c>
      <c r="I711" s="17" t="n"/>
      <c r="J711" s="17" t="n"/>
    </row>
    <row r="712">
      <c r="A712" s="12" t="inlineStr">
        <is>
          <t>Contracts</t>
        </is>
      </c>
      <c r="B712" s="12" t="inlineStr">
        <is>
          <t>CP-05</t>
        </is>
      </c>
      <c r="C712" s="12" t="inlineStr">
        <is>
          <t>The signing page</t>
        </is>
      </c>
      <c r="D712" s="14" t="inlineStr">
        <is>
          <t>Read to the end before going on</t>
        </is>
      </c>
      <c r="E712" s="14" t="inlineStr">
        <is>
          <t>Built in parity round 3</t>
        </is>
      </c>
      <c r="F712" s="12" t="inlineStr"/>
      <c r="G712" s="12" t="inlineStr">
        <is>
          <t>8.10, 12.11</t>
        </is>
      </c>
      <c r="H712" s="12" t="inlineStr"/>
      <c r="I712" s="17" t="n"/>
      <c r="J712" s="17" t="n"/>
    </row>
    <row r="713">
      <c r="A713" s="12" t="inlineStr">
        <is>
          <t>Contracts</t>
        </is>
      </c>
      <c r="B713" s="12" t="inlineStr">
        <is>
          <t>CP-06</t>
        </is>
      </c>
      <c r="C713" s="12" t="inlineStr">
        <is>
          <t>The signing page</t>
        </is>
      </c>
      <c r="D713" s="14" t="inlineStr">
        <is>
          <t>Tick to accept</t>
        </is>
      </c>
      <c r="E713" s="14" t="inlineStr">
        <is>
          <t>Built in parity round 3</t>
        </is>
      </c>
      <c r="F713" s="12" t="inlineStr"/>
      <c r="G713" s="12" t="inlineStr">
        <is>
          <t>8.10, 12.11</t>
        </is>
      </c>
      <c r="H713" s="12" t="inlineStr"/>
      <c r="I713" s="17" t="n"/>
      <c r="J713" s="17" t="n"/>
    </row>
    <row r="714">
      <c r="A714" s="12" t="inlineStr">
        <is>
          <t>Contracts</t>
        </is>
      </c>
      <c r="B714" s="12" t="inlineStr">
        <is>
          <t>CP-07</t>
        </is>
      </c>
      <c r="C714" s="12" t="inlineStr">
        <is>
          <t>The signing page</t>
        </is>
      </c>
      <c r="D714" s="14" t="inlineStr">
        <is>
          <t>The agreement sentence</t>
        </is>
      </c>
      <c r="E714" s="14" t="inlineStr">
        <is>
          <t>Built in parity round 3</t>
        </is>
      </c>
      <c r="F714" s="12" t="inlineStr"/>
      <c r="G714" s="12" t="inlineStr">
        <is>
          <t>8.12, 8.24</t>
        </is>
      </c>
      <c r="H714" s="12" t="inlineStr"/>
      <c r="I714" s="17" t="n"/>
      <c r="J714" s="17" t="n"/>
    </row>
    <row r="715">
      <c r="A715" s="12" t="inlineStr">
        <is>
          <t>Contracts</t>
        </is>
      </c>
      <c r="B715" s="12" t="inlineStr">
        <is>
          <t>CP-08</t>
        </is>
      </c>
      <c r="C715" s="12" t="inlineStr">
        <is>
          <t>The signing page</t>
        </is>
      </c>
      <c r="D715" s="14" t="inlineStr">
        <is>
          <t>The quote on the signing page</t>
        </is>
      </c>
      <c r="E715" s="14" t="inlineStr">
        <is>
          <t>Built in parity round 3</t>
        </is>
      </c>
      <c r="F715" s="12" t="inlineStr"/>
      <c r="G715" s="12" t="inlineStr">
        <is>
          <t>8.09</t>
        </is>
      </c>
      <c r="H715" s="12" t="inlineStr"/>
      <c r="I715" s="17" t="n"/>
      <c r="J715" s="17" t="n"/>
    </row>
    <row r="716">
      <c r="A716" s="12" t="inlineStr">
        <is>
          <t>Contracts</t>
        </is>
      </c>
      <c r="B716" s="12" t="inlineStr">
        <is>
          <t>CP-09</t>
        </is>
      </c>
      <c r="C716" s="12" t="inlineStr">
        <is>
          <t>The signing page</t>
        </is>
      </c>
      <c r="D716" s="14" t="inlineStr">
        <is>
          <t>A drawn signature</t>
        </is>
      </c>
      <c r="E716" s="14" t="inlineStr">
        <is>
          <t>Built in parity round 3</t>
        </is>
      </c>
      <c r="F716" s="12" t="inlineStr"/>
      <c r="G716" s="12" t="inlineStr">
        <is>
          <t>8.12, 12.12</t>
        </is>
      </c>
      <c r="H716" s="12" t="inlineStr"/>
      <c r="I716" s="17" t="n"/>
      <c r="J716" s="17" t="n"/>
    </row>
    <row r="717">
      <c r="A717" s="12" t="inlineStr">
        <is>
          <t>Contracts</t>
        </is>
      </c>
      <c r="B717" s="12" t="inlineStr">
        <is>
          <t>CP-10</t>
        </is>
      </c>
      <c r="C717" s="12" t="inlineStr">
        <is>
          <t>The signing page</t>
        </is>
      </c>
      <c r="D717" s="14" t="inlineStr">
        <is>
          <t>An ID number (NRIC / FIN)</t>
        </is>
      </c>
      <c r="E717" s="14" t="inlineStr">
        <is>
          <t>2.0 only</t>
        </is>
      </c>
      <c r="F717" s="12" t="inlineStr"/>
      <c r="G717" s="12" t="inlineStr">
        <is>
          <t>8.12</t>
        </is>
      </c>
      <c r="H717" s="12" t="inlineStr"/>
      <c r="I717" s="17" t="n"/>
      <c r="J717" s="17" t="n"/>
    </row>
    <row r="718">
      <c r="A718" s="12" t="inlineStr">
        <is>
          <t>Contracts</t>
        </is>
      </c>
      <c r="B718" s="12" t="inlineStr">
        <is>
          <t>CP-11</t>
        </is>
      </c>
      <c r="C718" s="12" t="inlineStr">
        <is>
          <t>The signing page</t>
        </is>
      </c>
      <c r="D718" s="14" t="inlineStr">
        <is>
          <t>Done — keep a copy</t>
        </is>
      </c>
      <c r="E718" s="14" t="inlineStr">
        <is>
          <t>Built</t>
        </is>
      </c>
      <c r="F718" s="12" t="inlineStr"/>
      <c r="G718" s="12" t="inlineStr">
        <is>
          <t>8.13</t>
        </is>
      </c>
      <c r="H718" s="12" t="inlineStr"/>
      <c r="I718" s="17" t="n"/>
      <c r="J718" s="17" t="n"/>
    </row>
    <row r="719">
      <c r="A719" s="12" t="inlineStr">
        <is>
          <t>Contracts</t>
        </is>
      </c>
      <c r="B719" s="12" t="inlineStr">
        <is>
          <t>CP-12</t>
        </is>
      </c>
      <c r="C719" s="12" t="inlineStr">
        <is>
          <t>The signing page</t>
        </is>
      </c>
      <c r="D719" s="14" t="inlineStr">
        <is>
          <t>The issuer shown on the page</t>
        </is>
      </c>
      <c r="E719" s="14" t="inlineStr">
        <is>
          <t>Built in parity round 2</t>
        </is>
      </c>
      <c r="F719" s="12" t="inlineStr"/>
      <c r="G719" s="12" t="inlineStr">
        <is>
          <t>8.08</t>
        </is>
      </c>
      <c r="H719" s="12" t="inlineStr"/>
      <c r="I719" s="17" t="n"/>
      <c r="J719" s="17" t="n"/>
    </row>
    <row r="720">
      <c r="A720" s="12" t="inlineStr">
        <is>
          <t>Contracts</t>
        </is>
      </c>
      <c r="B720" s="12" t="inlineStr">
        <is>
          <t>CP-13</t>
        </is>
      </c>
      <c r="C720" s="12" t="inlineStr">
        <is>
          <t>The signing page</t>
        </is>
      </c>
      <c r="D720" s="14" t="inlineStr">
        <is>
          <t>A dead link</t>
        </is>
      </c>
      <c r="E720" s="14" t="inlineStr">
        <is>
          <t>Built in parity round 1</t>
        </is>
      </c>
      <c r="F720" s="12" t="inlineStr"/>
      <c r="G720" s="12" t="inlineStr">
        <is>
          <t>8.26</t>
        </is>
      </c>
      <c r="H720" s="12" t="inlineStr"/>
      <c r="I720" s="17" t="n"/>
      <c r="J720" s="17" t="n"/>
    </row>
    <row r="721">
      <c r="A721" s="12" t="inlineStr">
        <is>
          <t>Contracts</t>
        </is>
      </c>
      <c r="B721" s="12" t="inlineStr">
        <is>
          <t>CP-14</t>
        </is>
      </c>
      <c r="C721" s="12" t="inlineStr">
        <is>
          <t>The signing page</t>
        </is>
      </c>
      <c r="D721" s="14" t="inlineStr">
        <is>
          <t>Viewed</t>
        </is>
      </c>
      <c r="E721" s="14" t="inlineStr">
        <is>
          <t>Built in parity round 3</t>
        </is>
      </c>
      <c r="F721" s="12" t="inlineStr">
        <is>
          <t>The studio’s own browser never counts as Viewed (S42)</t>
        </is>
      </c>
      <c r="G721" s="12" t="inlineStr">
        <is>
          <t>8.18</t>
        </is>
      </c>
      <c r="H721" s="12" t="inlineStr"/>
      <c r="I721" s="17" t="n"/>
      <c r="J721" s="17" t="n"/>
    </row>
    <row r="722">
      <c r="A722" s="12" t="inlineStr">
        <is>
          <t>Contracts</t>
        </is>
      </c>
      <c r="B722" s="12" t="inlineStr">
        <is>
          <t>CP-15</t>
        </is>
      </c>
      <c r="C722" s="12" t="inlineStr">
        <is>
          <t>The signing page</t>
        </is>
      </c>
      <c r="D722" s="14" t="inlineStr">
        <is>
          <t>Changed while the client reads</t>
        </is>
      </c>
      <c r="E722" s="14" t="inlineStr">
        <is>
          <t>Built in parity round 1</t>
        </is>
      </c>
      <c r="F722" s="12" t="inlineStr"/>
      <c r="G722" s="12" t="inlineStr">
        <is>
          <t>8.11</t>
        </is>
      </c>
      <c r="H722" s="12" t="inlineStr"/>
      <c r="I722" s="17" t="n"/>
      <c r="J722" s="17" t="n"/>
    </row>
    <row r="723">
      <c r="A723" s="12" t="inlineStr">
        <is>
          <t>Contracts</t>
        </is>
      </c>
      <c r="B723" s="12" t="inlineStr">
        <is>
          <t>CP-16</t>
        </is>
      </c>
      <c r="C723" s="12" t="inlineStr">
        <is>
          <t>The signing page</t>
        </is>
      </c>
      <c r="D723" s="14" t="inlineStr">
        <is>
          <t>A signed link turning expired</t>
        </is>
      </c>
      <c r="E723" s="14" t="inlineStr">
        <is>
          <t>Dead</t>
        </is>
      </c>
      <c r="F723" s="12" t="inlineStr">
        <is>
          <t>A 1.0 defect; not ported</t>
        </is>
      </c>
      <c r="G723" s="12" t="inlineStr"/>
      <c r="H723" s="12" t="inlineStr"/>
      <c r="I723" s="17" t="n"/>
      <c r="J723" s="17" t="n"/>
    </row>
    <row r="724">
      <c r="A724" s="12" t="inlineStr">
        <is>
          <t>Contracts</t>
        </is>
      </c>
      <c r="B724" s="12" t="inlineStr">
        <is>
          <t>CP-17</t>
        </is>
      </c>
      <c r="C724" s="12" t="inlineStr">
        <is>
          <t>The signing page</t>
        </is>
      </c>
      <c r="D724" s="14" t="inlineStr">
        <is>
          <t>CaseTrust step</t>
        </is>
      </c>
      <c r="E724" s="14" t="inlineStr">
        <is>
          <t>Built</t>
        </is>
      </c>
      <c r="F724" s="12" t="inlineStr">
        <is>
          <t>An accredited studio’s client ticks the CaseTrust disclosure before signing (Projects gaps D)</t>
        </is>
      </c>
      <c r="G724" s="12" t="inlineStr"/>
      <c r="H724" s="28" t="inlineStr">
        <is>
          <t>Team check</t>
        </is>
      </c>
      <c r="I724" s="17" t="n"/>
      <c r="J724" s="17" t="n"/>
    </row>
    <row r="725">
      <c r="A725" s="12" t="inlineStr">
        <is>
          <t>Contracts</t>
        </is>
      </c>
      <c r="B725" s="12" t="inlineStr">
        <is>
          <t>CL-01</t>
        </is>
      </c>
      <c r="C725" s="12" t="inlineStr">
        <is>
          <t>The library and bundles</t>
        </is>
      </c>
      <c r="D725" s="14" t="inlineStr">
        <is>
          <t>The signing library</t>
        </is>
      </c>
      <c r="E725" s="14" t="inlineStr">
        <is>
          <t>Built in parity round 3</t>
        </is>
      </c>
      <c r="F725" s="12" t="inlineStr">
        <is>
          <t>Standard PDFs and written documents are both contract templates (S03)</t>
        </is>
      </c>
      <c r="G725" s="12" t="inlineStr"/>
      <c r="H725" s="28" t="inlineStr">
        <is>
          <t>Team check</t>
        </is>
      </c>
      <c r="I725" s="17" t="n"/>
      <c r="J725" s="17" t="n"/>
    </row>
    <row r="726">
      <c r="A726" s="12" t="inlineStr">
        <is>
          <t>Contracts</t>
        </is>
      </c>
      <c r="B726" s="12" t="inlineStr">
        <is>
          <t>CL-02</t>
        </is>
      </c>
      <c r="C726" s="12" t="inlineStr">
        <is>
          <t>The library and bundles</t>
        </is>
      </c>
      <c r="D726" s="14" t="inlineStr">
        <is>
          <t>Upload a PDF to the library</t>
        </is>
      </c>
      <c r="E726" s="14" t="inlineStr">
        <is>
          <t>Built</t>
        </is>
      </c>
      <c r="F726" s="12" t="inlineStr">
        <is>
          <t>Templates › Contracts › New ▾ › Upload a PDF…; Send together offers it (S03)</t>
        </is>
      </c>
      <c r="G726" s="12" t="inlineStr"/>
      <c r="H726" s="28" t="inlineStr">
        <is>
          <t>Team check</t>
        </is>
      </c>
      <c r="I726" s="17" t="n"/>
      <c r="J726" s="17" t="n"/>
    </row>
    <row r="727">
      <c r="A727" s="12" t="inlineStr">
        <is>
          <t>Contracts</t>
        </is>
      </c>
      <c r="B727" s="12" t="inlineStr">
        <is>
          <t>CL-03</t>
        </is>
      </c>
      <c r="C727" s="12" t="inlineStr">
        <is>
          <t>The library and bundles</t>
        </is>
      </c>
      <c r="D727" s="14" t="inlineStr">
        <is>
          <t>Write a document</t>
        </is>
      </c>
      <c r="E727" s="14" t="inlineStr">
        <is>
          <t>Built</t>
        </is>
      </c>
      <c r="F727" s="12" t="inlineStr"/>
      <c r="G727" s="12" t="inlineStr"/>
      <c r="H727" s="28" t="inlineStr">
        <is>
          <t>Team check</t>
        </is>
      </c>
      <c r="I727" s="17" t="n"/>
      <c r="J727" s="17" t="n"/>
    </row>
    <row r="728">
      <c r="A728" s="12" t="inlineStr">
        <is>
          <t>Contracts</t>
        </is>
      </c>
      <c r="B728" s="12" t="inlineStr">
        <is>
          <t>CL-04</t>
        </is>
      </c>
      <c r="C728" s="12" t="inlineStr">
        <is>
          <t>The library and bundles</t>
        </is>
      </c>
      <c r="D728" s="14" t="inlineStr">
        <is>
          <t>Pick documents into one signing</t>
        </is>
      </c>
      <c r="E728" s="14" t="inlineStr">
        <is>
          <t>Built</t>
        </is>
      </c>
      <c r="F728" s="12" t="inlineStr"/>
      <c r="G728" s="12" t="inlineStr">
        <is>
          <t>8.23</t>
        </is>
      </c>
      <c r="H728" s="12" t="inlineStr"/>
      <c r="I728" s="17" t="n"/>
      <c r="J728" s="17" t="n"/>
    </row>
    <row r="729">
      <c r="A729" s="12" t="inlineStr">
        <is>
          <t>Contracts</t>
        </is>
      </c>
      <c r="B729" s="12" t="inlineStr">
        <is>
          <t>CL-05</t>
        </is>
      </c>
      <c r="C729" s="12" t="inlineStr">
        <is>
          <t>The library and bundles</t>
        </is>
      </c>
      <c r="D729" s="14" t="inlineStr">
        <is>
          <t>The snapshot kept per signing</t>
        </is>
      </c>
      <c r="E729" s="14" t="inlineStr">
        <is>
          <t>Built in parity round 1</t>
        </is>
      </c>
      <c r="F729" s="12" t="inlineStr"/>
      <c r="G729" s="12" t="inlineStr">
        <is>
          <t>8.14</t>
        </is>
      </c>
      <c r="H729" s="12" t="inlineStr"/>
      <c r="I729" s="17" t="n"/>
      <c r="J729" s="17" t="n"/>
    </row>
    <row r="730">
      <c r="A730" s="12" t="inlineStr">
        <is>
          <t>Contracts</t>
        </is>
      </c>
      <c r="B730" s="12" t="inlineStr">
        <is>
          <t>CL-06</t>
        </is>
      </c>
      <c r="C730" s="12" t="inlineStr">
        <is>
          <t>The library and bundles</t>
        </is>
      </c>
      <c r="D730" s="14" t="inlineStr">
        <is>
          <t>The fingerprints</t>
        </is>
      </c>
      <c r="E730" s="14" t="inlineStr">
        <is>
          <t>Built in parity round 1</t>
        </is>
      </c>
      <c r="F730" s="12" t="inlineStr"/>
      <c r="G730" s="12" t="inlineStr">
        <is>
          <t>8.11</t>
        </is>
      </c>
      <c r="H730" s="12" t="inlineStr"/>
      <c r="I730" s="17" t="n"/>
      <c r="J730" s="17" t="n"/>
    </row>
    <row r="731">
      <c r="A731" s="12" t="inlineStr">
        <is>
          <t>Contracts</t>
        </is>
      </c>
      <c r="B731" s="12" t="inlineStr">
        <is>
          <t>CL-07</t>
        </is>
      </c>
      <c r="C731" s="12" t="inlineStr">
        <is>
          <t>The library and bundles</t>
        </is>
      </c>
      <c r="D731" s="14" t="inlineStr">
        <is>
          <t>Viewed and accepted per document</t>
        </is>
      </c>
      <c r="E731" s="14" t="inlineStr">
        <is>
          <t>Built in parity round 3</t>
        </is>
      </c>
      <c r="F731" s="12" t="inlineStr">
        <is>
          <t>The studio’s own browser never counts as Viewed (S42)</t>
        </is>
      </c>
      <c r="G731" s="12" t="inlineStr">
        <is>
          <t>8.10</t>
        </is>
      </c>
      <c r="H731" s="12" t="inlineStr"/>
      <c r="I731" s="17" t="n"/>
      <c r="J731" s="17" t="n"/>
    </row>
    <row r="732">
      <c r="A732" s="12" t="inlineStr">
        <is>
          <t>Contracts</t>
        </is>
      </c>
      <c r="B732" s="12" t="inlineStr">
        <is>
          <t>CL-08</t>
        </is>
      </c>
      <c r="C732" s="12" t="inlineStr">
        <is>
          <t>The library and bundles</t>
        </is>
      </c>
      <c r="D732" s="14" t="inlineStr">
        <is>
          <t>The signed packet with a certificate page</t>
        </is>
      </c>
      <c r="E732" s="14" t="inlineStr">
        <is>
          <t>Built in parity round 3</t>
        </is>
      </c>
      <c r="F732" s="12" t="inlineStr">
        <is>
          <t>The stored packet stays the platform’s; the print carries the record</t>
        </is>
      </c>
      <c r="G732" s="12" t="inlineStr">
        <is>
          <t>8.13</t>
        </is>
      </c>
      <c r="H732" s="12" t="inlineStr"/>
      <c r="I732" s="17" t="n"/>
      <c r="J732" s="17" t="n"/>
    </row>
    <row r="733">
      <c r="A733" s="12" t="inlineStr">
        <is>
          <t>Contracts</t>
        </is>
      </c>
      <c r="B733" s="12" t="inlineStr">
        <is>
          <t>CL-09</t>
        </is>
      </c>
      <c r="C733" s="12" t="inlineStr">
        <is>
          <t>The library and bundles</t>
        </is>
      </c>
      <c r="D733" s="14" t="inlineStr">
        <is>
          <t>One signature over the set</t>
        </is>
      </c>
      <c r="E733" s="14" t="inlineStr">
        <is>
          <t>Built</t>
        </is>
      </c>
      <c r="F733" s="12" t="inlineStr"/>
      <c r="G733" s="12" t="inlineStr">
        <is>
          <t>8.24</t>
        </is>
      </c>
      <c r="H733" s="12" t="inlineStr"/>
      <c r="I733" s="17" t="n"/>
      <c r="J733" s="17" t="n"/>
    </row>
    <row r="734">
      <c r="A734" s="12" t="inlineStr">
        <is>
          <t>Contracts</t>
        </is>
      </c>
      <c r="B734" s="12" t="inlineStr">
        <is>
          <t>CL-10</t>
        </is>
      </c>
      <c r="C734" s="12" t="inlineStr">
        <is>
          <t>The library and bundles</t>
        </is>
      </c>
      <c r="D734" s="14" t="inlineStr">
        <is>
          <t>Bundles across screens</t>
        </is>
      </c>
      <c r="E734" s="14" t="inlineStr">
        <is>
          <t>2.0 only</t>
        </is>
      </c>
      <c r="F734" s="12" t="inlineStr"/>
      <c r="G734" s="12" t="inlineStr">
        <is>
          <t>8.23</t>
        </is>
      </c>
      <c r="H734" s="12" t="inlineStr"/>
      <c r="I734" s="17" t="n"/>
      <c r="J734" s="17" t="n"/>
    </row>
    <row r="735">
      <c r="A735" s="12" t="inlineStr">
        <is>
          <t>Contracts</t>
        </is>
      </c>
      <c r="B735" s="12" t="inlineStr">
        <is>
          <t>CA-01</t>
        </is>
      </c>
      <c r="C735" s="12" t="inlineStr">
        <is>
          <t>Signed, and after</t>
        </is>
      </c>
      <c r="D735" s="14" t="inlineStr">
        <is>
          <t>The signing certificate</t>
        </is>
      </c>
      <c r="E735" s="14" t="inlineStr">
        <is>
          <t>Built in parity round 3</t>
        </is>
      </c>
      <c r="F735" s="12" t="inlineStr"/>
      <c r="G735" s="12" t="inlineStr">
        <is>
          <t>8.13</t>
        </is>
      </c>
      <c r="H735" s="12" t="inlineStr"/>
      <c r="I735" s="17" t="n"/>
      <c r="J735" s="17" t="n"/>
    </row>
    <row r="736">
      <c r="A736" s="12" t="inlineStr">
        <is>
          <t>Contracts</t>
        </is>
      </c>
      <c r="B736" s="12" t="inlineStr">
        <is>
          <t>CA-02</t>
        </is>
      </c>
      <c r="C736" s="12" t="inlineStr">
        <is>
          <t>Signed, and after</t>
        </is>
      </c>
      <c r="D736" s="14" t="inlineStr">
        <is>
          <t>The signed copy</t>
        </is>
      </c>
      <c r="E736" s="14" t="inlineStr">
        <is>
          <t>Platform</t>
        </is>
      </c>
      <c r="F736" s="12" t="inlineStr">
        <is>
          <t>A signed PDF stays in Files › Contract &amp; VOs; a written one prints (S03)</t>
        </is>
      </c>
      <c r="G736" s="12" t="inlineStr">
        <is>
          <t>8.13</t>
        </is>
      </c>
      <c r="H736" s="12" t="inlineStr"/>
      <c r="I736" s="17" t="n"/>
      <c r="J736" s="17" t="n"/>
    </row>
    <row r="737">
      <c r="A737" s="12" t="inlineStr">
        <is>
          <t>Contracts</t>
        </is>
      </c>
      <c r="B737" s="12" t="inlineStr">
        <is>
          <t>CA-03</t>
        </is>
      </c>
      <c r="C737" s="12" t="inlineStr">
        <is>
          <t>Signed, and after</t>
        </is>
      </c>
      <c r="D737" s="14" t="inlineStr">
        <is>
          <t>Paper contracts</t>
        </is>
      </c>
      <c r="E737" s="14" t="inlineStr">
        <is>
          <t>Built</t>
        </is>
      </c>
      <c r="F737" s="12" t="inlineStr"/>
      <c r="G737" s="12" t="inlineStr">
        <is>
          <t>8.19, 8.21</t>
        </is>
      </c>
      <c r="H737" s="12" t="inlineStr"/>
      <c r="I737" s="17" t="n"/>
      <c r="J737" s="17" t="n"/>
    </row>
    <row r="738">
      <c r="A738" s="12" t="inlineStr">
        <is>
          <t>Contracts</t>
        </is>
      </c>
      <c r="B738" s="12" t="inlineStr">
        <is>
          <t>CA-04</t>
        </is>
      </c>
      <c r="C738" s="12" t="inlineStr">
        <is>
          <t>Signed, and after</t>
        </is>
      </c>
      <c r="D738" s="14" t="inlineStr">
        <is>
          <t>Un-signing</t>
        </is>
      </c>
      <c r="E738" s="14" t="inlineStr">
        <is>
          <t>Built in parity round 4</t>
        </is>
      </c>
      <c r="F738" s="12" t="inlineStr"/>
      <c r="G738" s="12" t="inlineStr">
        <is>
          <t>8.18, 8.20</t>
        </is>
      </c>
      <c r="H738" s="12" t="inlineStr"/>
      <c r="I738" s="17" t="n"/>
      <c r="J738" s="17" t="n"/>
    </row>
    <row r="739">
      <c r="A739" s="12" t="inlineStr">
        <is>
          <t>Contracts</t>
        </is>
      </c>
      <c r="B739" s="12" t="inlineStr">
        <is>
          <t>CA-05</t>
        </is>
      </c>
      <c r="C739" s="12" t="inlineStr">
        <is>
          <t>Signed, and after</t>
        </is>
      </c>
      <c r="D739" s="14" t="inlineStr">
        <is>
          <t>Signing times</t>
        </is>
      </c>
      <c r="E739" s="14" t="inlineStr">
        <is>
          <t>Built</t>
        </is>
      </c>
      <c r="F739" s="12" t="inlineStr"/>
      <c r="G739" s="12" t="inlineStr">
        <is>
          <t>8.14</t>
        </is>
      </c>
      <c r="H739" s="12" t="inlineStr"/>
      <c r="I739" s="17" t="n"/>
      <c r="J739" s="17" t="n"/>
    </row>
    <row r="740">
      <c r="A740" s="12" t="inlineStr">
        <is>
          <t>Contracts</t>
        </is>
      </c>
      <c r="B740" s="12" t="inlineStr">
        <is>
          <t>CA-06</t>
        </is>
      </c>
      <c r="C740" s="12" t="inlineStr">
        <is>
          <t>Signed, and after</t>
        </is>
      </c>
      <c r="D740" s="14" t="inlineStr">
        <is>
          <t>The Won gate</t>
        </is>
      </c>
      <c r="E740" s="14" t="inlineStr">
        <is>
          <t>Built</t>
        </is>
      </c>
      <c r="F740" s="12" t="inlineStr"/>
      <c r="G740" s="12" t="inlineStr">
        <is>
          <t>9.02</t>
        </is>
      </c>
      <c r="H740" s="12" t="inlineStr"/>
      <c r="I740" s="17" t="n"/>
      <c r="J740" s="17" t="n"/>
    </row>
    <row r="741">
      <c r="A741" s="12" t="inlineStr">
        <is>
          <t>Contracts</t>
        </is>
      </c>
      <c r="B741" s="12" t="inlineStr">
        <is>
          <t>CA-07</t>
        </is>
      </c>
      <c r="C741" s="12" t="inlineStr">
        <is>
          <t>Signed, and after</t>
        </is>
      </c>
      <c r="D741" s="14" t="inlineStr">
        <is>
          <t>Reminders and notices</t>
        </is>
      </c>
      <c r="E741" s="14" t="inlineStr">
        <is>
          <t>Built in parity round 4</t>
        </is>
      </c>
      <c r="F741" s="12" t="inlineStr"/>
      <c r="G741" s="12" t="inlineStr">
        <is>
          <t>8.06, 8.16</t>
        </is>
      </c>
      <c r="H741" s="12" t="inlineStr"/>
      <c r="I741" s="17" t="n"/>
      <c r="J741" s="17" t="n"/>
    </row>
    <row r="742">
      <c r="A742" s="12" t="inlineStr">
        <is>
          <t>Contracts</t>
        </is>
      </c>
      <c r="B742" s="12" t="inlineStr">
        <is>
          <t>CA-08</t>
        </is>
      </c>
      <c r="C742" s="12" t="inlineStr">
        <is>
          <t>Signed, and after</t>
        </is>
      </c>
      <c r="D742" s="14" t="inlineStr">
        <is>
          <t>The project’s contract</t>
        </is>
      </c>
      <c r="E742" s="14" t="inlineStr">
        <is>
          <t>Built</t>
        </is>
      </c>
      <c r="F742" s="12" t="inlineStr">
        <is>
          <t>The project’s info names its contract and opens it (Projects build)</t>
        </is>
      </c>
      <c r="G742" s="12" t="inlineStr"/>
      <c r="H742" s="28" t="inlineStr">
        <is>
          <t>Team check</t>
        </is>
      </c>
      <c r="I742" s="17" t="n"/>
      <c r="J742" s="17" t="n"/>
    </row>
    <row r="743">
      <c r="A743" s="12" t="inlineStr">
        <is>
          <t>Contracts</t>
        </is>
      </c>
      <c r="B743" s="12" t="inlineStr">
        <is>
          <t>CA-09</t>
        </is>
      </c>
      <c r="C743" s="12" t="inlineStr">
        <is>
          <t>Signed, and after</t>
        </is>
      </c>
      <c r="D743" s="14" t="inlineStr">
        <is>
          <t>The contract value and its freeze</t>
        </is>
      </c>
      <c r="E743" s="14" t="inlineStr">
        <is>
          <t>Built</t>
        </is>
      </c>
      <c r="F743" s="12" t="inlineStr">
        <is>
          <t>The total as signed is the contract value; later edits don’t move it (S03)</t>
        </is>
      </c>
      <c r="G743" s="12" t="inlineStr"/>
      <c r="H743" s="28" t="inlineStr">
        <is>
          <t>Team check</t>
        </is>
      </c>
      <c r="I743" s="17" t="n"/>
      <c r="J743" s="17" t="n"/>
    </row>
    <row r="744">
      <c r="A744" s="12" t="inlineStr">
        <is>
          <t>Contracts</t>
        </is>
      </c>
      <c r="B744" s="12" t="inlineStr">
        <is>
          <t>CA-10</t>
        </is>
      </c>
      <c r="C744" s="12" t="inlineStr">
        <is>
          <t>Signed, and after</t>
        </is>
      </c>
      <c r="D744" s="14" t="inlineStr">
        <is>
          <t>Variation orders</t>
        </is>
      </c>
      <c r="E744" s="14" t="inlineStr">
        <is>
          <t>Built</t>
        </is>
      </c>
      <c r="F744" s="12" t="inlineStr">
        <is>
          <t>Variation orders on the project’s Money tab (Projects build)</t>
        </is>
      </c>
      <c r="G744" s="12" t="inlineStr"/>
      <c r="H744" s="28" t="inlineStr">
        <is>
          <t>Team check</t>
        </is>
      </c>
      <c r="I744" s="17" t="n"/>
      <c r="J744" s="17" t="n"/>
    </row>
    <row r="745">
      <c r="A745" s="12" t="inlineStr">
        <is>
          <t>Contracts</t>
        </is>
      </c>
      <c r="B745" s="12" t="inlineStr">
        <is>
          <t>CA-11</t>
        </is>
      </c>
      <c r="C745" s="12" t="inlineStr">
        <is>
          <t>Signed, and after</t>
        </is>
      </c>
      <c r="D745" s="14" t="inlineStr">
        <is>
          <t>Signing in the homeowner portal</t>
        </is>
      </c>
      <c r="E745" s="14" t="inlineStr">
        <is>
          <t>Built</t>
        </is>
      </c>
      <c r="F745" s="12" t="inlineStr">
        <is>
          <t>The client portal’s home asks “Sign your agreement” and opens the link (Projects build)</t>
        </is>
      </c>
      <c r="G745" s="12" t="inlineStr"/>
      <c r="H745" s="28" t="inlineStr">
        <is>
          <t>Team check</t>
        </is>
      </c>
      <c r="I745" s="17" t="n"/>
      <c r="J745" s="17" t="n"/>
    </row>
    <row r="746">
      <c r="A746" s="12" t="inlineStr">
        <is>
          <t>Contracts</t>
        </is>
      </c>
      <c r="B746" s="12" t="inlineStr">
        <is>
          <t>CN-01</t>
        </is>
      </c>
      <c r="C746" s="12" t="inlineStr">
        <is>
          <t>Lists, roles and follow-through</t>
        </is>
      </c>
      <c r="D746" s="14" t="inlineStr">
        <is>
          <t>A list of contracts</t>
        </is>
      </c>
      <c r="E746" s="14" t="inlineStr">
        <is>
          <t>2.0 only</t>
        </is>
      </c>
      <c r="F746" s="12" t="inlineStr"/>
      <c r="G746" s="12" t="inlineStr">
        <is>
          <t>8.18</t>
        </is>
      </c>
      <c r="H746" s="12" t="inlineStr"/>
      <c r="I746" s="17" t="n"/>
      <c r="J746" s="17" t="n"/>
    </row>
    <row r="747">
      <c r="A747" s="12" t="inlineStr">
        <is>
          <t>Contracts</t>
        </is>
      </c>
      <c r="B747" s="12" t="inlineStr">
        <is>
          <t>CN-02</t>
        </is>
      </c>
      <c r="C747" s="12" t="inlineStr">
        <is>
          <t>Lists, roles and follow-through</t>
        </is>
      </c>
      <c r="D747" s="14" t="inlineStr">
        <is>
          <t>A studio-wide contracts list</t>
        </is>
      </c>
      <c r="E747" s="14" t="inlineStr">
        <is>
          <t>2.0 only</t>
        </is>
      </c>
      <c r="F747" s="12" t="inlineStr"/>
      <c r="G747" s="12" t="inlineStr">
        <is>
          <t>8.25, 11.12, 12.09</t>
        </is>
      </c>
      <c r="H747" s="12" t="inlineStr"/>
      <c r="I747" s="17" t="n"/>
      <c r="J747" s="17" t="n"/>
    </row>
    <row r="748">
      <c r="A748" s="12" t="inlineStr">
        <is>
          <t>Contracts</t>
        </is>
      </c>
      <c r="B748" s="12" t="inlineStr">
        <is>
          <t>CN-03</t>
        </is>
      </c>
      <c r="C748" s="12" t="inlineStr">
        <is>
          <t>Lists, roles and follow-through</t>
        </is>
      </c>
      <c r="D748" s="14" t="inlineStr">
        <is>
          <t>Deleted contracts</t>
        </is>
      </c>
      <c r="E748" s="14" t="inlineStr">
        <is>
          <t>2.0 only</t>
        </is>
      </c>
      <c r="F748" s="12" t="inlineStr"/>
      <c r="G748" s="12" t="inlineStr">
        <is>
          <t>8.26</t>
        </is>
      </c>
      <c r="H748" s="12" t="inlineStr"/>
      <c r="I748" s="17" t="n"/>
      <c r="J748" s="17" t="n"/>
    </row>
    <row r="749">
      <c r="A749" s="12" t="inlineStr">
        <is>
          <t>Contracts</t>
        </is>
      </c>
      <c r="B749" s="12" t="inlineStr">
        <is>
          <t>CN-04</t>
        </is>
      </c>
      <c r="C749" s="12" t="inlineStr">
        <is>
          <t>Lists, roles and follow-through</t>
        </is>
      </c>
      <c r="D749" s="14" t="inlineStr">
        <is>
          <t>Permissions</t>
        </is>
      </c>
      <c r="E749" s="14" t="inlineStr">
        <is>
          <t>Built in parity round 4</t>
        </is>
      </c>
      <c r="F749" s="12" t="inlineStr"/>
      <c r="G749" s="12" t="inlineStr">
        <is>
          <t>8.20, 8.25</t>
        </is>
      </c>
      <c r="H749" s="12" t="inlineStr"/>
      <c r="I749" s="17" t="n"/>
      <c r="J749" s="17" t="n"/>
    </row>
    <row r="750">
      <c r="A750" s="12" t="inlineStr">
        <is>
          <t>Contracts</t>
        </is>
      </c>
      <c r="B750" s="12" t="inlineStr">
        <is>
          <t>CN-05</t>
        </is>
      </c>
      <c r="C750" s="12" t="inlineStr">
        <is>
          <t>Lists, roles and follow-through</t>
        </is>
      </c>
      <c r="D750" s="14" t="inlineStr">
        <is>
          <t>Lead visibility on contract pages</t>
        </is>
      </c>
      <c r="E750" s="14" t="inlineStr">
        <is>
          <t>Built in parity round 4</t>
        </is>
      </c>
      <c r="F750" s="12" t="inlineStr"/>
      <c r="G750" s="12" t="inlineStr"/>
      <c r="H750" s="28" t="inlineStr">
        <is>
          <t>Team check</t>
        </is>
      </c>
      <c r="I750" s="17" t="n"/>
      <c r="J750" s="17" t="n"/>
    </row>
    <row r="751">
      <c r="A751" s="12" t="inlineStr">
        <is>
          <t>Contracts</t>
        </is>
      </c>
      <c r="B751" s="12" t="inlineStr">
        <is>
          <t>CN-06</t>
        </is>
      </c>
      <c r="C751" s="12" t="inlineStr">
        <is>
          <t>Lists, roles and follow-through</t>
        </is>
      </c>
      <c r="D751" s="14" t="inlineStr">
        <is>
          <t>Activity</t>
        </is>
      </c>
      <c r="E751" s="14" t="inlineStr">
        <is>
          <t>Built</t>
        </is>
      </c>
      <c r="F751" s="12" t="inlineStr"/>
      <c r="G751" s="12" t="inlineStr"/>
      <c r="H751" s="28" t="inlineStr">
        <is>
          <t>Team check</t>
        </is>
      </c>
      <c r="I751" s="17" t="n"/>
      <c r="J751" s="17" t="n"/>
    </row>
    <row r="752">
      <c r="A752" s="12" t="inlineStr">
        <is>
          <t>Contracts</t>
        </is>
      </c>
      <c r="B752" s="12" t="inlineStr">
        <is>
          <t>CN-07</t>
        </is>
      </c>
      <c r="C752" s="12" t="inlineStr">
        <is>
          <t>Lists, roles and follow-through</t>
        </is>
      </c>
      <c r="D752" s="14" t="inlineStr">
        <is>
          <t>Notifications on send and signing</t>
        </is>
      </c>
      <c r="E752" s="14" t="inlineStr">
        <is>
          <t>Built in parity round 4</t>
        </is>
      </c>
      <c r="F752" s="12" t="inlineStr"/>
      <c r="G752" s="12" t="inlineStr">
        <is>
          <t>8.17, 12.13</t>
        </is>
      </c>
      <c r="H752" s="12" t="inlineStr"/>
      <c r="I752" s="17" t="n"/>
      <c r="J752" s="17" t="n"/>
    </row>
    <row r="753">
      <c r="A753" s="12" t="inlineStr">
        <is>
          <t>Contracts</t>
        </is>
      </c>
      <c r="B753" s="12" t="inlineStr">
        <is>
          <t>CN-08</t>
        </is>
      </c>
      <c r="C753" s="12" t="inlineStr">
        <is>
          <t>Lists, roles and follow-through</t>
        </is>
      </c>
      <c r="D753" s="14" t="inlineStr">
        <is>
          <t>The client’s page access</t>
        </is>
      </c>
      <c r="E753" s="14" t="inlineStr">
        <is>
          <t>Built</t>
        </is>
      </c>
      <c r="F753" s="12" t="inlineStr">
        <is>
          <t>A token link; Settings › Quotes &amp; pricing › Contracts sets how long (S03)</t>
        </is>
      </c>
      <c r="G753" s="12" t="inlineStr"/>
      <c r="H753" s="28" t="inlineStr">
        <is>
          <t>Team check</t>
        </is>
      </c>
      <c r="I753" s="17" t="n"/>
      <c r="J753" s="17" t="n"/>
    </row>
    <row r="754">
      <c r="A754" s="12" t="inlineStr">
        <is>
          <t>Contracts</t>
        </is>
      </c>
      <c r="B754" s="12" t="inlineStr">
        <is>
          <t>CZ-01</t>
        </is>
      </c>
      <c r="C754" s="12" t="inlineStr">
        <is>
          <t>Touchpoints</t>
        </is>
      </c>
      <c r="D754" s="14" t="inlineStr">
        <is>
          <t>The project’s contract and setup check</t>
        </is>
      </c>
      <c r="E754" s="14" t="inlineStr">
        <is>
          <t>Built</t>
        </is>
      </c>
      <c r="F754" s="12" t="inlineStr">
        <is>
          <t>Project info shows the contract; “Before work starts” asks for it (Projects build)</t>
        </is>
      </c>
      <c r="G754" s="12" t="inlineStr"/>
      <c r="H754" s="28" t="inlineStr">
        <is>
          <t>Team check</t>
        </is>
      </c>
      <c r="I754" s="17" t="n"/>
      <c r="J754" s="17" t="n"/>
    </row>
    <row r="755">
      <c r="A755" s="12" t="inlineStr">
        <is>
          <t>Contracts</t>
        </is>
      </c>
      <c r="B755" s="12" t="inlineStr">
        <is>
          <t>CZ-02</t>
        </is>
      </c>
      <c r="C755" s="12" t="inlineStr">
        <is>
          <t>Touchpoints</t>
        </is>
      </c>
      <c r="D755" s="14" t="inlineStr">
        <is>
          <t>Contract value, freeze, variation orders</t>
        </is>
      </c>
      <c r="E755" s="14" t="inlineStr">
        <is>
          <t>Built</t>
        </is>
      </c>
      <c r="F755" s="12" t="inlineStr">
        <is>
          <t>The signed total is the value; variation orders add to it (S03, Projects build)</t>
        </is>
      </c>
      <c r="G755" s="12" t="inlineStr"/>
      <c r="H755" s="28" t="inlineStr">
        <is>
          <t>Team check</t>
        </is>
      </c>
      <c r="I755" s="17" t="n"/>
      <c r="J755" s="17" t="n"/>
    </row>
    <row r="756">
      <c r="A756" s="12" t="inlineStr">
        <is>
          <t>Contracts</t>
        </is>
      </c>
      <c r="B756" s="12" t="inlineStr">
        <is>
          <t>CZ-03</t>
        </is>
      </c>
      <c r="C756" s="12" t="inlineStr">
        <is>
          <t>Touchpoints</t>
        </is>
      </c>
      <c r="D756" s="14" t="inlineStr">
        <is>
          <t>Portal signing and documents tab</t>
        </is>
      </c>
      <c r="E756" s="14" t="inlineStr">
        <is>
          <t>Built</t>
        </is>
      </c>
      <c r="F756" s="12" t="inlineStr">
        <is>
          <t>The portal asks to sign; its Files tab shows what you share (Projects build)</t>
        </is>
      </c>
      <c r="G756" s="12" t="inlineStr"/>
      <c r="H756" s="28" t="inlineStr">
        <is>
          <t>Team check</t>
        </is>
      </c>
      <c r="I756" s="17" t="n"/>
      <c r="J756" s="17" t="n"/>
    </row>
    <row r="757">
      <c r="A757" s="12" t="inlineStr">
        <is>
          <t>Contracts</t>
        </is>
      </c>
      <c r="B757" s="12" t="inlineStr">
        <is>
          <t>CZ-04</t>
        </is>
      </c>
      <c r="C757" s="12" t="inlineStr">
        <is>
          <t>Touchpoints</t>
        </is>
      </c>
      <c r="D757" s="14" t="inlineStr">
        <is>
          <t>My Signature and its auto-apply</t>
        </is>
      </c>
      <c r="E757" s="14" t="inlineStr">
        <is>
          <t>Built</t>
        </is>
      </c>
      <c r="F757" s="12" t="inlineStr">
        <is>
          <t>Your profile › Your signature; applied only with your consent (S01, S03)</t>
        </is>
      </c>
      <c r="G757" s="12" t="inlineStr"/>
      <c r="H757" s="28" t="inlineStr">
        <is>
          <t>Team check</t>
        </is>
      </c>
      <c r="I757" s="17" t="n"/>
      <c r="J757" s="17" t="n"/>
    </row>
    <row r="758">
      <c r="A758" s="12" t="inlineStr">
        <is>
          <t>Contracts</t>
        </is>
      </c>
      <c r="B758" s="12" t="inlineStr">
        <is>
          <t>CZ-05</t>
        </is>
      </c>
      <c r="C758" s="12" t="inlineStr">
        <is>
          <t>Touchpoints</t>
        </is>
      </c>
      <c r="D758" s="14" t="inlineStr">
        <is>
          <t>Quote X-Ray (nothing on contracts)</t>
        </is>
      </c>
      <c r="E758" s="14" t="inlineStr">
        <is>
          <t>Excluded</t>
        </is>
      </c>
      <c r="F758" s="12" t="inlineStr">
        <is>
          <t>X-Ray has no contract side; its own audit</t>
        </is>
      </c>
      <c r="G758" s="12" t="inlineStr"/>
      <c r="H758" s="12" t="inlineStr"/>
      <c r="I758" s="17" t="n"/>
      <c r="J758" s="17" t="n"/>
    </row>
    <row r="759">
      <c r="A759" s="12" t="inlineStr">
        <is>
          <t>Quote X-Ray</t>
        </is>
      </c>
      <c r="B759" s="12" t="inlineStr">
        <is>
          <t>DEF-01</t>
        </is>
      </c>
      <c r="C759" s="12" t="inlineStr">
        <is>
          <t>Definitions</t>
        </is>
      </c>
      <c r="D759" s="14" t="inlineStr">
        <is>
          <t>One reading: your quote against another studio’s</t>
        </is>
      </c>
      <c r="E759" s="14" t="inlineStr">
        <is>
          <t>Built</t>
        </is>
      </c>
      <c r="F759" s="12" t="inlineStr">
        <is>
          <t>Retired 1.0 objectives left behind (Q-01)</t>
        </is>
      </c>
      <c r="G759" s="12" t="inlineStr">
        <is>
          <t>7.03</t>
        </is>
      </c>
      <c r="H759" s="12" t="inlineStr"/>
      <c r="I759" s="17" t="n"/>
      <c r="J759" s="17" t="n"/>
    </row>
    <row r="760">
      <c r="A760" s="12" t="inlineStr">
        <is>
          <t>Quote X-Ray</t>
        </is>
      </c>
      <c r="B760" s="12" t="inlineStr">
        <is>
          <t>DEF-02</t>
        </is>
      </c>
      <c r="C760" s="12" t="inlineStr">
        <is>
          <t>Definitions</t>
        </is>
      </c>
      <c r="D760" s="14" t="inlineStr">
        <is>
          <t>Reading the other studio’s file</t>
        </is>
      </c>
      <c r="E760" s="14" t="inlineStr">
        <is>
          <t>Built in parity round 2</t>
        </is>
      </c>
      <c r="F760" s="12" t="inlineStr">
        <is>
          <t>Sheets and text PDFs read by their own words; photos and scans refused (S42)</t>
        </is>
      </c>
      <c r="G760" s="12" t="inlineStr">
        <is>
          <t>7.02, 7.10</t>
        </is>
      </c>
      <c r="H760" s="12" t="inlineStr"/>
      <c r="I760" s="17" t="n"/>
      <c r="J760" s="17" t="n"/>
    </row>
    <row r="761">
      <c r="A761" s="12" t="inlineStr">
        <is>
          <t>Quote X-Ray</t>
        </is>
      </c>
      <c r="B761" s="12" t="inlineStr">
        <is>
          <t>DEF-03</t>
        </is>
      </c>
      <c r="C761" s="12" t="inlineStr">
        <is>
          <t>Definitions</t>
        </is>
      </c>
      <c r="D761" s="14" t="inlineStr">
        <is>
          <t>Your side of the comparison</t>
        </is>
      </c>
      <c r="E761" s="14" t="inlineStr">
        <is>
          <t>Built in parity round 1</t>
        </is>
      </c>
      <c r="F761" s="12" t="inlineStr"/>
      <c r="G761" s="12" t="inlineStr">
        <is>
          <t>7.04</t>
        </is>
      </c>
      <c r="H761" s="12" t="inlineStr"/>
      <c r="I761" s="17" t="n"/>
      <c r="J761" s="17" t="n"/>
    </row>
    <row r="762">
      <c r="A762" s="12" t="inlineStr">
        <is>
          <t>Quote X-Ray</t>
        </is>
      </c>
      <c r="B762" s="12" t="inlineStr">
        <is>
          <t>DEF-04</t>
        </is>
      </c>
      <c r="C762" s="12" t="inlineStr">
        <is>
          <t>Definitions</t>
        </is>
      </c>
      <c r="D762" s="14" t="inlineStr">
        <is>
          <t>What counts as a match</t>
        </is>
      </c>
      <c r="E762" s="14" t="inlineStr">
        <is>
          <t>Built in parity round 1</t>
        </is>
      </c>
      <c r="F762" s="12" t="inlineStr">
        <is>
          <t>Plurals, trade words, one against several; corrections in round 3</t>
        </is>
      </c>
      <c r="G762" s="12" t="inlineStr">
        <is>
          <t>7.05</t>
        </is>
      </c>
      <c r="H762" s="12" t="inlineStr"/>
      <c r="I762" s="17" t="n"/>
      <c r="J762" s="17" t="n"/>
    </row>
    <row r="763">
      <c r="A763" s="12" t="inlineStr">
        <is>
          <t>Quote X-Ray</t>
        </is>
      </c>
      <c r="B763" s="12" t="inlineStr">
        <is>
          <t>DEF-05</t>
        </is>
      </c>
      <c r="C763" s="12" t="inlineStr">
        <is>
          <t>Definitions</t>
        </is>
      </c>
      <c r="D763" s="14" t="inlineStr">
        <is>
          <t>The real price difference</t>
        </is>
      </c>
      <c r="E763" s="14" t="inlineStr">
        <is>
          <t>Built</t>
        </is>
      </c>
      <c r="F763" s="12" t="inlineStr"/>
      <c r="G763" s="12" t="inlineStr">
        <is>
          <t>7.04</t>
        </is>
      </c>
      <c r="H763" s="12" t="inlineStr"/>
      <c r="I763" s="17" t="n"/>
      <c r="J763" s="17" t="n"/>
    </row>
    <row r="764">
      <c r="A764" s="12" t="inlineStr">
        <is>
          <t>Quote X-Ray</t>
        </is>
      </c>
      <c r="B764" s="12" t="inlineStr">
        <is>
          <t>DEF-06</t>
        </is>
      </c>
      <c r="C764" s="12" t="inlineStr">
        <is>
          <t>Definitions</t>
        </is>
      </c>
      <c r="D764" s="14" t="inlineStr">
        <is>
          <t>Points to tell the client</t>
        </is>
      </c>
      <c r="E764" s="14" t="inlineStr">
        <is>
          <t>Built in parity round 1</t>
        </is>
      </c>
      <c r="F764" s="12" t="inlineStr"/>
      <c r="G764" s="12" t="inlineStr">
        <is>
          <t>7.08</t>
        </is>
      </c>
      <c r="H764" s="12" t="inlineStr"/>
      <c r="I764" s="17" t="n"/>
      <c r="J764" s="17" t="n"/>
    </row>
    <row r="765">
      <c r="A765" s="12" t="inlineStr">
        <is>
          <t>Quote X-Ray</t>
        </is>
      </c>
      <c r="B765" s="12" t="inlineStr">
        <is>
          <t>DEF-07</t>
        </is>
      </c>
      <c r="C765" s="12" t="inlineStr">
        <is>
          <t>Definitions</t>
        </is>
      </c>
      <c r="D765" s="14" t="inlineStr">
        <is>
          <t>Brand key points</t>
        </is>
      </c>
      <c r="E765" s="14" t="inlineStr">
        <is>
          <t>Built in parity round 1</t>
        </is>
      </c>
      <c r="F765" s="12" t="inlineStr">
        <is>
          <t>Curated notes stand in for web research</t>
        </is>
      </c>
      <c r="G765" s="12" t="inlineStr">
        <is>
          <t>7.08</t>
        </is>
      </c>
      <c r="H765" s="12" t="inlineStr"/>
      <c r="I765" s="17" t="n"/>
      <c r="J765" s="17" t="n"/>
    </row>
    <row r="766">
      <c r="A766" s="12" t="inlineStr">
        <is>
          <t>Quote X-Ray</t>
        </is>
      </c>
      <c r="B766" s="12" t="inlineStr">
        <is>
          <t>DEF-08</t>
        </is>
      </c>
      <c r="C766" s="12" t="inlineStr">
        <is>
          <t>Definitions</t>
        </is>
      </c>
      <c r="D766" s="14" t="inlineStr">
        <is>
          <t>The WhatsApp message to the client</t>
        </is>
      </c>
      <c r="E766" s="14" t="inlineStr">
        <is>
          <t>Built in parity round 3</t>
        </is>
      </c>
      <c r="F766" s="12" t="inlineStr">
        <is>
          <t>Wording in round 1; the send kept in round 3</t>
        </is>
      </c>
      <c r="G766" s="12" t="inlineStr">
        <is>
          <t>7.09</t>
        </is>
      </c>
      <c r="H766" s="12" t="inlineStr"/>
      <c r="I766" s="17" t="n"/>
      <c r="J766" s="17" t="n"/>
    </row>
    <row r="767">
      <c r="A767" s="12" t="inlineStr">
        <is>
          <t>Quote X-Ray</t>
        </is>
      </c>
      <c r="B767" s="12" t="inlineStr">
        <is>
          <t>DEF-09</t>
        </is>
      </c>
      <c r="C767" s="12" t="inlineStr">
        <is>
          <t>Definitions</t>
        </is>
      </c>
      <c r="D767" s="14" t="inlineStr">
        <is>
          <t>History of comparisons</t>
        </is>
      </c>
      <c r="E767" s="14" t="inlineStr">
        <is>
          <t>Built in parity round 2</t>
        </is>
      </c>
      <c r="F767" s="12" t="inlineStr">
        <is>
          <t>Every reading listed, with search; Who sees leads in round 4</t>
        </is>
      </c>
      <c r="G767" s="12" t="inlineStr">
        <is>
          <t>7.12</t>
        </is>
      </c>
      <c r="H767" s="12" t="inlineStr"/>
      <c r="I767" s="17" t="n"/>
      <c r="J767" s="17" t="n"/>
    </row>
    <row r="768">
      <c r="A768" s="12" t="inlineStr">
        <is>
          <t>Quote X-Ray</t>
        </is>
      </c>
      <c r="B768" s="12" t="inlineStr">
        <is>
          <t>DEF-10</t>
        </is>
      </c>
      <c r="C768" s="12" t="inlineStr">
        <is>
          <t>Definitions</t>
        </is>
      </c>
      <c r="D768" s="14" t="inlineStr">
        <is>
          <t>A reading over time</t>
        </is>
      </c>
      <c r="E768" s="14" t="inlineStr">
        <is>
          <t>Built in parity round 3</t>
        </is>
      </c>
      <c r="F768" s="12" t="inlineStr">
        <is>
          <t>Corrections, the changed-quote warning and Run again</t>
        </is>
      </c>
      <c r="G768" s="12" t="inlineStr">
        <is>
          <t>7.06, 7.12</t>
        </is>
      </c>
      <c r="H768" s="12" t="inlineStr"/>
      <c r="I768" s="17" t="n"/>
      <c r="J768" s="17" t="n"/>
    </row>
    <row r="769">
      <c r="A769" s="12" t="inlineStr">
        <is>
          <t>Quote X-Ray</t>
        </is>
      </c>
      <c r="B769" s="12" t="inlineStr">
        <is>
          <t>MM-01</t>
        </is>
      </c>
      <c r="C769" s="12" t="inlineStr">
        <is>
          <t>Mismatches</t>
        </is>
      </c>
      <c r="D769" s="14" t="inlineStr">
        <is>
          <t>The basis of your total</t>
        </is>
      </c>
      <c r="E769" s="14" t="inlineStr">
        <is>
          <t>Built in parity round 1</t>
        </is>
      </c>
      <c r="F769" s="12" t="inlineStr"/>
      <c r="G769" s="12" t="inlineStr">
        <is>
          <t>7.04</t>
        </is>
      </c>
      <c r="H769" s="12" t="inlineStr"/>
      <c r="I769" s="17" t="n"/>
      <c r="J769" s="17" t="n"/>
    </row>
    <row r="770">
      <c r="A770" s="12" t="inlineStr">
        <is>
          <t>Quote X-Ray</t>
        </is>
      </c>
      <c r="B770" s="12" t="inlineStr">
        <is>
          <t>MM-02</t>
        </is>
      </c>
      <c r="C770" s="12" t="inlineStr">
        <is>
          <t>Mismatches</t>
        </is>
      </c>
      <c r="D770" s="14" t="inlineStr">
        <is>
          <t>Your lines printing FOC or Inclusive</t>
        </is>
      </c>
      <c r="E770" s="14" t="inlineStr">
        <is>
          <t>Built in parity round 1</t>
        </is>
      </c>
      <c r="F770" s="12" t="inlineStr"/>
      <c r="G770" s="12" t="inlineStr">
        <is>
          <t>7.04</t>
        </is>
      </c>
      <c r="H770" s="12" t="inlineStr"/>
      <c r="I770" s="17" t="n"/>
      <c r="J770" s="17" t="n"/>
    </row>
    <row r="771">
      <c r="A771" s="12" t="inlineStr">
        <is>
          <t>Quote X-Ray</t>
        </is>
      </c>
      <c r="B771" s="12" t="inlineStr">
        <is>
          <t>MM-03</t>
        </is>
      </c>
      <c r="C771" s="12" t="inlineStr">
        <is>
          <t>Mismatches</t>
        </is>
      </c>
      <c r="D771" s="14" t="inlineStr">
        <is>
          <t>The “below market” label</t>
        </is>
      </c>
      <c r="E771" s="14" t="inlineStr">
        <is>
          <t>Built in parity round 1</t>
        </is>
      </c>
      <c r="F771" s="12" t="inlineStr">
        <is>
          <t>Reads “Priced well below ours” — no market rates (Q-06)</t>
        </is>
      </c>
      <c r="G771" s="12" t="inlineStr">
        <is>
          <t>7.08</t>
        </is>
      </c>
      <c r="H771" s="12" t="inlineStr"/>
      <c r="I771" s="17" t="n"/>
      <c r="J771" s="17" t="n"/>
    </row>
    <row r="772">
      <c r="A772" s="12" t="inlineStr">
        <is>
          <t>Quote X-Ray</t>
        </is>
      </c>
      <c r="B772" s="12" t="inlineStr">
        <is>
          <t>MM-04</t>
        </is>
      </c>
      <c r="C772" s="12" t="inlineStr">
        <is>
          <t>Mismatches</t>
        </is>
      </c>
      <c r="D772" s="14" t="inlineStr">
        <is>
          <t>Naming the other studio to the client</t>
        </is>
      </c>
      <c r="E772" s="14" t="inlineStr">
        <is>
          <t>Built in parity round 1</t>
        </is>
      </c>
      <c r="F772" s="12" t="inlineStr"/>
      <c r="G772" s="12" t="inlineStr">
        <is>
          <t>7.09</t>
        </is>
      </c>
      <c r="H772" s="12" t="inlineStr"/>
      <c r="I772" s="17" t="n"/>
      <c r="J772" s="17" t="n"/>
    </row>
    <row r="773">
      <c r="A773" s="12" t="inlineStr">
        <is>
          <t>Quote X-Ray</t>
        </is>
      </c>
      <c r="B773" s="12" t="inlineStr">
        <is>
          <t>MM-05</t>
        </is>
      </c>
      <c r="C773" s="12" t="inlineStr">
        <is>
          <t>Mismatches</t>
        </is>
      </c>
      <c r="D773" s="14" t="inlineStr">
        <is>
          <t>Brands with nothing to raise</t>
        </is>
      </c>
      <c r="E773" s="14" t="inlineStr">
        <is>
          <t>Built in parity round 1</t>
        </is>
      </c>
      <c r="F773" s="12" t="inlineStr"/>
      <c r="G773" s="12" t="inlineStr">
        <is>
          <t>7.08</t>
        </is>
      </c>
      <c r="H773" s="12" t="inlineStr"/>
      <c r="I773" s="17" t="n"/>
      <c r="J773" s="17" t="n"/>
    </row>
    <row r="774">
      <c r="A774" s="12" t="inlineStr">
        <is>
          <t>Quote X-Ray</t>
        </is>
      </c>
      <c r="B774" s="12" t="inlineStr">
        <is>
          <t>MM-06</t>
        </is>
      </c>
      <c r="C774" s="12" t="inlineStr">
        <is>
          <t>Mismatches</t>
        </is>
      </c>
      <c r="D774" s="14" t="inlineStr">
        <is>
          <t>Whose WhatsApp chat opens</t>
        </is>
      </c>
      <c r="E774" s="14" t="inlineStr">
        <is>
          <t>Built in parity round 3</t>
        </is>
      </c>
      <c r="F774" s="12" t="inlineStr"/>
      <c r="G774" s="12" t="inlineStr">
        <is>
          <t>7.09</t>
        </is>
      </c>
      <c r="H774" s="12" t="inlineStr"/>
      <c r="I774" s="17" t="n"/>
      <c r="J774" s="17" t="n"/>
    </row>
    <row r="775">
      <c r="A775" s="12" t="inlineStr">
        <is>
          <t>Quote X-Ray</t>
        </is>
      </c>
      <c r="B775" s="12" t="inlineStr">
        <is>
          <t>MM-07</t>
        </is>
      </c>
      <c r="C775" s="12" t="inlineStr">
        <is>
          <t>Mismatches</t>
        </is>
      </c>
      <c r="D775" s="14" t="inlineStr">
        <is>
          <t>Upload mode and the lead</t>
        </is>
      </c>
      <c r="E775" s="14" t="inlineStr">
        <is>
          <t>Built in parity round 2</t>
        </is>
      </c>
      <c r="F775" s="12" t="inlineStr"/>
      <c r="G775" s="12" t="inlineStr"/>
      <c r="H775" s="28" t="inlineStr">
        <is>
          <t>Team check</t>
        </is>
      </c>
      <c r="I775" s="17" t="n"/>
      <c r="J775" s="17" t="n"/>
    </row>
    <row r="776">
      <c r="A776" s="12" t="inlineStr">
        <is>
          <t>Quote X-Ray</t>
        </is>
      </c>
      <c r="B776" s="12" t="inlineStr">
        <is>
          <t>MM-08</t>
        </is>
      </c>
      <c r="C776" s="12" t="inlineStr">
        <is>
          <t>Mismatches</t>
        </is>
      </c>
      <c r="D776" s="14" t="inlineStr">
        <is>
          <t>Whose comparisons you see</t>
        </is>
      </c>
      <c r="E776" s="14" t="inlineStr">
        <is>
          <t>Built in parity round 4</t>
        </is>
      </c>
      <c r="F776" s="12" t="inlineStr"/>
      <c r="G776" s="12" t="inlineStr"/>
      <c r="H776" s="28" t="inlineStr">
        <is>
          <t>Team check</t>
        </is>
      </c>
      <c r="I776" s="17" t="n"/>
      <c r="J776" s="17" t="n"/>
    </row>
    <row r="777">
      <c r="A777" s="12" t="inlineStr">
        <is>
          <t>Quote X-Ray</t>
        </is>
      </c>
      <c r="B777" s="12" t="inlineStr">
        <is>
          <t>MM-09</t>
        </is>
      </c>
      <c r="C777" s="12" t="inlineStr">
        <is>
          <t>Mismatches</t>
        </is>
      </c>
      <c r="D777" s="14" t="inlineStr">
        <is>
          <t>When the lead is deleted</t>
        </is>
      </c>
      <c r="E777" s="14" t="inlineStr">
        <is>
          <t>Built in parity round 4</t>
        </is>
      </c>
      <c r="F777" s="12" t="inlineStr"/>
      <c r="G777" s="12" t="inlineStr"/>
      <c r="H777" s="28" t="inlineStr">
        <is>
          <t>Team check</t>
        </is>
      </c>
      <c r="I777" s="17" t="n"/>
      <c r="J777" s="17" t="n"/>
    </row>
    <row r="778">
      <c r="A778" s="12" t="inlineStr">
        <is>
          <t>Quote X-Ray</t>
        </is>
      </c>
      <c r="B778" s="12" t="inlineStr">
        <is>
          <t>XE-01</t>
        </is>
      </c>
      <c r="C778" s="12" t="inlineStr">
        <is>
          <t>Ways in and back</t>
        </is>
      </c>
      <c r="D778" s="14" t="inlineStr">
        <is>
          <t>X-Ray in Tools</t>
        </is>
      </c>
      <c r="E778" s="14" t="inlineStr">
        <is>
          <t>Built</t>
        </is>
      </c>
      <c r="F778" s="12" t="inlineStr"/>
      <c r="G778" s="12" t="inlineStr">
        <is>
          <t>1.06, 7.10, 11.13, 12.09</t>
        </is>
      </c>
      <c r="H778" s="12" t="inlineStr"/>
      <c r="I778" s="17" t="n"/>
      <c r="J778" s="17" t="n"/>
    </row>
    <row r="779">
      <c r="A779" s="12" t="inlineStr">
        <is>
          <t>Quote X-Ray</t>
        </is>
      </c>
      <c r="B779" s="12" t="inlineStr">
        <is>
          <t>XE-02</t>
        </is>
      </c>
      <c r="C779" s="12" t="inlineStr">
        <is>
          <t>Ways in and back</t>
        </is>
      </c>
      <c r="D779" s="14" t="inlineStr">
        <is>
          <t>“Beat this quote” link on the lead</t>
        </is>
      </c>
      <c r="E779" s="14" t="inlineStr">
        <is>
          <t>Built in parity round 2</t>
        </is>
      </c>
      <c r="F779" s="12" t="inlineStr">
        <is>
          <t>Quote rows’ Compare with another quote, phone included</t>
        </is>
      </c>
      <c r="G779" s="12" t="inlineStr">
        <is>
          <t>7.01</t>
        </is>
      </c>
      <c r="H779" s="12" t="inlineStr"/>
      <c r="I779" s="17" t="n"/>
      <c r="J779" s="17" t="n"/>
    </row>
    <row r="780">
      <c r="A780" s="12" t="inlineStr">
        <is>
          <t>Quote X-Ray</t>
        </is>
      </c>
      <c r="B780" s="12" t="inlineStr">
        <is>
          <t>XE-03</t>
        </is>
      </c>
      <c r="C780" s="12" t="inlineStr">
        <is>
          <t>Ways in and back</t>
        </is>
      </c>
      <c r="D780" s="14" t="inlineStr">
        <is>
          <t>X-Ray from a quote</t>
        </is>
      </c>
      <c r="E780" s="14" t="inlineStr">
        <is>
          <t>Built in parity round 2</t>
        </is>
      </c>
      <c r="F780" s="12" t="inlineStr">
        <is>
          <t>Also on the Quotes tab and Tools › Quotes rows</t>
        </is>
      </c>
      <c r="G780" s="12" t="inlineStr">
        <is>
          <t>7.01</t>
        </is>
      </c>
      <c r="H780" s="12" t="inlineStr"/>
      <c r="I780" s="17" t="n"/>
      <c r="J780" s="17" t="n"/>
    </row>
    <row r="781">
      <c r="A781" s="12" t="inlineStr">
        <is>
          <t>Quote X-Ray</t>
        </is>
      </c>
      <c r="B781" s="12" t="inlineStr">
        <is>
          <t>XE-04</t>
        </is>
      </c>
      <c r="C781" s="12" t="inlineStr">
        <is>
          <t>Ways in and back</t>
        </is>
      </c>
      <c r="D781" s="14" t="inlineStr">
        <is>
          <t>Links straight to a reading</t>
        </is>
      </c>
      <c r="E781" s="14" t="inlineStr">
        <is>
          <t>Built</t>
        </is>
      </c>
      <c r="F781" s="12" t="inlineStr"/>
      <c r="G781" s="12" t="inlineStr"/>
      <c r="H781" s="28" t="inlineStr">
        <is>
          <t>Team check</t>
        </is>
      </c>
      <c r="I781" s="17" t="n"/>
      <c r="J781" s="17" t="n"/>
    </row>
    <row r="782">
      <c r="A782" s="12" t="inlineStr">
        <is>
          <t>Quote X-Ray</t>
        </is>
      </c>
      <c r="B782" s="12" t="inlineStr">
        <is>
          <t>XE-05</t>
        </is>
      </c>
      <c r="C782" s="12" t="inlineStr">
        <is>
          <t>Ways in and back</t>
        </is>
      </c>
      <c r="D782" s="14" t="inlineStr">
        <is>
          <t>Page frame, loading and crumbs</t>
        </is>
      </c>
      <c r="E782" s="14" t="inlineStr">
        <is>
          <t>Built in parity round 2</t>
        </is>
      </c>
      <c r="F782" s="12" t="inlineStr"/>
      <c r="G782" s="12" t="inlineStr"/>
      <c r="H782" s="28" t="inlineStr">
        <is>
          <t>Team check</t>
        </is>
      </c>
      <c r="I782" s="17" t="n"/>
      <c r="J782" s="17" t="n"/>
    </row>
    <row r="783">
      <c r="A783" s="12" t="inlineStr">
        <is>
          <t>Quote X-Ray</t>
        </is>
      </c>
      <c r="B783" s="12" t="inlineStr">
        <is>
          <t>XE-06</t>
        </is>
      </c>
      <c r="C783" s="12" t="inlineStr">
        <is>
          <t>Ways in and back</t>
        </is>
      </c>
      <c r="D783" s="14" t="inlineStr">
        <is>
          <t>The way back keeps the lead</t>
        </is>
      </c>
      <c r="E783" s="14" t="inlineStr">
        <is>
          <t>Built in parity round 2</t>
        </is>
      </c>
      <c r="F783" s="12" t="inlineStr"/>
      <c r="G783" s="12" t="inlineStr"/>
      <c r="H783" s="28" t="inlineStr">
        <is>
          <t>Team check</t>
        </is>
      </c>
      <c r="I783" s="17" t="n"/>
      <c r="J783" s="17" t="n"/>
    </row>
    <row r="784">
      <c r="A784" s="12" t="inlineStr">
        <is>
          <t>Quote X-Ray</t>
        </is>
      </c>
      <c r="B784" s="12" t="inlineStr">
        <is>
          <t>XE-07</t>
        </is>
      </c>
      <c r="C784" s="12" t="inlineStr">
        <is>
          <t>Ways in and back</t>
        </is>
      </c>
      <c r="D784" s="14" t="inlineStr">
        <is>
          <t>Who may open and run X-Ray</t>
        </is>
      </c>
      <c r="E784" s="14" t="inlineStr">
        <is>
          <t>Built in parity round 4</t>
        </is>
      </c>
      <c r="F784" s="12" t="inlineStr"/>
      <c r="G784" s="12" t="inlineStr">
        <is>
          <t>7.11</t>
        </is>
      </c>
      <c r="H784" s="12" t="inlineStr"/>
      <c r="I784" s="17" t="n"/>
      <c r="J784" s="17" t="n"/>
    </row>
    <row r="785">
      <c r="A785" s="12" t="inlineStr">
        <is>
          <t>Quote X-Ray</t>
        </is>
      </c>
      <c r="B785" s="12" t="inlineStr">
        <is>
          <t>XE-08</t>
        </is>
      </c>
      <c r="C785" s="12" t="inlineStr">
        <is>
          <t>Ways in and back</t>
        </is>
      </c>
      <c r="D785" s="14" t="inlineStr">
        <is>
          <t>Phone and tablet</t>
        </is>
      </c>
      <c r="E785" s="14" t="inlineStr">
        <is>
          <t>Built</t>
        </is>
      </c>
      <c r="F785" s="12" t="inlineStr"/>
      <c r="G785" s="12" t="inlineStr"/>
      <c r="H785" s="28" t="inlineStr">
        <is>
          <t>Team check</t>
        </is>
      </c>
      <c r="I785" s="17" t="n"/>
      <c r="J785" s="17" t="n"/>
    </row>
    <row r="786">
      <c r="A786" s="12" t="inlineStr">
        <is>
          <t>Quote X-Ray</t>
        </is>
      </c>
      <c r="B786" s="12" t="inlineStr">
        <is>
          <t>XS-01</t>
        </is>
      </c>
      <c r="C786" s="12" t="inlineStr">
        <is>
          <t>The setup</t>
        </is>
      </c>
      <c r="D786" s="14" t="inlineStr">
        <is>
          <t>The explainer card</t>
        </is>
      </c>
      <c r="E786" s="14" t="inlineStr">
        <is>
          <t>Built</t>
        </is>
      </c>
      <c r="F786" s="12" t="inlineStr"/>
      <c r="G786" s="12" t="inlineStr">
        <is>
          <t>7.01</t>
        </is>
      </c>
      <c r="H786" s="12" t="inlineStr"/>
      <c r="I786" s="17" t="n"/>
      <c r="J786" s="17" t="n"/>
    </row>
    <row r="787">
      <c r="A787" s="12" t="inlineStr">
        <is>
          <t>Quote X-Ray</t>
        </is>
      </c>
      <c r="B787" s="12" t="inlineStr">
        <is>
          <t>XS-02</t>
        </is>
      </c>
      <c r="C787" s="12" t="inlineStr">
        <is>
          <t>The setup</t>
        </is>
      </c>
      <c r="D787" s="14" t="inlineStr">
        <is>
          <t>Two ways to start</t>
        </is>
      </c>
      <c r="E787" s="14" t="inlineStr">
        <is>
          <t>Built</t>
        </is>
      </c>
      <c r="F787" s="12" t="inlineStr"/>
      <c r="G787" s="12" t="inlineStr">
        <is>
          <t>7.10</t>
        </is>
      </c>
      <c r="H787" s="12" t="inlineStr"/>
      <c r="I787" s="17" t="n"/>
      <c r="J787" s="17" t="n"/>
    </row>
    <row r="788">
      <c r="A788" s="12" t="inlineStr">
        <is>
          <t>Quote X-Ray</t>
        </is>
      </c>
      <c r="B788" s="12" t="inlineStr">
        <is>
          <t>XS-03</t>
        </is>
      </c>
      <c r="C788" s="12" t="inlineStr">
        <is>
          <t>The setup</t>
        </is>
      </c>
      <c r="D788" s="14" t="inlineStr">
        <is>
          <t>Choosing the lead</t>
        </is>
      </c>
      <c r="E788" s="14" t="inlineStr">
        <is>
          <t>Built in parity round 2</t>
        </is>
      </c>
      <c r="F788" s="12" t="inlineStr"/>
      <c r="G788" s="12" t="inlineStr"/>
      <c r="H788" s="28" t="inlineStr">
        <is>
          <t>Team check</t>
        </is>
      </c>
      <c r="I788" s="17" t="n"/>
      <c r="J788" s="17" t="n"/>
    </row>
    <row r="789">
      <c r="A789" s="12" t="inlineStr">
        <is>
          <t>Quote X-Ray</t>
        </is>
      </c>
      <c r="B789" s="12" t="inlineStr">
        <is>
          <t>XS-04</t>
        </is>
      </c>
      <c r="C789" s="12" t="inlineStr">
        <is>
          <t>The setup</t>
        </is>
      </c>
      <c r="D789" s="14" t="inlineStr">
        <is>
          <t>Choosing the lead’s quote</t>
        </is>
      </c>
      <c r="E789" s="14" t="inlineStr">
        <is>
          <t>Built in parity round 2</t>
        </is>
      </c>
      <c r="F789" s="12" t="inlineStr"/>
      <c r="G789" s="12" t="inlineStr">
        <is>
          <t>7.01</t>
        </is>
      </c>
      <c r="H789" s="12" t="inlineStr"/>
      <c r="I789" s="17" t="n"/>
      <c r="J789" s="17" t="n"/>
    </row>
    <row r="790">
      <c r="A790" s="12" t="inlineStr">
        <is>
          <t>Quote X-Ray</t>
        </is>
      </c>
      <c r="B790" s="12" t="inlineStr">
        <is>
          <t>XS-05</t>
        </is>
      </c>
      <c r="C790" s="12" t="inlineStr">
        <is>
          <t>The setup</t>
        </is>
      </c>
      <c r="D790" s="14" t="inlineStr">
        <is>
          <t>A lead with no quote yet</t>
        </is>
      </c>
      <c r="E790" s="14" t="inlineStr">
        <is>
          <t>Built in parity round 2</t>
        </is>
      </c>
      <c r="F790" s="12" t="inlineStr"/>
      <c r="G790" s="12" t="inlineStr"/>
      <c r="H790" s="28" t="inlineStr">
        <is>
          <t>Team check</t>
        </is>
      </c>
      <c r="I790" s="17" t="n"/>
      <c r="J790" s="17" t="n"/>
    </row>
    <row r="791">
      <c r="A791" s="12" t="inlineStr">
        <is>
          <t>Quote X-Ray</t>
        </is>
      </c>
      <c r="B791" s="12" t="inlineStr">
        <is>
          <t>XS-06</t>
        </is>
      </c>
      <c r="C791" s="12" t="inlineStr">
        <is>
          <t>The setup</t>
        </is>
      </c>
      <c r="D791" s="14" t="inlineStr">
        <is>
          <t>Upload mode keeps the lead</t>
        </is>
      </c>
      <c r="E791" s="14" t="inlineStr">
        <is>
          <t>Built in parity round 2</t>
        </is>
      </c>
      <c r="F791" s="12" t="inlineStr"/>
      <c r="G791" s="12" t="inlineStr"/>
      <c r="H791" s="28" t="inlineStr">
        <is>
          <t>Team check</t>
        </is>
      </c>
      <c r="I791" s="17" t="n"/>
      <c r="J791" s="17" t="n"/>
    </row>
    <row r="792">
      <c r="A792" s="12" t="inlineStr">
        <is>
          <t>Quote X-Ray</t>
        </is>
      </c>
      <c r="B792" s="12" t="inlineStr">
        <is>
          <t>XS-07</t>
        </is>
      </c>
      <c r="C792" s="12" t="inlineStr">
        <is>
          <t>The setup</t>
        </is>
      </c>
      <c r="D792" s="14" t="inlineStr">
        <is>
          <t>The dropzone, file types and 10 MB</t>
        </is>
      </c>
      <c r="E792" s="14" t="inlineStr">
        <is>
          <t>Built in parity round 2</t>
        </is>
      </c>
      <c r="F792" s="12" t="inlineStr"/>
      <c r="G792" s="12" t="inlineStr">
        <is>
          <t>7.02</t>
        </is>
      </c>
      <c r="H792" s="12" t="inlineStr"/>
      <c r="I792" s="17" t="n"/>
      <c r="J792" s="17" t="n"/>
    </row>
    <row r="793">
      <c r="A793" s="12" t="inlineStr">
        <is>
          <t>Quote X-Ray</t>
        </is>
      </c>
      <c r="B793" s="12" t="inlineStr">
        <is>
          <t>XS-08</t>
        </is>
      </c>
      <c r="C793" s="12" t="inlineStr">
        <is>
          <t>The setup</t>
        </is>
      </c>
      <c r="D793" s="14" t="inlineStr">
        <is>
          <t>Compare button and its hint</t>
        </is>
      </c>
      <c r="E793" s="14" t="inlineStr">
        <is>
          <t>Built</t>
        </is>
      </c>
      <c r="F793" s="12" t="inlineStr"/>
      <c r="G793" s="12" t="inlineStr">
        <is>
          <t>7.02</t>
        </is>
      </c>
      <c r="H793" s="12" t="inlineStr"/>
      <c r="I793" s="17" t="n"/>
      <c r="J793" s="17" t="n"/>
    </row>
    <row r="794">
      <c r="A794" s="12" t="inlineStr">
        <is>
          <t>Quote X-Ray</t>
        </is>
      </c>
      <c r="B794" s="12" t="inlineStr">
        <is>
          <t>XS-09</t>
        </is>
      </c>
      <c r="C794" s="12" t="inlineStr">
        <is>
          <t>The setup</t>
        </is>
      </c>
      <c r="D794" s="14" t="inlineStr">
        <is>
          <t>Progress while comparing</t>
        </is>
      </c>
      <c r="E794" s="14" t="inlineStr">
        <is>
          <t>Built</t>
        </is>
      </c>
      <c r="F794" s="12" t="inlineStr"/>
      <c r="G794" s="12" t="inlineStr">
        <is>
          <t>7.03</t>
        </is>
      </c>
      <c r="H794" s="12" t="inlineStr"/>
      <c r="I794" s="17" t="n"/>
      <c r="J794" s="17" t="n"/>
    </row>
    <row r="795">
      <c r="A795" s="12" t="inlineStr">
        <is>
          <t>Quote X-Ray</t>
        </is>
      </c>
      <c r="B795" s="12" t="inlineStr">
        <is>
          <t>XS-10</t>
        </is>
      </c>
      <c r="C795" s="12" t="inlineStr">
        <is>
          <t>The setup</t>
        </is>
      </c>
      <c r="D795" s="14" t="inlineStr">
        <is>
          <t>Errors that name the file</t>
        </is>
      </c>
      <c r="E795" s="14" t="inlineStr">
        <is>
          <t>Built</t>
        </is>
      </c>
      <c r="F795" s="12" t="inlineStr"/>
      <c r="G795" s="12" t="inlineStr">
        <is>
          <t>7.10</t>
        </is>
      </c>
      <c r="H795" s="12" t="inlineStr"/>
      <c r="I795" s="17" t="n"/>
      <c r="J795" s="17" t="n"/>
    </row>
    <row r="796">
      <c r="A796" s="12" t="inlineStr">
        <is>
          <t>Quote X-Ray</t>
        </is>
      </c>
      <c r="B796" s="12" t="inlineStr">
        <is>
          <t>XR-01</t>
        </is>
      </c>
      <c r="C796" s="12" t="inlineStr">
        <is>
          <t>Reading the files</t>
        </is>
      </c>
      <c r="D796" s="14" t="inlineStr">
        <is>
          <t>Reading a PDF or a photo</t>
        </is>
      </c>
      <c r="E796" s="14" t="inlineStr">
        <is>
          <t>Built</t>
        </is>
      </c>
      <c r="F796" s="12" t="inlineStr">
        <is>
          <t>Text PDFs read by their own words; a photo or a scan is refused (S21, S42)</t>
        </is>
      </c>
      <c r="G796" s="12" t="inlineStr">
        <is>
          <t>7.10, 7.14</t>
        </is>
      </c>
      <c r="H796" s="12" t="inlineStr"/>
      <c r="I796" s="17" t="n"/>
      <c r="J796" s="17" t="n"/>
    </row>
    <row r="797">
      <c r="A797" s="12" t="inlineStr">
        <is>
          <t>Quote X-Ray</t>
        </is>
      </c>
      <c r="B797" s="12" t="inlineStr">
        <is>
          <t>XR-02</t>
        </is>
      </c>
      <c r="C797" s="12" t="inlineStr">
        <is>
          <t>Reading the files</t>
        </is>
      </c>
      <c r="D797" s="14" t="inlineStr">
        <is>
          <t>Reading spreadsheets</t>
        </is>
      </c>
      <c r="E797" s="14" t="inlineStr">
        <is>
          <t>Built in parity round 2</t>
        </is>
      </c>
      <c r="F797" s="12" t="inlineStr"/>
      <c r="G797" s="12" t="inlineStr">
        <is>
          <t>7.02</t>
        </is>
      </c>
      <c r="H797" s="12" t="inlineStr"/>
      <c r="I797" s="17" t="n"/>
      <c r="J797" s="17" t="n"/>
    </row>
    <row r="798">
      <c r="A798" s="12" t="inlineStr">
        <is>
          <t>Quote X-Ray</t>
        </is>
      </c>
      <c r="B798" s="12" t="inlineStr">
        <is>
          <t>XR-03</t>
        </is>
      </c>
      <c r="C798" s="12" t="inlineStr">
        <is>
          <t>Reading the files</t>
        </is>
      </c>
      <c r="D798" s="14" t="inlineStr">
        <is>
          <t>File names misread by part of a word</t>
        </is>
      </c>
      <c r="E798" s="14" t="inlineStr">
        <is>
          <t>Built in parity round 2</t>
        </is>
      </c>
      <c r="F798" s="12" t="inlineStr">
        <is>
          <t>File names are no longer read — a quote is known by its words (S42)</t>
        </is>
      </c>
      <c r="G798" s="12" t="inlineStr">
        <is>
          <t>7.10, 7.14</t>
        </is>
      </c>
      <c r="H798" s="12" t="inlineStr"/>
      <c r="I798" s="17" t="n"/>
      <c r="J798" s="17" t="n"/>
    </row>
    <row r="799">
      <c r="A799" s="12" t="inlineStr">
        <is>
          <t>Quote X-Ray</t>
        </is>
      </c>
      <c r="B799" s="12" t="inlineStr">
        <is>
          <t>XR-04</t>
        </is>
      </c>
      <c r="C799" s="12" t="inlineStr">
        <is>
          <t>Reading the files</t>
        </is>
      </c>
      <c r="D799" s="14" t="inlineStr">
        <is>
          <t>File size and type limits</t>
        </is>
      </c>
      <c r="E799" s="14" t="inlineStr">
        <is>
          <t>Built in parity round 2</t>
        </is>
      </c>
      <c r="F799" s="12" t="inlineStr"/>
      <c r="G799" s="12" t="inlineStr"/>
      <c r="H799" s="28" t="inlineStr">
        <is>
          <t>Team check</t>
        </is>
      </c>
      <c r="I799" s="17" t="n"/>
      <c r="J799" s="17" t="n"/>
    </row>
    <row r="800">
      <c r="A800" s="12" t="inlineStr">
        <is>
          <t>Quote X-Ray</t>
        </is>
      </c>
      <c r="B800" s="12" t="inlineStr">
        <is>
          <t>XR-05</t>
        </is>
      </c>
      <c r="C800" s="12" t="inlineStr">
        <is>
          <t>Reading the files</t>
        </is>
      </c>
      <c r="D800" s="14" t="inlineStr">
        <is>
          <t>The other studio’s name</t>
        </is>
      </c>
      <c r="E800" s="14" t="inlineStr">
        <is>
          <t>Built</t>
        </is>
      </c>
      <c r="F800" s="12" t="inlineStr">
        <is>
          <t>A sheet takes a typed name</t>
        </is>
      </c>
      <c r="G800" s="12" t="inlineStr">
        <is>
          <t>7.02</t>
        </is>
      </c>
      <c r="H800" s="12" t="inlineStr"/>
      <c r="I800" s="17" t="n"/>
      <c r="J800" s="17" t="n"/>
    </row>
    <row r="801">
      <c r="A801" s="12" t="inlineStr">
        <is>
          <t>Quote X-Ray</t>
        </is>
      </c>
      <c r="B801" s="12" t="inlineStr">
        <is>
          <t>XR-06</t>
        </is>
      </c>
      <c r="C801" s="12" t="inlineStr">
        <is>
          <t>Reading the files</t>
        </is>
      </c>
      <c r="D801" s="14" t="inlineStr">
        <is>
          <t>Other currencies</t>
        </is>
      </c>
      <c r="E801" s="14" t="inlineStr">
        <is>
          <t>Built</t>
        </is>
      </c>
      <c r="F801" s="12" t="inlineStr">
        <is>
          <t>A quote in another currency is refused at once, as in 1.0 (S21)</t>
        </is>
      </c>
      <c r="G801" s="12" t="inlineStr"/>
      <c r="H801" s="28" t="inlineStr">
        <is>
          <t>Team check</t>
        </is>
      </c>
      <c r="I801" s="17" t="n"/>
      <c r="J801" s="17" t="n"/>
    </row>
    <row r="802">
      <c r="A802" s="12" t="inlineStr">
        <is>
          <t>Quote X-Ray</t>
        </is>
      </c>
      <c r="B802" s="12" t="inlineStr">
        <is>
          <t>XM-01</t>
        </is>
      </c>
      <c r="C802" s="12" t="inlineStr">
        <is>
          <t>The engine</t>
        </is>
      </c>
      <c r="D802" s="14" t="inlineStr">
        <is>
          <t>Your quote’s lines taken from the lead</t>
        </is>
      </c>
      <c r="E802" s="14" t="inlineStr">
        <is>
          <t>Built in parity round 1</t>
        </is>
      </c>
      <c r="F802" s="12" t="inlineStr"/>
      <c r="G802" s="12" t="inlineStr">
        <is>
          <t>7.04</t>
        </is>
      </c>
      <c r="H802" s="12" t="inlineStr"/>
      <c r="I802" s="17" t="n"/>
      <c r="J802" s="17" t="n"/>
    </row>
    <row r="803">
      <c r="A803" s="12" t="inlineStr">
        <is>
          <t>Quote X-Ray</t>
        </is>
      </c>
      <c r="B803" s="12" t="inlineStr">
        <is>
          <t>XM-02</t>
        </is>
      </c>
      <c r="C803" s="12" t="inlineStr">
        <is>
          <t>The engine</t>
        </is>
      </c>
      <c r="D803" s="14" t="inlineStr">
        <is>
          <t>Both totals on one basis</t>
        </is>
      </c>
      <c r="E803" s="14" t="inlineStr">
        <is>
          <t>Built in parity round 1</t>
        </is>
      </c>
      <c r="F803" s="12" t="inlineStr"/>
      <c r="G803" s="12" t="inlineStr">
        <is>
          <t>7.04</t>
        </is>
      </c>
      <c r="H803" s="12" t="inlineStr"/>
      <c r="I803" s="17" t="n"/>
      <c r="J803" s="17" t="n"/>
    </row>
    <row r="804">
      <c r="A804" s="12" t="inlineStr">
        <is>
          <t>Quote X-Ray</t>
        </is>
      </c>
      <c r="B804" s="12" t="inlineStr">
        <is>
          <t>XM-03</t>
        </is>
      </c>
      <c r="C804" s="12" t="inlineStr">
        <is>
          <t>The engine</t>
        </is>
      </c>
      <c r="D804" s="14" t="inlineStr">
        <is>
          <t>Trades in matching</t>
        </is>
      </c>
      <c r="E804" s="14" t="inlineStr">
        <is>
          <t>Built</t>
        </is>
      </c>
      <c r="F804" s="12" t="inlineStr"/>
      <c r="G804" s="12" t="inlineStr"/>
      <c r="H804" s="28" t="inlineStr">
        <is>
          <t>Team check</t>
        </is>
      </c>
      <c r="I804" s="17" t="n"/>
      <c r="J804" s="17" t="n"/>
    </row>
    <row r="805">
      <c r="A805" s="12" t="inlineStr">
        <is>
          <t>Quote X-Ray</t>
        </is>
      </c>
      <c r="B805" s="12" t="inlineStr">
        <is>
          <t>XM-04</t>
        </is>
      </c>
      <c r="C805" s="12" t="inlineStr">
        <is>
          <t>The engine</t>
        </is>
      </c>
      <c r="D805" s="14" t="inlineStr">
        <is>
          <t>Word matching, plurals and trade words</t>
        </is>
      </c>
      <c r="E805" s="14" t="inlineStr">
        <is>
          <t>Built in parity round 1</t>
        </is>
      </c>
      <c r="F805" s="12" t="inlineStr"/>
      <c r="G805" s="12" t="inlineStr">
        <is>
          <t>7.05</t>
        </is>
      </c>
      <c r="H805" s="12" t="inlineStr"/>
      <c r="I805" s="17" t="n"/>
      <c r="J805" s="17" t="n"/>
    </row>
    <row r="806">
      <c r="A806" s="12" t="inlineStr">
        <is>
          <t>Quote X-Ray</t>
        </is>
      </c>
      <c r="B806" s="12" t="inlineStr">
        <is>
          <t>XM-05</t>
        </is>
      </c>
      <c r="C806" s="12" t="inlineStr">
        <is>
          <t>The engine</t>
        </is>
      </c>
      <c r="D806" s="14" t="inlineStr">
        <is>
          <t>AI merge of leftover lines</t>
        </is>
      </c>
      <c r="E806" s="14" t="inlineStr">
        <is>
          <t>Platform</t>
        </is>
      </c>
      <c r="F806" s="12" t="inlineStr">
        <is>
          <t>Synonyms and your corrections stand in</t>
        </is>
      </c>
      <c r="G806" s="12" t="inlineStr">
        <is>
          <t>7.06</t>
        </is>
      </c>
      <c r="H806" s="12" t="inlineStr"/>
      <c r="I806" s="17" t="n"/>
      <c r="J806" s="17" t="n"/>
    </row>
    <row r="807">
      <c r="A807" s="12" t="inlineStr">
        <is>
          <t>Quote X-Ray</t>
        </is>
      </c>
      <c r="B807" s="12" t="inlineStr">
        <is>
          <t>XM-06</t>
        </is>
      </c>
      <c r="C807" s="12" t="inlineStr">
        <is>
          <t>The engine</t>
        </is>
      </c>
      <c r="D807" s="14" t="inlineStr">
        <is>
          <t>One line against several</t>
        </is>
      </c>
      <c r="E807" s="14" t="inlineStr">
        <is>
          <t>Built in parity round 1</t>
        </is>
      </c>
      <c r="F807" s="12" t="inlineStr"/>
      <c r="G807" s="12" t="inlineStr"/>
      <c r="H807" s="28" t="inlineStr">
        <is>
          <t>Team check</t>
        </is>
      </c>
      <c r="I807" s="17" t="n"/>
      <c r="J807" s="17" t="n"/>
    </row>
    <row r="808">
      <c r="A808" s="12" t="inlineStr">
        <is>
          <t>Quote X-Ray</t>
        </is>
      </c>
      <c r="B808" s="12" t="inlineStr">
        <is>
          <t>XM-07</t>
        </is>
      </c>
      <c r="C808" s="12" t="inlineStr">
        <is>
          <t>The engine</t>
        </is>
      </c>
      <c r="D808" s="14" t="inlineStr">
        <is>
          <t>Undo a wrong match</t>
        </is>
      </c>
      <c r="E808" s="14" t="inlineStr">
        <is>
          <t>Built in parity round 3</t>
        </is>
      </c>
      <c r="F808" s="12" t="inlineStr"/>
      <c r="G808" s="12" t="inlineStr">
        <is>
          <t>7.06, 7.07</t>
        </is>
      </c>
      <c r="H808" s="12" t="inlineStr"/>
      <c r="I808" s="17" t="n"/>
      <c r="J808" s="17" t="n"/>
    </row>
    <row r="809">
      <c r="A809" s="12" t="inlineStr">
        <is>
          <t>Quote X-Ray</t>
        </is>
      </c>
      <c r="B809" s="12" t="inlineStr">
        <is>
          <t>XM-08</t>
        </is>
      </c>
      <c r="C809" s="12" t="inlineStr">
        <is>
          <t>The engine</t>
        </is>
      </c>
      <c r="D809" s="14" t="inlineStr">
        <is>
          <t>The real difference sum</t>
        </is>
      </c>
      <c r="E809" s="14" t="inlineStr">
        <is>
          <t>Built</t>
        </is>
      </c>
      <c r="F809" s="12" t="inlineStr"/>
      <c r="G809" s="12" t="inlineStr">
        <is>
          <t>7.04</t>
        </is>
      </c>
      <c r="H809" s="12" t="inlineStr"/>
      <c r="I809" s="17" t="n"/>
      <c r="J809" s="17" t="n"/>
    </row>
    <row r="810">
      <c r="A810" s="12" t="inlineStr">
        <is>
          <t>Quote X-Ray</t>
        </is>
      </c>
      <c r="B810" s="12" t="inlineStr">
        <is>
          <t>XM-09</t>
        </is>
      </c>
      <c r="C810" s="12" t="inlineStr">
        <is>
          <t>The engine</t>
        </is>
      </c>
      <c r="D810" s="14" t="inlineStr">
        <is>
          <t>Lines with no price</t>
        </is>
      </c>
      <c r="E810" s="14" t="inlineStr">
        <is>
          <t>Built</t>
        </is>
      </c>
      <c r="F810" s="12" t="inlineStr"/>
      <c r="G810" s="12" t="inlineStr">
        <is>
          <t>7.05</t>
        </is>
      </c>
      <c r="H810" s="12" t="inlineStr"/>
      <c r="I810" s="17" t="n"/>
      <c r="J810" s="17" t="n"/>
    </row>
    <row r="811">
      <c r="A811" s="12" t="inlineStr">
        <is>
          <t>Quote X-Ray</t>
        </is>
      </c>
      <c r="B811" s="12" t="inlineStr">
        <is>
          <t>XM-10</t>
        </is>
      </c>
      <c r="C811" s="12" t="inlineStr">
        <is>
          <t>The engine</t>
        </is>
      </c>
      <c r="D811" s="14" t="inlineStr">
        <is>
          <t>Compare rates, not only totals</t>
        </is>
      </c>
      <c r="E811" s="14" t="inlineStr">
        <is>
          <t>Built in parity round 1</t>
        </is>
      </c>
      <c r="F811" s="12" t="inlineStr"/>
      <c r="G811" s="12" t="inlineStr">
        <is>
          <t>7.05</t>
        </is>
      </c>
      <c r="H811" s="12" t="inlineStr"/>
      <c r="I811" s="17" t="n"/>
      <c r="J811" s="17" t="n"/>
    </row>
    <row r="812">
      <c r="A812" s="12" t="inlineStr">
        <is>
          <t>Quote X-Ray</t>
        </is>
      </c>
      <c r="B812" s="12" t="inlineStr">
        <is>
          <t>XM-11</t>
        </is>
      </c>
      <c r="C812" s="12" t="inlineStr">
        <is>
          <t>The engine</t>
        </is>
      </c>
      <c r="D812" s="14" t="inlineStr">
        <is>
          <t>Signs and zero amounts</t>
        </is>
      </c>
      <c r="E812" s="14" t="inlineStr">
        <is>
          <t>Built in parity round 1</t>
        </is>
      </c>
      <c r="F812" s="12" t="inlineStr"/>
      <c r="G812" s="12" t="inlineStr">
        <is>
          <t>7.05</t>
        </is>
      </c>
      <c r="H812" s="12" t="inlineStr"/>
      <c r="I812" s="17" t="n"/>
      <c r="J812" s="17" t="n"/>
    </row>
    <row r="813">
      <c r="A813" s="12" t="inlineStr">
        <is>
          <t>Quote X-Ray</t>
        </is>
      </c>
      <c r="B813" s="12" t="inlineStr">
        <is>
          <t>XP-01</t>
        </is>
      </c>
      <c r="C813" s="12" t="inlineStr">
        <is>
          <t>Say this</t>
        </is>
      </c>
      <c r="D813" s="14" t="inlineStr">
        <is>
          <t>The pool of points, up to three said</t>
        </is>
      </c>
      <c r="E813" s="14" t="inlineStr">
        <is>
          <t>Built in parity round 1</t>
        </is>
      </c>
      <c r="F813" s="12" t="inlineStr"/>
      <c r="G813" s="12" t="inlineStr">
        <is>
          <t>7.08</t>
        </is>
      </c>
      <c r="H813" s="12" t="inlineStr"/>
      <c r="I813" s="17" t="n"/>
      <c r="J813" s="17" t="n"/>
    </row>
    <row r="814">
      <c r="A814" s="12" t="inlineStr">
        <is>
          <t>Quote X-Ray</t>
        </is>
      </c>
      <c r="B814" s="12" t="inlineStr">
        <is>
          <t>XP-02</t>
        </is>
      </c>
      <c r="C814" s="12" t="inlineStr">
        <is>
          <t>Say this</t>
        </is>
      </c>
      <c r="D814" s="14" t="inlineStr">
        <is>
          <t>Work their quote leaves out</t>
        </is>
      </c>
      <c r="E814" s="14" t="inlineStr">
        <is>
          <t>Built</t>
        </is>
      </c>
      <c r="F814" s="12" t="inlineStr"/>
      <c r="G814" s="12" t="inlineStr">
        <is>
          <t>7.08</t>
        </is>
      </c>
      <c r="H814" s="12" t="inlineStr"/>
      <c r="I814" s="17" t="n"/>
      <c r="J814" s="17" t="n"/>
    </row>
    <row r="815">
      <c r="A815" s="12" t="inlineStr">
        <is>
          <t>Quote X-Ray</t>
        </is>
      </c>
      <c r="B815" s="12" t="inlineStr">
        <is>
          <t>XP-03</t>
        </is>
      </c>
      <c r="C815" s="12" t="inlineStr">
        <is>
          <t>Say this</t>
        </is>
      </c>
      <c r="D815" s="14" t="inlineStr">
        <is>
          <t>Their price well below</t>
        </is>
      </c>
      <c r="E815" s="14" t="inlineStr">
        <is>
          <t>Built in parity round 1</t>
        </is>
      </c>
      <c r="F815" s="12" t="inlineStr">
        <is>
          <t>Labelled “Priced well below ours” (Q-06)</t>
        </is>
      </c>
      <c r="G815" s="12" t="inlineStr">
        <is>
          <t>7.08</t>
        </is>
      </c>
      <c r="H815" s="12" t="inlineStr"/>
      <c r="I815" s="17" t="n"/>
      <c r="J815" s="17" t="n"/>
    </row>
    <row r="816">
      <c r="A816" s="12" t="inlineStr">
        <is>
          <t>Quote X-Ray</t>
        </is>
      </c>
      <c r="B816" s="12" t="inlineStr">
        <is>
          <t>XP-04</t>
        </is>
      </c>
      <c r="C816" s="12" t="inlineStr">
        <is>
          <t>Say this</t>
        </is>
      </c>
      <c r="D816" s="14" t="inlineStr">
        <is>
          <t>The same item cheaper in ours</t>
        </is>
      </c>
      <c r="E816" s="14" t="inlineStr">
        <is>
          <t>Built in parity round 1</t>
        </is>
      </c>
      <c r="F816" s="12" t="inlineStr"/>
      <c r="G816" s="12" t="inlineStr"/>
      <c r="H816" s="28" t="inlineStr">
        <is>
          <t>Team check</t>
        </is>
      </c>
      <c r="I816" s="17" t="n"/>
      <c r="J816" s="17" t="n"/>
    </row>
    <row r="817">
      <c r="A817" s="12" t="inlineStr">
        <is>
          <t>Quote X-Ray</t>
        </is>
      </c>
      <c r="B817" s="12" t="inlineStr">
        <is>
          <t>XP-05</t>
        </is>
      </c>
      <c r="C817" s="12" t="inlineStr">
        <is>
          <t>Say this</t>
        </is>
      </c>
      <c r="D817" s="14" t="inlineStr">
        <is>
          <t>Their arithmetic errors</t>
        </is>
      </c>
      <c r="E817" s="14" t="inlineStr">
        <is>
          <t>Built</t>
        </is>
      </c>
      <c r="F817" s="12" t="inlineStr">
        <is>
          <t>“Their numbers don’t add up” when a line’s rate × quantity differs (S21)</t>
        </is>
      </c>
      <c r="G817" s="12" t="inlineStr"/>
      <c r="H817" s="28" t="inlineStr">
        <is>
          <t>Team check</t>
        </is>
      </c>
      <c r="I817" s="17" t="n"/>
      <c r="J817" s="17" t="n"/>
    </row>
    <row r="818">
      <c r="A818" s="12" t="inlineStr">
        <is>
          <t>Quote X-Ray</t>
        </is>
      </c>
      <c r="B818" s="12" t="inlineStr">
        <is>
          <t>XP-06</t>
        </is>
      </c>
      <c r="C818" s="12" t="inlineStr">
        <is>
          <t>Say this</t>
        </is>
      </c>
      <c r="D818" s="14" t="inlineStr">
        <is>
          <t>Material weaknesses worth a question</t>
        </is>
      </c>
      <c r="E818" s="14" t="inlineStr">
        <is>
          <t>Built in parity round 1</t>
        </is>
      </c>
      <c r="F818" s="12" t="inlineStr"/>
      <c r="G818" s="12" t="inlineStr">
        <is>
          <t>7.08</t>
        </is>
      </c>
      <c r="H818" s="12" t="inlineStr"/>
      <c r="I818" s="17" t="n"/>
      <c r="J818" s="17" t="n"/>
    </row>
    <row r="819">
      <c r="A819" s="12" t="inlineStr">
        <is>
          <t>Quote X-Ray</t>
        </is>
      </c>
      <c r="B819" s="12" t="inlineStr">
        <is>
          <t>XP-07</t>
        </is>
      </c>
      <c r="C819" s="12" t="inlineStr">
        <is>
          <t>Say this</t>
        </is>
      </c>
      <c r="D819" s="14" t="inlineStr">
        <is>
          <t>Brands as points</t>
        </is>
      </c>
      <c r="E819" s="14" t="inlineStr">
        <is>
          <t>Built in parity round 1</t>
        </is>
      </c>
      <c r="F819" s="12" t="inlineStr"/>
      <c r="G819" s="12" t="inlineStr">
        <is>
          <t>7.08</t>
        </is>
      </c>
      <c r="H819" s="12" t="inlineStr"/>
      <c r="I819" s="17" t="n"/>
      <c r="J819" s="17" t="n"/>
    </row>
    <row r="820">
      <c r="A820" s="12" t="inlineStr">
        <is>
          <t>Quote X-Ray</t>
        </is>
      </c>
      <c r="B820" s="12" t="inlineStr">
        <is>
          <t>XP-08</t>
        </is>
      </c>
      <c r="C820" s="12" t="inlineStr">
        <is>
          <t>Say this</t>
        </is>
      </c>
      <c r="D820" s="14" t="inlineStr">
        <is>
          <t>A lone question-only point is dropped</t>
        </is>
      </c>
      <c r="E820" s="14" t="inlineStr">
        <is>
          <t>Built in parity round 1</t>
        </is>
      </c>
      <c r="F820" s="12" t="inlineStr"/>
      <c r="G820" s="12" t="inlineStr"/>
      <c r="H820" s="28" t="inlineStr">
        <is>
          <t>Team check</t>
        </is>
      </c>
      <c r="I820" s="17" t="n"/>
      <c r="J820" s="17" t="n"/>
    </row>
    <row r="821">
      <c r="A821" s="12" t="inlineStr">
        <is>
          <t>Quote X-Ray</t>
        </is>
      </c>
      <c r="B821" s="12" t="inlineStr">
        <is>
          <t>XP-09</t>
        </is>
      </c>
      <c r="C821" s="12" t="inlineStr">
        <is>
          <t>Say this</t>
        </is>
      </c>
      <c r="D821" s="14" t="inlineStr">
        <is>
          <t>Say it as a question</t>
        </is>
      </c>
      <c r="E821" s="14" t="inlineStr">
        <is>
          <t>Built in parity round 1</t>
        </is>
      </c>
      <c r="F821" s="12" t="inlineStr"/>
      <c r="G821" s="12" t="inlineStr">
        <is>
          <t>7.08</t>
        </is>
      </c>
      <c r="H821" s="12" t="inlineStr"/>
      <c r="I821" s="17" t="n"/>
      <c r="J821" s="17" t="n"/>
    </row>
    <row r="822">
      <c r="A822" s="12" t="inlineStr">
        <is>
          <t>Quote X-Ray</t>
        </is>
      </c>
      <c r="B822" s="12" t="inlineStr">
        <is>
          <t>XP-10</t>
        </is>
      </c>
      <c r="C822" s="12" t="inlineStr">
        <is>
          <t>Say this</t>
        </is>
      </c>
      <c r="D822" s="14" t="inlineStr">
        <is>
          <t>When nothing stands out</t>
        </is>
      </c>
      <c r="E822" s="14" t="inlineStr">
        <is>
          <t>Built</t>
        </is>
      </c>
      <c r="F822" s="12" t="inlineStr"/>
      <c r="G822" s="12" t="inlineStr"/>
      <c r="H822" s="28" t="inlineStr">
        <is>
          <t>Team check</t>
        </is>
      </c>
      <c r="I822" s="17" t="n"/>
      <c r="J822" s="17" t="n"/>
    </row>
    <row r="823">
      <c r="A823" s="12" t="inlineStr">
        <is>
          <t>Quote X-Ray</t>
        </is>
      </c>
      <c r="B823" s="12" t="inlineStr">
        <is>
          <t>XP-11</t>
        </is>
      </c>
      <c r="C823" s="12" t="inlineStr">
        <is>
          <t>Say this</t>
        </is>
      </c>
      <c r="D823" s="14" t="inlineStr">
        <is>
          <t>Names inside the sentences</t>
        </is>
      </c>
      <c r="E823" s="14" t="inlineStr">
        <is>
          <t>Built in parity round 1</t>
        </is>
      </c>
      <c r="F823" s="12" t="inlineStr"/>
      <c r="G823" s="12" t="inlineStr">
        <is>
          <t>7.09</t>
        </is>
      </c>
      <c r="H823" s="12" t="inlineStr"/>
      <c r="I823" s="17" t="n"/>
      <c r="J823" s="17" t="n"/>
    </row>
    <row r="824">
      <c r="A824" s="12" t="inlineStr">
        <is>
          <t>Quote X-Ray</t>
        </is>
      </c>
      <c r="B824" s="12" t="inlineStr">
        <is>
          <t>XK-01</t>
        </is>
      </c>
      <c r="C824" s="12" t="inlineStr">
        <is>
          <t>Key points — brands</t>
        </is>
      </c>
      <c r="D824" s="14" t="inlineStr">
        <is>
          <t>Reading brands off the lines</t>
        </is>
      </c>
      <c r="E824" s="14" t="inlineStr">
        <is>
          <t>Platform</t>
        </is>
      </c>
      <c r="F824" s="12" t="inlineStr">
        <is>
          <t>Curated patterns stand in</t>
        </is>
      </c>
      <c r="G824" s="12" t="inlineStr"/>
      <c r="H824" s="12" t="inlineStr"/>
      <c r="I824" s="17" t="n"/>
      <c r="J824" s="17" t="n"/>
    </row>
    <row r="825">
      <c r="A825" s="12" t="inlineStr">
        <is>
          <t>Quote X-Ray</t>
        </is>
      </c>
      <c r="B825" s="12" t="inlineStr">
        <is>
          <t>XK-02</t>
        </is>
      </c>
      <c r="C825" s="12" t="inlineStr">
        <is>
          <t>Key points — brands</t>
        </is>
      </c>
      <c r="D825" s="14" t="inlineStr">
        <is>
          <t>Web research on brands</t>
        </is>
      </c>
      <c r="E825" s="14" t="inlineStr">
        <is>
          <t>Platform</t>
        </is>
      </c>
      <c r="F825" s="12" t="inlineStr">
        <is>
          <t>Curated notes kept (Q-23)</t>
        </is>
      </c>
      <c r="G825" s="12" t="inlineStr"/>
      <c r="H825" s="12" t="inlineStr"/>
      <c r="I825" s="17" t="n"/>
      <c r="J825" s="17" t="n"/>
    </row>
    <row r="826">
      <c r="A826" s="12" t="inlineStr">
        <is>
          <t>Quote X-Ray</t>
        </is>
      </c>
      <c r="B826" s="12" t="inlineStr">
        <is>
          <t>XK-03</t>
        </is>
      </c>
      <c r="C826" s="12" t="inlineStr">
        <is>
          <t>Key points — brands</t>
        </is>
      </c>
      <c r="D826" s="14" t="inlineStr">
        <is>
          <t>Your brand advantage</t>
        </is>
      </c>
      <c r="E826" s="14" t="inlineStr">
        <is>
          <t>Built in parity round 1</t>
        </is>
      </c>
      <c r="F826" s="12" t="inlineStr"/>
      <c r="G826" s="12" t="inlineStr">
        <is>
          <t>7.08</t>
        </is>
      </c>
      <c r="H826" s="12" t="inlineStr"/>
      <c r="I826" s="17" t="n"/>
      <c r="J826" s="17" t="n"/>
    </row>
    <row r="827">
      <c r="A827" s="12" t="inlineStr">
        <is>
          <t>Quote X-Ray</t>
        </is>
      </c>
      <c r="B827" s="12" t="inlineStr">
        <is>
          <t>XK-04</t>
        </is>
      </c>
      <c r="C827" s="12" t="inlineStr">
        <is>
          <t>Key points — brands</t>
        </is>
      </c>
      <c r="D827" s="14" t="inlineStr">
        <is>
          <t>Issues with brands in their quote</t>
        </is>
      </c>
      <c r="E827" s="14" t="inlineStr">
        <is>
          <t>Built</t>
        </is>
      </c>
      <c r="F827" s="12" t="inlineStr"/>
      <c r="G827" s="12" t="inlineStr">
        <is>
          <t>7.08</t>
        </is>
      </c>
      <c r="H827" s="12" t="inlineStr"/>
      <c r="I827" s="17" t="n"/>
      <c r="J827" s="17" t="n"/>
    </row>
    <row r="828">
      <c r="A828" s="12" t="inlineStr">
        <is>
          <t>Quote X-Ray</t>
        </is>
      </c>
      <c r="B828" s="12" t="inlineStr">
        <is>
          <t>XK-05</t>
        </is>
      </c>
      <c r="C828" s="12" t="inlineStr">
        <is>
          <t>Key points — brands</t>
        </is>
      </c>
      <c r="D828" s="14" t="inlineStr">
        <is>
          <t>Brands checked with nothing found</t>
        </is>
      </c>
      <c r="E828" s="14" t="inlineStr">
        <is>
          <t>Built in parity round 1</t>
        </is>
      </c>
      <c r="F828" s="12" t="inlineStr"/>
      <c r="G828" s="12" t="inlineStr">
        <is>
          <t>7.08</t>
        </is>
      </c>
      <c r="H828" s="12" t="inlineStr"/>
      <c r="I828" s="17" t="n"/>
      <c r="J828" s="17" t="n"/>
    </row>
    <row r="829">
      <c r="A829" s="12" t="inlineStr">
        <is>
          <t>Quote X-Ray</t>
        </is>
      </c>
      <c r="B829" s="12" t="inlineStr">
        <is>
          <t>XK-06</t>
        </is>
      </c>
      <c r="C829" s="12" t="inlineStr">
        <is>
          <t>Key points — brands</t>
        </is>
      </c>
      <c r="D829" s="14" t="inlineStr">
        <is>
          <t>Sources for a brand note</t>
        </is>
      </c>
      <c r="E829" s="14" t="inlineStr">
        <is>
          <t>Built in parity round 1</t>
        </is>
      </c>
      <c r="F829" s="12" t="inlineStr">
        <is>
          <t>Read as sources, not dead links</t>
        </is>
      </c>
      <c r="G829" s="12" t="inlineStr">
        <is>
          <t>7.08</t>
        </is>
      </c>
      <c r="H829" s="12" t="inlineStr"/>
      <c r="I829" s="17" t="n"/>
      <c r="J829" s="17" t="n"/>
    </row>
    <row r="830">
      <c r="A830" s="12" t="inlineStr">
        <is>
          <t>Quote X-Ray</t>
        </is>
      </c>
      <c r="B830" s="12" t="inlineStr">
        <is>
          <t>XK-07</t>
        </is>
      </c>
      <c r="C830" s="12" t="inlineStr">
        <is>
          <t>Key points — brands</t>
        </is>
      </c>
      <c r="D830" s="14" t="inlineStr">
        <is>
          <t>Brands in Upload two quotes</t>
        </is>
      </c>
      <c r="E830" s="14" t="inlineStr">
        <is>
          <t>Built in parity round 1</t>
        </is>
      </c>
      <c r="F830" s="12" t="inlineStr">
        <is>
          <t>2.0 gap fixed: your file’s brands kept</t>
        </is>
      </c>
      <c r="G830" s="12" t="inlineStr"/>
      <c r="H830" s="28" t="inlineStr">
        <is>
          <t>Team check</t>
        </is>
      </c>
      <c r="I830" s="17" t="n"/>
      <c r="J830" s="17" t="n"/>
    </row>
    <row r="831">
      <c r="A831" s="12" t="inlineStr">
        <is>
          <t>Quote X-Ray</t>
        </is>
      </c>
      <c r="B831" s="12" t="inlineStr">
        <is>
          <t>XC-01</t>
        </is>
      </c>
      <c r="C831" s="12" t="inlineStr">
        <is>
          <t>The record</t>
        </is>
      </c>
      <c r="D831" s="14" t="inlineStr">
        <is>
          <t>Which view a reading opens in</t>
        </is>
      </c>
      <c r="E831" s="14" t="inlineStr">
        <is>
          <t>Built</t>
        </is>
      </c>
      <c r="F831" s="12" t="inlineStr"/>
      <c r="G831" s="12" t="inlineStr">
        <is>
          <t>7.03</t>
        </is>
      </c>
      <c r="H831" s="12" t="inlineStr"/>
      <c r="I831" s="17" t="n"/>
      <c r="J831" s="17" t="n"/>
    </row>
    <row r="832">
      <c r="A832" s="12" t="inlineStr">
        <is>
          <t>Quote X-Ray</t>
        </is>
      </c>
      <c r="B832" s="12" t="inlineStr">
        <is>
          <t>XC-02</t>
        </is>
      </c>
      <c r="C832" s="12" t="inlineStr">
        <is>
          <t>The record</t>
        </is>
      </c>
      <c r="D832" s="14" t="inlineStr">
        <is>
          <t>Caption and one-line headline</t>
        </is>
      </c>
      <c r="E832" s="14" t="inlineStr">
        <is>
          <t>Built</t>
        </is>
      </c>
      <c r="F832" s="12" t="inlineStr"/>
      <c r="G832" s="12" t="inlineStr">
        <is>
          <t>7.03</t>
        </is>
      </c>
      <c r="H832" s="12" t="inlineStr"/>
      <c r="I832" s="17" t="n"/>
      <c r="J832" s="17" t="n"/>
    </row>
    <row r="833">
      <c r="A833" s="12" t="inlineStr">
        <is>
          <t>Quote X-Ray</t>
        </is>
      </c>
      <c r="B833" s="12" t="inlineStr">
        <is>
          <t>XC-03</t>
        </is>
      </c>
      <c r="C833" s="12" t="inlineStr">
        <is>
          <t>The record</t>
        </is>
      </c>
      <c r="D833" s="14" t="inlineStr">
        <is>
          <t>Three figure tiles</t>
        </is>
      </c>
      <c r="E833" s="14" t="inlineStr">
        <is>
          <t>Built in parity round 1</t>
        </is>
      </c>
      <c r="F833" s="12" t="inlineStr"/>
      <c r="G833" s="12" t="inlineStr">
        <is>
          <t>7.04</t>
        </is>
      </c>
      <c r="H833" s="12" t="inlineStr"/>
      <c r="I833" s="17" t="n"/>
      <c r="J833" s="17" t="n"/>
    </row>
    <row r="834">
      <c r="A834" s="12" t="inlineStr">
        <is>
          <t>Quote X-Ray</t>
        </is>
      </c>
      <c r="B834" s="12" t="inlineStr">
        <is>
          <t>XC-04</t>
        </is>
      </c>
      <c r="C834" s="12" t="inlineStr">
        <is>
          <t>The record</t>
        </is>
      </c>
      <c r="D834" s="14" t="inlineStr">
        <is>
          <t>The on-paper difference line</t>
        </is>
      </c>
      <c r="E834" s="14" t="inlineStr">
        <is>
          <t>Built</t>
        </is>
      </c>
      <c r="F834" s="12" t="inlineStr"/>
      <c r="G834" s="12" t="inlineStr">
        <is>
          <t>7.04</t>
        </is>
      </c>
      <c r="H834" s="12" t="inlineStr"/>
      <c r="I834" s="17" t="n"/>
      <c r="J834" s="17" t="n"/>
    </row>
    <row r="835">
      <c r="A835" s="12" t="inlineStr">
        <is>
          <t>Quote X-Ray</t>
        </is>
      </c>
      <c r="B835" s="12" t="inlineStr">
        <is>
          <t>XC-05</t>
        </is>
      </c>
      <c r="C835" s="12" t="inlineStr">
        <is>
          <t>The record</t>
        </is>
      </c>
      <c r="D835" s="14" t="inlineStr">
        <is>
          <t>The item-by-item list</t>
        </is>
      </c>
      <c r="E835" s="14" t="inlineStr">
        <is>
          <t>Built</t>
        </is>
      </c>
      <c r="F835" s="12" t="inlineStr"/>
      <c r="G835" s="12" t="inlineStr">
        <is>
          <t>7.05</t>
        </is>
      </c>
      <c r="H835" s="12" t="inlineStr"/>
      <c r="I835" s="17" t="n"/>
      <c r="J835" s="17" t="n"/>
    </row>
    <row r="836">
      <c r="A836" s="12" t="inlineStr">
        <is>
          <t>Quote X-Ray</t>
        </is>
      </c>
      <c r="B836" s="12" t="inlineStr">
        <is>
          <t>XC-06</t>
        </is>
      </c>
      <c r="C836" s="12" t="inlineStr">
        <is>
          <t>The record</t>
        </is>
      </c>
      <c r="D836" s="14" t="inlineStr">
        <is>
          <t>A way to the compared quote</t>
        </is>
      </c>
      <c r="E836" s="14" t="inlineStr">
        <is>
          <t>Built in parity round 3</t>
        </is>
      </c>
      <c r="F836" s="12" t="inlineStr">
        <is>
          <t>Links to the quote editor (Q-17)</t>
        </is>
      </c>
      <c r="G836" s="12" t="inlineStr">
        <is>
          <t>7.04</t>
        </is>
      </c>
      <c r="H836" s="12" t="inlineStr"/>
      <c r="I836" s="17" t="n"/>
      <c r="J836" s="17" t="n"/>
    </row>
    <row r="837">
      <c r="A837" s="12" t="inlineStr">
        <is>
          <t>Quote X-Ray</t>
        </is>
      </c>
      <c r="B837" s="12" t="inlineStr">
        <is>
          <t>XC-07</t>
        </is>
      </c>
      <c r="C837" s="12" t="inlineStr">
        <is>
          <t>The record</t>
        </is>
      </c>
      <c r="D837" s="14" t="inlineStr">
        <is>
          <t>Who ran the reading</t>
        </is>
      </c>
      <c r="E837" s="14" t="inlineStr">
        <is>
          <t>Built in parity round 3</t>
        </is>
      </c>
      <c r="F837" s="12" t="inlineStr"/>
      <c r="G837" s="12" t="inlineStr">
        <is>
          <t>7.07</t>
        </is>
      </c>
      <c r="H837" s="12" t="inlineStr"/>
      <c r="I837" s="17" t="n"/>
      <c r="J837" s="17" t="n"/>
    </row>
    <row r="838">
      <c r="A838" s="12" t="inlineStr">
        <is>
          <t>Quote X-Ray</t>
        </is>
      </c>
      <c r="B838" s="12" t="inlineStr">
        <is>
          <t>XC-08</t>
        </is>
      </c>
      <c r="C838" s="12" t="inlineStr">
        <is>
          <t>The record</t>
        </is>
      </c>
      <c r="D838" s="14" t="inlineStr">
        <is>
          <t>A reading gone stale</t>
        </is>
      </c>
      <c r="E838" s="14" t="inlineStr">
        <is>
          <t>Built in parity round 3</t>
        </is>
      </c>
      <c r="F838" s="12" t="inlineStr"/>
      <c r="G838" s="12" t="inlineStr">
        <is>
          <t>7.12</t>
        </is>
      </c>
      <c r="H838" s="12" t="inlineStr"/>
      <c r="I838" s="17" t="n"/>
      <c r="J838" s="17" t="n"/>
    </row>
    <row r="839">
      <c r="A839" s="12" t="inlineStr">
        <is>
          <t>Quote X-Ray</t>
        </is>
      </c>
      <c r="B839" s="12" t="inlineStr">
        <is>
          <t>XC-09</t>
        </is>
      </c>
      <c r="C839" s="12" t="inlineStr">
        <is>
          <t>The record</t>
        </is>
      </c>
      <c r="D839" s="14" t="inlineStr">
        <is>
          <t>Print or PDF of a reading</t>
        </is>
      </c>
      <c r="E839" s="14" t="inlineStr">
        <is>
          <t>Not built — by design</t>
        </is>
      </c>
      <c r="F839" s="12" t="inlineStr">
        <is>
          <t>The client gets the message, not a PDF (Q-24)</t>
        </is>
      </c>
      <c r="G839" s="12" t="inlineStr"/>
      <c r="H839" s="12" t="inlineStr"/>
      <c r="I839" s="17" t="n"/>
      <c r="J839" s="17" t="n"/>
    </row>
    <row r="840">
      <c r="A840" s="12" t="inlineStr">
        <is>
          <t>Quote X-Ray</t>
        </is>
      </c>
      <c r="B840" s="12" t="inlineStr">
        <is>
          <t>XW-01</t>
        </is>
      </c>
      <c r="C840" s="12" t="inlineStr">
        <is>
          <t>Sending to the client</t>
        </is>
      </c>
      <c r="D840" s="14" t="inlineStr">
        <is>
          <t>Send dialog: edit, reset, copy, WhatsApp</t>
        </is>
      </c>
      <c r="E840" s="14" t="inlineStr">
        <is>
          <t>Built</t>
        </is>
      </c>
      <c r="F840" s="12" t="inlineStr"/>
      <c r="G840" s="12" t="inlineStr">
        <is>
          <t>7.09</t>
        </is>
      </c>
      <c r="H840" s="12" t="inlineStr"/>
      <c r="I840" s="17" t="n"/>
      <c r="J840" s="17" t="n"/>
    </row>
    <row r="841">
      <c r="A841" s="12" t="inlineStr">
        <is>
          <t>Quote X-Ray</t>
        </is>
      </c>
      <c r="B841" s="12" t="inlineStr">
        <is>
          <t>XW-02</t>
        </is>
      </c>
      <c r="C841" s="12" t="inlineStr">
        <is>
          <t>Sending to the client</t>
        </is>
      </c>
      <c r="D841" s="14" t="inlineStr">
        <is>
          <t>What the draft message says</t>
        </is>
      </c>
      <c r="E841" s="14" t="inlineStr">
        <is>
          <t>Built in parity round 1</t>
        </is>
      </c>
      <c r="F841" s="12" t="inlineStr"/>
      <c r="G841" s="12" t="inlineStr">
        <is>
          <t>7.09</t>
        </is>
      </c>
      <c r="H841" s="12" t="inlineStr"/>
      <c r="I841" s="17" t="n"/>
      <c r="J841" s="17" t="n"/>
    </row>
    <row r="842">
      <c r="A842" s="12" t="inlineStr">
        <is>
          <t>Quote X-Ray</t>
        </is>
      </c>
      <c r="B842" s="12" t="inlineStr">
        <is>
          <t>XW-03</t>
        </is>
      </c>
      <c r="C842" s="12" t="inlineStr">
        <is>
          <t>Sending to the client</t>
        </is>
      </c>
      <c r="D842" s="14" t="inlineStr">
        <is>
          <t>Whose WhatsApp chat opens</t>
        </is>
      </c>
      <c r="E842" s="14" t="inlineStr">
        <is>
          <t>Built in parity round 3</t>
        </is>
      </c>
      <c r="F842" s="12" t="inlineStr"/>
      <c r="G842" s="12" t="inlineStr">
        <is>
          <t>7.09</t>
        </is>
      </c>
      <c r="H842" s="12" t="inlineStr"/>
      <c r="I842" s="17" t="n"/>
      <c r="J842" s="17" t="n"/>
    </row>
    <row r="843">
      <c r="A843" s="12" t="inlineStr">
        <is>
          <t>Quote X-Ray</t>
        </is>
      </c>
      <c r="B843" s="12" t="inlineStr">
        <is>
          <t>XW-04</t>
        </is>
      </c>
      <c r="C843" s="12" t="inlineStr">
        <is>
          <t>Sending to the client</t>
        </is>
      </c>
      <c r="D843" s="14" t="inlineStr">
        <is>
          <t>Edits to the message kept</t>
        </is>
      </c>
      <c r="E843" s="14" t="inlineStr">
        <is>
          <t>Built in parity round 3</t>
        </is>
      </c>
      <c r="F843" s="12" t="inlineStr"/>
      <c r="G843" s="12" t="inlineStr">
        <is>
          <t>7.09</t>
        </is>
      </c>
      <c r="H843" s="12" t="inlineStr"/>
      <c r="I843" s="17" t="n"/>
      <c r="J843" s="17" t="n"/>
    </row>
    <row r="844">
      <c r="A844" s="12" t="inlineStr">
        <is>
          <t>Quote X-Ray</t>
        </is>
      </c>
      <c r="B844" s="12" t="inlineStr">
        <is>
          <t>XW-05</t>
        </is>
      </c>
      <c r="C844" s="12" t="inlineStr">
        <is>
          <t>Sending to the client</t>
        </is>
      </c>
      <c r="D844" s="14" t="inlineStr">
        <is>
          <t>A record of the send</t>
        </is>
      </c>
      <c r="E844" s="14" t="inlineStr">
        <is>
          <t>Built in parity round 3</t>
        </is>
      </c>
      <c r="F844" s="12" t="inlineStr"/>
      <c r="G844" s="12" t="inlineStr">
        <is>
          <t>7.09</t>
        </is>
      </c>
      <c r="H844" s="12" t="inlineStr"/>
      <c r="I844" s="17" t="n"/>
      <c r="J844" s="17" t="n"/>
    </row>
    <row r="845">
      <c r="A845" s="12" t="inlineStr">
        <is>
          <t>Quote X-Ray</t>
        </is>
      </c>
      <c r="B845" s="12" t="inlineStr">
        <is>
          <t>XH-01</t>
        </is>
      </c>
      <c r="C845" s="12" t="inlineStr">
        <is>
          <t>History, delete and who may</t>
        </is>
      </c>
      <c r="D845" s="14" t="inlineStr">
        <is>
          <t>Recent comparisons</t>
        </is>
      </c>
      <c r="E845" s="14" t="inlineStr">
        <is>
          <t>Built in parity round 2</t>
        </is>
      </c>
      <c r="F845" s="12" t="inlineStr"/>
      <c r="G845" s="12" t="inlineStr">
        <is>
          <t>7.12, 11.13</t>
        </is>
      </c>
      <c r="H845" s="12" t="inlineStr"/>
      <c r="I845" s="17" t="n"/>
      <c r="J845" s="17" t="n"/>
    </row>
    <row r="846">
      <c r="A846" s="12" t="inlineStr">
        <is>
          <t>Quote X-Ray</t>
        </is>
      </c>
      <c r="B846" s="12" t="inlineStr">
        <is>
          <t>XH-02</t>
        </is>
      </c>
      <c r="C846" s="12" t="inlineStr">
        <is>
          <t>History, delete and who may</t>
        </is>
      </c>
      <c r="D846" s="14" t="inlineStr">
        <is>
          <t>A row in Recent</t>
        </is>
      </c>
      <c r="E846" s="14" t="inlineStr">
        <is>
          <t>Built</t>
        </is>
      </c>
      <c r="F846" s="12" t="inlineStr"/>
      <c r="G846" s="12" t="inlineStr">
        <is>
          <t>7.12</t>
        </is>
      </c>
      <c r="H846" s="12" t="inlineStr"/>
      <c r="I846" s="17" t="n"/>
      <c r="J846" s="17" t="n"/>
    </row>
    <row r="847">
      <c r="A847" s="12" t="inlineStr">
        <is>
          <t>Quote X-Ray</t>
        </is>
      </c>
      <c r="B847" s="12" t="inlineStr">
        <is>
          <t>XH-03</t>
        </is>
      </c>
      <c r="C847" s="12" t="inlineStr">
        <is>
          <t>History, delete and who may</t>
        </is>
      </c>
      <c r="D847" s="14" t="inlineStr">
        <is>
          <t>Deleting a comparison</t>
        </is>
      </c>
      <c r="E847" s="14" t="inlineStr">
        <is>
          <t>Built in parity round 4</t>
        </is>
      </c>
      <c r="F847" s="12" t="inlineStr">
        <is>
          <t>Permanent; maker, Owner or Admin; logged on the lead</t>
        </is>
      </c>
      <c r="G847" s="12" t="inlineStr">
        <is>
          <t>7.11</t>
        </is>
      </c>
      <c r="H847" s="12" t="inlineStr"/>
      <c r="I847" s="17" t="n"/>
      <c r="J847" s="17" t="n"/>
    </row>
    <row r="848">
      <c r="A848" s="12" t="inlineStr">
        <is>
          <t>Quote X-Ray</t>
        </is>
      </c>
      <c r="B848" s="12" t="inlineStr">
        <is>
          <t>XH-04</t>
        </is>
      </c>
      <c r="C848" s="12" t="inlineStr">
        <is>
          <t>History, delete and who may</t>
        </is>
      </c>
      <c r="D848" s="14" t="inlineStr">
        <is>
          <t>Whose comparisons you see</t>
        </is>
      </c>
      <c r="E848" s="14" t="inlineStr">
        <is>
          <t>Built in parity round 4</t>
        </is>
      </c>
      <c r="F848" s="12" t="inlineStr"/>
      <c r="G848" s="12" t="inlineStr"/>
      <c r="H848" s="28" t="inlineStr">
        <is>
          <t>Team check</t>
        </is>
      </c>
      <c r="I848" s="17" t="n"/>
      <c r="J848" s="17" t="n"/>
    </row>
    <row r="849">
      <c r="A849" s="12" t="inlineStr">
        <is>
          <t>Quote X-Ray</t>
        </is>
      </c>
      <c r="B849" s="12" t="inlineStr">
        <is>
          <t>XH-05</t>
        </is>
      </c>
      <c r="C849" s="12" t="inlineStr">
        <is>
          <t>History, delete and who may</t>
        </is>
      </c>
      <c r="D849" s="14" t="inlineStr">
        <is>
          <t>A lead’s comparisons and search</t>
        </is>
      </c>
      <c r="E849" s="14" t="inlineStr">
        <is>
          <t>Built in parity round 2</t>
        </is>
      </c>
      <c r="F849" s="12" t="inlineStr"/>
      <c r="G849" s="12" t="inlineStr">
        <is>
          <t>7.12</t>
        </is>
      </c>
      <c r="H849" s="12" t="inlineStr"/>
      <c r="I849" s="17" t="n"/>
      <c r="J849" s="17" t="n"/>
    </row>
    <row r="850">
      <c r="A850" s="12" t="inlineStr">
        <is>
          <t>Quote X-Ray</t>
        </is>
      </c>
      <c r="B850" s="12" t="inlineStr">
        <is>
          <t>XH-06</t>
        </is>
      </c>
      <c r="C850" s="12" t="inlineStr">
        <is>
          <t>History, delete and who may</t>
        </is>
      </c>
      <c r="D850" s="14" t="inlineStr">
        <is>
          <t>When the lead goes</t>
        </is>
      </c>
      <c r="E850" s="14" t="inlineStr">
        <is>
          <t>Built in parity round 4</t>
        </is>
      </c>
      <c r="F850" s="12" t="inlineStr"/>
      <c r="G850" s="12" t="inlineStr"/>
      <c r="H850" s="28" t="inlineStr">
        <is>
          <t>Team check</t>
        </is>
      </c>
      <c r="I850" s="17" t="n"/>
      <c r="J850" s="17" t="n"/>
    </row>
    <row r="851">
      <c r="A851" s="12" t="inlineStr">
        <is>
          <t>Quote X-Ray</t>
        </is>
      </c>
      <c r="B851" s="12" t="inlineStr">
        <is>
          <t>XH-07</t>
        </is>
      </c>
      <c r="C851" s="12" t="inlineStr">
        <is>
          <t>History, delete and who may</t>
        </is>
      </c>
      <c r="D851" s="14" t="inlineStr">
        <is>
          <t>When the quote goes</t>
        </is>
      </c>
      <c r="E851" s="14" t="inlineStr">
        <is>
          <t>Built in parity round 4</t>
        </is>
      </c>
      <c r="F851" s="12" t="inlineStr"/>
      <c r="G851" s="12" t="inlineStr"/>
      <c r="H851" s="28" t="inlineStr">
        <is>
          <t>Team check</t>
        </is>
      </c>
      <c r="I851" s="17" t="n"/>
      <c r="J851" s="17" t="n"/>
    </row>
    <row r="852">
      <c r="A852" s="12" t="inlineStr">
        <is>
          <t>Quote X-Ray</t>
        </is>
      </c>
      <c r="B852" s="12" t="inlineStr">
        <is>
          <t>XH-08</t>
        </is>
      </c>
      <c r="C852" s="12" t="inlineStr">
        <is>
          <t>History, delete and who may</t>
        </is>
      </c>
      <c r="D852" s="14" t="inlineStr">
        <is>
          <t>The lead’s Activity</t>
        </is>
      </c>
      <c r="E852" s="14" t="inlineStr">
        <is>
          <t>Built in parity round 4</t>
        </is>
      </c>
      <c r="F852" s="12" t="inlineStr">
        <is>
          <t>Runs, sends and deletes logged</t>
        </is>
      </c>
      <c r="G852" s="12" t="inlineStr">
        <is>
          <t>7.09</t>
        </is>
      </c>
      <c r="H852" s="12" t="inlineStr"/>
      <c r="I852" s="17" t="n"/>
      <c r="J852" s="17" t="n"/>
    </row>
    <row r="853">
      <c r="A853" s="12" t="inlineStr">
        <is>
          <t>Quote X-Ray</t>
        </is>
      </c>
      <c r="B853" s="12" t="inlineStr">
        <is>
          <t>XH-09</t>
        </is>
      </c>
      <c r="C853" s="12" t="inlineStr">
        <is>
          <t>History, delete and who may</t>
        </is>
      </c>
      <c r="D853" s="14" t="inlineStr">
        <is>
          <t>Notifications about comparisons</t>
        </is>
      </c>
      <c r="E853" s="14" t="inlineStr">
        <is>
          <t>Not built — by design</t>
        </is>
      </c>
      <c r="F853" s="12" t="inlineStr">
        <is>
          <t>Neither version notifies</t>
        </is>
      </c>
      <c r="G853" s="12" t="inlineStr"/>
      <c r="H853" s="12" t="inlineStr"/>
      <c r="I853" s="17" t="n"/>
      <c r="J853" s="17" t="n"/>
    </row>
    <row r="854">
      <c r="A854" s="12" t="inlineStr">
        <is>
          <t>Quote X-Ray</t>
        </is>
      </c>
      <c r="B854" s="12" t="inlineStr">
        <is>
          <t>XH-10</t>
        </is>
      </c>
      <c r="C854" s="12" t="inlineStr">
        <is>
          <t>History, delete and who may</t>
        </is>
      </c>
      <c r="D854" s="14" t="inlineStr">
        <is>
          <t>Checks on a run</t>
        </is>
      </c>
      <c r="E854" s="14" t="inlineStr">
        <is>
          <t>Built in parity round 4</t>
        </is>
      </c>
      <c r="F854" s="12" t="inlineStr"/>
      <c r="G854" s="12" t="inlineStr"/>
      <c r="H854" s="28" t="inlineStr">
        <is>
          <t>Team check</t>
        </is>
      </c>
      <c r="I854" s="17" t="n"/>
      <c r="J854" s="17" t="n"/>
    </row>
    <row r="855">
      <c r="A855" s="12" t="inlineStr">
        <is>
          <t>Quote X-Ray</t>
        </is>
      </c>
      <c r="B855" s="12" t="inlineStr">
        <is>
          <t>XL-01</t>
        </is>
      </c>
      <c r="C855" s="12" t="inlineStr">
        <is>
          <t>What 1.0 retired</t>
        </is>
      </c>
      <c r="D855" s="14" t="inlineStr">
        <is>
          <t>Four older objectives and the combined run</t>
        </is>
      </c>
      <c r="E855" s="14" t="inlineStr">
        <is>
          <t>Dead</t>
        </is>
      </c>
      <c r="F855" s="12" t="inlineStr">
        <is>
          <t>Retired in 1.0 (Q-01)</t>
        </is>
      </c>
      <c r="G855" s="12" t="inlineStr"/>
      <c r="H855" s="12" t="inlineStr"/>
      <c r="I855" s="17" t="n"/>
      <c r="J855" s="17" t="n"/>
    </row>
    <row r="856">
      <c r="A856" s="12" t="inlineStr">
        <is>
          <t>Quote X-Ray</t>
        </is>
      </c>
      <c r="B856" s="12" t="inlineStr">
        <is>
          <t>XL-02</t>
        </is>
      </c>
      <c r="C856" s="12" t="inlineStr">
        <is>
          <t>What 1.0 retired</t>
        </is>
      </c>
      <c r="D856" s="14" t="inlineStr">
        <is>
          <t>Public share page</t>
        </is>
      </c>
      <c r="E856" s="14" t="inlineStr">
        <is>
          <t>Dead</t>
        </is>
      </c>
      <c r="F856" s="12" t="inlineStr">
        <is>
          <t>Q-01 · Q-24</t>
        </is>
      </c>
      <c r="G856" s="12" t="inlineStr"/>
      <c r="H856" s="12" t="inlineStr"/>
      <c r="I856" s="17" t="n"/>
      <c r="J856" s="17" t="n"/>
    </row>
    <row r="857">
      <c r="A857" s="12" t="inlineStr">
        <is>
          <t>Quote X-Ray</t>
        </is>
      </c>
      <c r="B857" s="12" t="inlineStr">
        <is>
          <t>XL-03</t>
        </is>
      </c>
      <c r="C857" s="12" t="inlineStr">
        <is>
          <t>What 1.0 retired</t>
        </is>
      </c>
      <c r="D857" s="14" t="inlineStr">
        <is>
          <t>PDF download of a reading</t>
        </is>
      </c>
      <c r="E857" s="14" t="inlineStr">
        <is>
          <t>Dead</t>
        </is>
      </c>
      <c r="F857" s="12" t="inlineStr">
        <is>
          <t>Q-24</t>
        </is>
      </c>
      <c r="G857" s="12" t="inlineStr"/>
      <c r="H857" s="12" t="inlineStr"/>
      <c r="I857" s="17" t="n"/>
      <c r="J857" s="17" t="n"/>
    </row>
    <row r="858">
      <c r="A858" s="12" t="inlineStr">
        <is>
          <t>Quote X-Ray</t>
        </is>
      </c>
      <c r="B858" s="12" t="inlineStr">
        <is>
          <t>XL-04</t>
        </is>
      </c>
      <c r="C858" s="12" t="inlineStr">
        <is>
          <t>What 1.0 retired</t>
        </is>
      </c>
      <c r="D858" s="14" t="inlineStr">
        <is>
          <t>Win / loss per comparison</t>
        </is>
      </c>
      <c r="E858" s="14" t="inlineStr">
        <is>
          <t>Dead</t>
        </is>
      </c>
      <c r="F858" s="12" t="inlineStr">
        <is>
          <t>The lead’s Won / Lost carries it (Q-22)</t>
        </is>
      </c>
      <c r="G858" s="12" t="inlineStr"/>
      <c r="H858" s="12" t="inlineStr"/>
      <c r="I858" s="17" t="n"/>
      <c r="J858" s="17" t="n"/>
    </row>
    <row r="859">
      <c r="A859" s="12" t="inlineStr">
        <is>
          <t>Quote X-Ray</t>
        </is>
      </c>
      <c r="B859" s="12" t="inlineStr">
        <is>
          <t>XL-05</t>
        </is>
      </c>
      <c r="C859" s="12" t="inlineStr">
        <is>
          <t>What 1.0 retired</t>
        </is>
      </c>
      <c r="D859" s="14" t="inlineStr">
        <is>
          <t>Status and attach-a-lead routes</t>
        </is>
      </c>
      <c r="E859" s="14" t="inlineStr">
        <is>
          <t>Dead</t>
        </is>
      </c>
      <c r="F859" s="12" t="inlineStr"/>
      <c r="G859" s="12" t="inlineStr"/>
      <c r="H859" s="12" t="inlineStr"/>
      <c r="I859" s="17" t="n"/>
      <c r="J859" s="17" t="n"/>
    </row>
    <row r="860">
      <c r="A860" s="12" t="inlineStr">
        <is>
          <t>Quote X-Ray</t>
        </is>
      </c>
      <c r="B860" s="12" t="inlineStr">
        <is>
          <t>XF-01</t>
        </is>
      </c>
      <c r="C860" s="12" t="inlineStr">
        <is>
          <t>The platform’s</t>
        </is>
      </c>
      <c r="D860" s="14" t="inlineStr">
        <is>
          <t>Market rate bands</t>
        </is>
      </c>
      <c r="E860" s="14" t="inlineStr">
        <is>
          <t>Platform</t>
        </is>
      </c>
      <c r="F860" s="12" t="inlineStr">
        <is>
          <t>Q-23</t>
        </is>
      </c>
      <c r="G860" s="12" t="inlineStr"/>
      <c r="H860" s="12" t="inlineStr"/>
      <c r="I860" s="17" t="n"/>
      <c r="J860" s="17" t="n"/>
    </row>
    <row r="861">
      <c r="A861" s="12" t="inlineStr">
        <is>
          <t>Quote X-Ray</t>
        </is>
      </c>
      <c r="B861" s="12" t="inlineStr">
        <is>
          <t>XF-02</t>
        </is>
      </c>
      <c r="C861" s="12" t="inlineStr">
        <is>
          <t>The platform’s</t>
        </is>
      </c>
      <c r="D861" s="14" t="inlineStr">
        <is>
          <t>Brand dossiers, admin page, sweep, kill switch</t>
        </is>
      </c>
      <c r="E861" s="14" t="inlineStr">
        <is>
          <t>Platform</t>
        </is>
      </c>
      <c r="F861" s="12" t="inlineStr">
        <is>
          <t>Q-23</t>
        </is>
      </c>
      <c r="G861" s="12" t="inlineStr"/>
      <c r="H861" s="12" t="inlineStr"/>
      <c r="I861" s="17" t="n"/>
      <c r="J861" s="17" t="n"/>
    </row>
    <row r="862">
      <c r="A862" s="12" t="inlineStr">
        <is>
          <t>Quote X-Ray</t>
        </is>
      </c>
      <c r="B862" s="12" t="inlineStr">
        <is>
          <t>XF-03</t>
        </is>
      </c>
      <c r="C862" s="12" t="inlineStr">
        <is>
          <t>The platform’s</t>
        </is>
      </c>
      <c r="D862" s="14" t="inlineStr">
        <is>
          <t>Market observations table</t>
        </is>
      </c>
      <c r="E862" s="14" t="inlineStr">
        <is>
          <t>Platform</t>
        </is>
      </c>
      <c r="F862" s="12" t="inlineStr">
        <is>
          <t>Not ported</t>
        </is>
      </c>
      <c r="G862" s="12" t="inlineStr"/>
      <c r="H862" s="12" t="inlineStr"/>
      <c r="I862" s="17" t="n"/>
      <c r="J862" s="17" t="n"/>
    </row>
    <row r="863">
      <c r="A863" s="12" t="inlineStr">
        <is>
          <t>Quote X-Ray</t>
        </is>
      </c>
      <c r="B863" s="12" t="inlineStr">
        <is>
          <t>XF-04</t>
        </is>
      </c>
      <c r="C863" s="12" t="inlineStr">
        <is>
          <t>The platform’s</t>
        </is>
      </c>
      <c r="D863" s="14" t="inlineStr">
        <is>
          <t>Telemetry, AI cost and limits</t>
        </is>
      </c>
      <c r="E863" s="14" t="inlineStr">
        <is>
          <t>Platform</t>
        </is>
      </c>
      <c r="F863" s="12" t="inlineStr"/>
      <c r="G863" s="12" t="inlineStr"/>
      <c r="H863" s="12" t="inlineStr"/>
      <c r="I863" s="17" t="n"/>
      <c r="J863" s="17" t="n"/>
    </row>
    <row r="864">
      <c r="A864" s="12" t="inlineStr">
        <is>
          <t>Quote X-Ray</t>
        </is>
      </c>
      <c r="B864" s="12" t="inlineStr">
        <is>
          <t>XF-05</t>
        </is>
      </c>
      <c r="C864" s="12" t="inlineStr">
        <is>
          <t>The platform’s</t>
        </is>
      </c>
      <c r="D864" s="14" t="inlineStr">
        <is>
          <t>Running without an AI key</t>
        </is>
      </c>
      <c r="E864" s="14" t="inlineStr">
        <is>
          <t>Platform</t>
        </is>
      </c>
      <c r="F864" s="12" t="inlineStr">
        <is>
          <t>Sheets and text PDFs read by rule; no model needed (S21)</t>
        </is>
      </c>
      <c r="G864" s="12" t="inlineStr"/>
      <c r="H864" s="12" t="inlineStr"/>
      <c r="I864" s="17" t="n"/>
      <c r="J864" s="17" t="n"/>
    </row>
    <row r="865">
      <c r="A865" s="12" t="inlineStr">
        <is>
          <t>Quote X-Ray</t>
        </is>
      </c>
      <c r="B865" s="12" t="inlineStr">
        <is>
          <t>XZ-01</t>
        </is>
      </c>
      <c r="C865" s="12" t="inlineStr">
        <is>
          <t>Touchpoints</t>
        </is>
      </c>
      <c r="D865" s="14" t="inlineStr">
        <is>
          <t>Lost reason’s competitor taken from X-Ray</t>
        </is>
      </c>
      <c r="E865" s="14" t="inlineStr">
        <is>
          <t>Built in parity round 3</t>
        </is>
      </c>
      <c r="F865" s="12" t="inlineStr"/>
      <c r="G865" s="12" t="inlineStr">
        <is>
          <t>7.13</t>
        </is>
      </c>
      <c r="H865" s="12" t="inlineStr"/>
      <c r="I865" s="17" t="n"/>
      <c r="J865" s="17" t="n"/>
    </row>
    <row r="866">
      <c r="A866" s="12" t="inlineStr">
        <is>
          <t>Quote X-Ray</t>
        </is>
      </c>
      <c r="B866" s="12" t="inlineStr">
        <is>
          <t>XZ-02</t>
        </is>
      </c>
      <c r="C866" s="12" t="inlineStr">
        <is>
          <t>Touchpoints</t>
        </is>
      </c>
      <c r="D866" s="14" t="inlineStr">
        <is>
          <t>Meeting Copilot’s competitor-quote analyser</t>
        </is>
      </c>
      <c r="E866" s="14" t="inlineStr">
        <is>
          <t>Built</t>
        </is>
      </c>
      <c r="F866" s="12" t="inlineStr">
        <is>
          <t>The meeting room’s “Their quote” opens X-Ray on the lead (S23)</t>
        </is>
      </c>
      <c r="G866" s="12" t="inlineStr"/>
      <c r="H866" s="28" t="inlineStr">
        <is>
          <t>Team check</t>
        </is>
      </c>
      <c r="I866" s="17" t="n"/>
      <c r="J866" s="17" t="n"/>
    </row>
    <row r="867">
      <c r="A867" s="12" t="inlineStr">
        <is>
          <t>Quote X-Ray</t>
        </is>
      </c>
      <c r="B867" s="12" t="inlineStr">
        <is>
          <t>XZ-03</t>
        </is>
      </c>
      <c r="C867" s="12" t="inlineStr">
        <is>
          <t>Touchpoints</t>
        </is>
      </c>
      <c r="D867" s="14" t="inlineStr">
        <is>
          <t>Maison AI quote benchmarker</t>
        </is>
      </c>
      <c r="E867" s="14" t="inlineStr">
        <is>
          <t>Built</t>
        </is>
      </c>
      <c r="F867" s="12" t="inlineStr">
        <is>
          <t>Maison AI’s “Compare to past quotes”; its file answer opens X-Ray (S10)</t>
        </is>
      </c>
      <c r="G867" s="12" t="inlineStr"/>
      <c r="H867" s="28" t="inlineStr">
        <is>
          <t>Team check</t>
        </is>
      </c>
      <c r="I867" s="17" t="n"/>
      <c r="J867" s="17" t="n"/>
    </row>
    <row r="868">
      <c r="A868" s="12" t="inlineStr">
        <is>
          <t>Quote X-Ray</t>
        </is>
      </c>
      <c r="B868" s="12" t="inlineStr">
        <is>
          <t>XZ-04</t>
        </is>
      </c>
      <c r="C868" s="12" t="inlineStr">
        <is>
          <t>Touchpoints</t>
        </is>
      </c>
      <c r="D868" s="14" t="inlineStr">
        <is>
          <t>Purchase order quote compare</t>
        </is>
      </c>
      <c r="E868" s="14" t="inlineStr">
        <is>
          <t>Not built — by design</t>
        </is>
      </c>
      <c r="F868" s="12" t="inlineStr">
        <is>
          <t>Kept out (S06); Order from the quote raises each vendor’s PO</t>
        </is>
      </c>
      <c r="G868" s="12" t="inlineStr"/>
      <c r="H868" s="12" t="inlineStr"/>
      <c r="I868" s="17" t="n"/>
      <c r="J868" s="17" t="n"/>
    </row>
    <row r="869">
      <c r="A869" s="12" t="inlineStr">
        <is>
          <t>Quote X-Ray</t>
        </is>
      </c>
      <c r="B869" s="12" t="inlineStr">
        <is>
          <t>XZ-05</t>
        </is>
      </c>
      <c r="C869" s="12" t="inlineStr">
        <is>
          <t>Touchpoints</t>
        </is>
      </c>
      <c r="D869" s="14" t="inlineStr">
        <is>
          <t>The homeowner portal</t>
        </is>
      </c>
      <c r="E869" s="14" t="inlineStr">
        <is>
          <t>Not built — by design</t>
        </is>
      </c>
      <c r="F869" s="12" t="inlineStr">
        <is>
          <t>The client portal is built; neither version shows X-Ray there</t>
        </is>
      </c>
      <c r="G869" s="12" t="inlineStr"/>
      <c r="H869" s="12" t="inlineStr"/>
      <c r="I869" s="17" t="n"/>
      <c r="J869" s="17" t="n"/>
    </row>
    <row r="870">
      <c r="A870" s="12" t="inlineStr">
        <is>
          <t>Quote X-Ray</t>
        </is>
      </c>
      <c r="B870" s="12" t="inlineStr">
        <is>
          <t>XZ-06</t>
        </is>
      </c>
      <c r="C870" s="12" t="inlineStr">
        <is>
          <t>Touchpoints</t>
        </is>
      </c>
      <c r="D870" s="14" t="inlineStr">
        <is>
          <t>Upload a quote shares the reader</t>
        </is>
      </c>
      <c r="E870" s="14" t="inlineStr">
        <is>
          <t>Built in parity round 2</t>
        </is>
      </c>
      <c r="F870" s="12" t="inlineStr"/>
      <c r="G870" s="12" t="inlineStr"/>
      <c r="H870" s="28" t="inlineStr">
        <is>
          <t>Team check</t>
        </is>
      </c>
      <c r="I870" s="17" t="n"/>
      <c r="J870" s="17" t="n"/>
    </row>
    <row r="871">
      <c r="A871" s="12" t="inlineStr">
        <is>
          <t>Accounts Setup → Settings</t>
        </is>
      </c>
      <c r="B871" s="12" t="inlineStr">
        <is>
          <t>DEF-01</t>
        </is>
      </c>
      <c r="C871" s="12" t="inlineStr">
        <is>
          <t>Definitions</t>
        </is>
      </c>
      <c r="D871" s="14" t="inlineStr">
        <is>
          <t>Where a studio's settings live</t>
        </is>
      </c>
      <c r="E871" s="14" t="inlineStr">
        <is>
          <t>Built in parity round 1</t>
        </is>
      </c>
      <c r="F871" s="12" t="inlineStr">
        <is>
          <t>Settings has seven modules on Company’s frame; records stay under Company</t>
        </is>
      </c>
      <c r="G871" s="12" t="inlineStr">
        <is>
          <t>1.07, 2.01, 2.14</t>
        </is>
      </c>
      <c r="H871" s="12" t="inlineStr"/>
      <c r="I871" s="17" t="n"/>
      <c r="J871" s="17" t="n"/>
    </row>
    <row r="872">
      <c r="A872" s="12" t="inlineStr">
        <is>
          <t>Accounts Setup → Settings</t>
        </is>
      </c>
      <c r="B872" s="12" t="inlineStr">
        <is>
          <t>DEF-02</t>
        </is>
      </c>
      <c r="C872" s="12" t="inlineStr">
        <is>
          <t>Definitions</t>
        </is>
      </c>
      <c r="D872" s="14" t="inlineStr">
        <is>
          <t>What a role is and what it allows</t>
        </is>
      </c>
      <c r="E872" s="14" t="inlineStr">
        <is>
          <t>Built in parity round 1</t>
        </is>
      </c>
      <c r="F872" s="12" t="inlineStr">
        <is>
          <t>A read-only Who may do what table; custom roles and editor held</t>
        </is>
      </c>
      <c r="G872" s="12" t="inlineStr">
        <is>
          <t>2.16, 10.01, 10.15</t>
        </is>
      </c>
      <c r="H872" s="12" t="inlineStr"/>
      <c r="I872" s="17" t="n"/>
      <c r="J872" s="17" t="n"/>
    </row>
    <row r="873">
      <c r="A873" s="12" t="inlineStr">
        <is>
          <t>Accounts Setup → Settings</t>
        </is>
      </c>
      <c r="B873" s="12" t="inlineStr">
        <is>
          <t>DEF-03</t>
        </is>
      </c>
      <c r="C873" s="12" t="inlineStr">
        <is>
          <t>Definitions</t>
        </is>
      </c>
      <c r="D873" s="14" t="inlineStr">
        <is>
          <t>A team member's record</t>
        </is>
      </c>
      <c r="E873" s="14" t="inlineStr">
        <is>
          <t>Built in parity round 2</t>
        </is>
      </c>
      <c r="F873" s="12" t="inlineStr">
        <is>
          <t>Members can be added, deactivated and reactivated</t>
        </is>
      </c>
      <c r="G873" s="12" t="inlineStr">
        <is>
          <t>2.06, 2.13</t>
        </is>
      </c>
      <c r="H873" s="12" t="inlineStr"/>
      <c r="I873" s="17" t="n"/>
      <c r="J873" s="17" t="n"/>
    </row>
    <row r="874">
      <c r="A874" s="12" t="inlineStr">
        <is>
          <t>Accounts Setup → Settings</t>
        </is>
      </c>
      <c r="B874" s="12" t="inlineStr">
        <is>
          <t>DEF-04</t>
        </is>
      </c>
      <c r="C874" s="12" t="inlineStr">
        <is>
          <t>Definitions</t>
        </is>
      </c>
      <c r="D874" s="14" t="inlineStr">
        <is>
          <t>A legal (issuing) entity</t>
        </is>
      </c>
      <c r="E874" s="14" t="inlineStr">
        <is>
          <t>Built in parity round 3</t>
        </is>
      </c>
      <c r="F874" s="12" t="inlineStr">
        <is>
          <t>Entities keep an id; one in use is retired, not removed</t>
        </is>
      </c>
      <c r="G874" s="12" t="inlineStr">
        <is>
          <t>2.04</t>
        </is>
      </c>
      <c r="H874" s="12" t="inlineStr"/>
      <c r="I874" s="17" t="n"/>
      <c r="J874" s="17" t="n"/>
    </row>
    <row r="875">
      <c r="A875" s="12" t="inlineStr">
        <is>
          <t>Accounts Setup → Settings</t>
        </is>
      </c>
      <c r="B875" s="12" t="inlineStr">
        <is>
          <t>DEF-05</t>
        </is>
      </c>
      <c r="C875" s="12" t="inlineStr">
        <is>
          <t>Definitions</t>
        </is>
      </c>
      <c r="D875" s="14" t="inlineStr">
        <is>
          <t>A trade (quote category)</t>
        </is>
      </c>
      <c r="E875" s="14" t="inlineStr">
        <is>
          <t>Built in parity round 3</t>
        </is>
      </c>
      <c r="F875" s="12" t="inlineStr">
        <is>
          <t>Trades rename and reorder; sub-categories not ported (Q-18)</t>
        </is>
      </c>
      <c r="G875" s="12" t="inlineStr">
        <is>
          <t>2.26</t>
        </is>
      </c>
      <c r="H875" s="12" t="inlineStr"/>
      <c r="I875" s="17" t="n"/>
      <c r="J875" s="17" t="n"/>
    </row>
    <row r="876">
      <c r="A876" s="12" t="inlineStr">
        <is>
          <t>Accounts Setup → Settings</t>
        </is>
      </c>
      <c r="B876" s="12" t="inlineStr">
        <is>
          <t>DEF-06</t>
        </is>
      </c>
      <c r="C876" s="12" t="inlineStr">
        <is>
          <t>Definitions</t>
        </is>
      </c>
      <c r="D876" s="14" t="inlineStr">
        <is>
          <t>The lead stages (the funnel)</t>
        </is>
      </c>
      <c r="E876" s="14" t="inlineStr">
        <is>
          <t>Later</t>
        </is>
      </c>
      <c r="F876" s="12" t="inlineStr">
        <is>
          <t>Seven fixed stages (Q-02); Manage Stages opens Settings › Lead stages (S05)</t>
        </is>
      </c>
      <c r="G876" s="12" t="inlineStr">
        <is>
          <t>1.05</t>
        </is>
      </c>
      <c r="H876" s="12" t="inlineStr"/>
      <c r="I876" s="17" t="n"/>
      <c r="J876" s="17" t="n"/>
    </row>
    <row r="877">
      <c r="A877" s="12" t="inlineStr">
        <is>
          <t>Accounts Setup → Settings</t>
        </is>
      </c>
      <c r="B877" s="12" t="inlineStr">
        <is>
          <t>DEF-07</t>
        </is>
      </c>
      <c r="C877" s="12" t="inlineStr">
        <is>
          <t>Definitions</t>
        </is>
      </c>
      <c r="D877" s="14" t="inlineStr">
        <is>
          <t>Quote approval and who approves</t>
        </is>
      </c>
      <c r="E877" s="14" t="inlineStr">
        <is>
          <t>Built</t>
        </is>
      </c>
      <c r="F877" s="12" t="inlineStr">
        <is>
          <t>Approval plus a backup approver; money thresholds declined (quote editor Q-24)</t>
        </is>
      </c>
      <c r="G877" s="12" t="inlineStr">
        <is>
          <t>2.30</t>
        </is>
      </c>
      <c r="H877" s="12" t="inlineStr"/>
      <c r="I877" s="17" t="n"/>
      <c r="J877" s="17" t="n"/>
    </row>
    <row r="878">
      <c r="A878" s="12" t="inlineStr">
        <is>
          <t>Accounts Setup → Settings</t>
        </is>
      </c>
      <c r="B878" s="12" t="inlineStr">
        <is>
          <t>DEF-08</t>
        </is>
      </c>
      <c r="C878" s="12" t="inlineStr">
        <is>
          <t>Definitions</t>
        </is>
      </c>
      <c r="D878" s="14" t="inlineStr">
        <is>
          <t>What a new quote starts with</t>
        </is>
      </c>
      <c r="E878" s="14" t="inlineStr">
        <is>
          <t>Built</t>
        </is>
      </c>
      <c r="F878" s="12" t="inlineStr"/>
      <c r="G878" s="12" t="inlineStr"/>
      <c r="H878" s="28" t="inlineStr">
        <is>
          <t>Team check</t>
        </is>
      </c>
      <c r="I878" s="17" t="n"/>
      <c r="J878" s="17" t="n"/>
    </row>
    <row r="879">
      <c r="A879" s="12" t="inlineStr">
        <is>
          <t>Accounts Setup → Settings</t>
        </is>
      </c>
      <c r="B879" s="12" t="inlineStr">
        <is>
          <t>DEF-09</t>
        </is>
      </c>
      <c r="C879" s="12" t="inlineStr">
        <is>
          <t>Definitions</t>
        </is>
      </c>
      <c r="D879" s="14" t="inlineStr">
        <is>
          <t>How a setting saves</t>
        </is>
      </c>
      <c r="E879" s="14" t="inlineStr">
        <is>
          <t>Built in parity round 3</t>
        </is>
      </c>
      <c r="F879" s="12" t="inlineStr">
        <is>
          <t>Every remove answers with Undo; unsaved edits warn before leaving</t>
        </is>
      </c>
      <c r="G879" s="12" t="inlineStr">
        <is>
          <t>2.12, 2.34</t>
        </is>
      </c>
      <c r="H879" s="12" t="inlineStr"/>
      <c r="I879" s="17" t="n"/>
      <c r="J879" s="17" t="n"/>
    </row>
    <row r="880">
      <c r="A880" s="12" t="inlineStr">
        <is>
          <t>Accounts Setup → Settings</t>
        </is>
      </c>
      <c r="B880" s="12" t="inlineStr">
        <is>
          <t>DEF-10</t>
        </is>
      </c>
      <c r="C880" s="12" t="inlineStr">
        <is>
          <t>Definitions</t>
        </is>
      </c>
      <c r="D880" s="14" t="inlineStr">
        <is>
          <t>Who may change a setting</t>
        </is>
      </c>
      <c r="E880" s="14" t="inlineStr">
        <is>
          <t>Built in parity round 2</t>
        </is>
      </c>
      <c r="F880" s="12" t="inlineStr">
        <is>
          <t>Owners and Admins change the studio; others get one read-only look</t>
        </is>
      </c>
      <c r="G880" s="12" t="inlineStr">
        <is>
          <t>10.08</t>
        </is>
      </c>
      <c r="H880" s="12" t="inlineStr"/>
      <c r="I880" s="17" t="n"/>
      <c r="J880" s="17" t="n"/>
    </row>
    <row r="881">
      <c r="A881" s="12" t="inlineStr">
        <is>
          <t>Accounts Setup → Settings</t>
        </is>
      </c>
      <c r="B881" s="12" t="inlineStr">
        <is>
          <t>MM-01</t>
        </is>
      </c>
      <c r="C881" s="12" t="inlineStr">
        <is>
          <t>Mismatches</t>
        </is>
      </c>
      <c r="D881" s="14" t="inlineStr">
        <is>
          <t>The settings page's shape</t>
        </is>
      </c>
      <c r="E881" s="14" t="inlineStr">
        <is>
          <t>Built in parity round 1</t>
        </is>
      </c>
      <c r="F881" s="12" t="inlineStr">
        <is>
          <t>Seven Settings modules; records under Company</t>
        </is>
      </c>
      <c r="G881" s="12" t="inlineStr">
        <is>
          <t>1.07, 2.01, 2.14</t>
        </is>
      </c>
      <c r="H881" s="12" t="inlineStr"/>
      <c r="I881" s="17" t="n"/>
      <c r="J881" s="17" t="n"/>
    </row>
    <row r="882">
      <c r="A882" s="12" t="inlineStr">
        <is>
          <t>Accounts Setup → Settings</t>
        </is>
      </c>
      <c r="B882" s="12" t="inlineStr">
        <is>
          <t>MM-02</t>
        </is>
      </c>
      <c r="C882" s="12" t="inlineStr">
        <is>
          <t>Mismatches</t>
        </is>
      </c>
      <c r="D882" s="14" t="inlineStr">
        <is>
          <t>Roles and what they may do</t>
        </is>
      </c>
      <c r="E882" s="14" t="inlineStr">
        <is>
          <t>Built in parity round 1</t>
        </is>
      </c>
      <c r="F882" s="12" t="inlineStr">
        <is>
          <t>Read-only statement of the five fixed roles; cost sight set per role (S41b-1)</t>
        </is>
      </c>
      <c r="G882" s="12" t="inlineStr">
        <is>
          <t>2.16, 10.01, 10.15</t>
        </is>
      </c>
      <c r="H882" s="12" t="inlineStr"/>
      <c r="I882" s="17" t="n"/>
      <c r="J882" s="17" t="n"/>
    </row>
    <row r="883">
      <c r="A883" s="12" t="inlineStr">
        <is>
          <t>Accounts Setup → Settings</t>
        </is>
      </c>
      <c r="B883" s="12" t="inlineStr">
        <is>
          <t>MM-03</t>
        </is>
      </c>
      <c r="C883" s="12" t="inlineStr">
        <is>
          <t>Mismatches</t>
        </is>
      </c>
      <c r="D883" s="14" t="inlineStr">
        <is>
          <t>Adding a member</t>
        </is>
      </c>
      <c r="E883" s="14" t="inlineStr">
        <is>
          <t>Built in parity round 2</t>
        </is>
      </c>
      <c r="F883" s="12" t="inlineStr">
        <is>
          <t>Add member directly instead of a request to OpenMaison staff</t>
        </is>
      </c>
      <c r="G883" s="12" t="inlineStr">
        <is>
          <t>2.07</t>
        </is>
      </c>
      <c r="H883" s="12" t="inlineStr"/>
      <c r="I883" s="17" t="n"/>
      <c r="J883" s="17" t="n"/>
    </row>
    <row r="884">
      <c r="A884" s="12" t="inlineStr">
        <is>
          <t>Accounts Setup → Settings</t>
        </is>
      </c>
      <c r="B884" s="12" t="inlineStr">
        <is>
          <t>MM-04</t>
        </is>
      </c>
      <c r="C884" s="12" t="inlineStr">
        <is>
          <t>Mismatches</t>
        </is>
      </c>
      <c r="D884" s="14" t="inlineStr">
        <is>
          <t>Removing a member</t>
        </is>
      </c>
      <c r="E884" s="14" t="inlineStr">
        <is>
          <t>Built in parity round 2</t>
        </is>
      </c>
      <c r="F884" s="12" t="inlineStr">
        <is>
          <t>Deactivate with Undo; Reactivate brings them back</t>
        </is>
      </c>
      <c r="G884" s="12" t="inlineStr">
        <is>
          <t>2.12, 2.13</t>
        </is>
      </c>
      <c r="H884" s="12" t="inlineStr"/>
      <c r="I884" s="17" t="n"/>
      <c r="J884" s="17" t="n"/>
    </row>
    <row r="885">
      <c r="A885" s="12" t="inlineStr">
        <is>
          <t>Accounts Setup → Settings</t>
        </is>
      </c>
      <c r="B885" s="12" t="inlineStr">
        <is>
          <t>MM-05</t>
        </is>
      </c>
      <c r="C885" s="12" t="inlineStr">
        <is>
          <t>Mismatches</t>
        </is>
      </c>
      <c r="D885" s="14" t="inlineStr">
        <is>
          <t>An entity's identity</t>
        </is>
      </c>
      <c r="E885" s="14" t="inlineStr">
        <is>
          <t>Built in parity round 3</t>
        </is>
      </c>
      <c r="F885" s="12" t="inlineStr">
        <is>
          <t>Known by id, so a rename follows everywhere</t>
        </is>
      </c>
      <c r="G885" s="12" t="inlineStr"/>
      <c r="H885" s="28" t="inlineStr">
        <is>
          <t>Team check</t>
        </is>
      </c>
      <c r="I885" s="17" t="n"/>
      <c r="J885" s="17" t="n"/>
    </row>
    <row r="886">
      <c r="A886" s="12" t="inlineStr">
        <is>
          <t>Accounts Setup → Settings</t>
        </is>
      </c>
      <c r="B886" s="12" t="inlineStr">
        <is>
          <t>MM-06</t>
        </is>
      </c>
      <c r="C886" s="12" t="inlineStr">
        <is>
          <t>Mismatches</t>
        </is>
      </c>
      <c r="D886" s="14" t="inlineStr">
        <is>
          <t>Renaming a list item</t>
        </is>
      </c>
      <c r="E886" s="14" t="inlineStr">
        <is>
          <t>Built in parity round 3</t>
        </is>
      </c>
      <c r="F886" s="12" t="inlineStr">
        <is>
          <t>A rename carries its leads, logs, quote lines and items</t>
        </is>
      </c>
      <c r="G886" s="12" t="inlineStr">
        <is>
          <t>2.20</t>
        </is>
      </c>
      <c r="H886" s="12" t="inlineStr"/>
      <c r="I886" s="17" t="n"/>
      <c r="J886" s="17" t="n"/>
    </row>
    <row r="887">
      <c r="A887" s="12" t="inlineStr">
        <is>
          <t>Accounts Setup → Settings</t>
        </is>
      </c>
      <c r="B887" s="12" t="inlineStr">
        <is>
          <t>MM-07</t>
        </is>
      </c>
      <c r="C887" s="12" t="inlineStr">
        <is>
          <t>Mismatches</t>
        </is>
      </c>
      <c r="D887" s="14" t="inlineStr">
        <is>
          <t>Who may change the studio's settings</t>
        </is>
      </c>
      <c r="E887" s="14" t="inlineStr">
        <is>
          <t>Built in parity round 2</t>
        </is>
      </c>
      <c r="F887" s="12" t="inlineStr">
        <is>
          <t>Owners and Admins, on the page and behind it</t>
        </is>
      </c>
      <c r="G887" s="12" t="inlineStr">
        <is>
          <t>10.08</t>
        </is>
      </c>
      <c r="H887" s="12" t="inlineStr"/>
      <c r="I887" s="17" t="n"/>
      <c r="J887" s="17" t="n"/>
    </row>
    <row r="888">
      <c r="A888" s="12" t="inlineStr">
        <is>
          <t>Accounts Setup → Settings</t>
        </is>
      </c>
      <c r="B888" s="12" t="inlineStr">
        <is>
          <t>MM-08</t>
        </is>
      </c>
      <c r="C888" s="12" t="inlineStr">
        <is>
          <t>Mismatches</t>
        </is>
      </c>
      <c r="D888" s="14" t="inlineStr">
        <is>
          <t>The studio's GST</t>
        </is>
      </c>
      <c r="E888" s="14" t="inlineStr">
        <is>
          <t>Built in parity round 1</t>
        </is>
      </c>
      <c r="F888" s="12" t="inlineStr">
        <is>
          <t>Company › Profile holds the registration; Quotes &amp; pricing › GST the rate</t>
        </is>
      </c>
      <c r="G888" s="12" t="inlineStr">
        <is>
          <t>2.27</t>
        </is>
      </c>
      <c r="H888" s="12" t="inlineStr"/>
      <c r="I888" s="17" t="n"/>
      <c r="J888" s="17" t="n"/>
    </row>
    <row r="889">
      <c r="A889" s="12" t="inlineStr">
        <is>
          <t>Accounts Setup → Settings</t>
        </is>
      </c>
      <c r="B889" s="12" t="inlineStr">
        <is>
          <t>MM-09</t>
        </is>
      </c>
      <c r="C889" s="12" t="inlineStr">
        <is>
          <t>Mismatches</t>
        </is>
      </c>
      <c r="D889" s="14" t="inlineStr">
        <is>
          <t>Lead capture's ways in</t>
        </is>
      </c>
      <c r="E889" s="14" t="inlineStr">
        <is>
          <t>Built in parity round 3</t>
        </is>
      </c>
      <c r="F889" s="12" t="inlineStr">
        <is>
          <t>Website form, Meta, webhooks and email listed together</t>
        </is>
      </c>
      <c r="G889" s="12" t="inlineStr">
        <is>
          <t>2.24, 4.13</t>
        </is>
      </c>
      <c r="H889" s="12" t="inlineStr"/>
      <c r="I889" s="17" t="n"/>
      <c r="J889" s="17" t="n"/>
    </row>
    <row r="890">
      <c r="A890" s="12" t="inlineStr">
        <is>
          <t>Accounts Setup → Settings</t>
        </is>
      </c>
      <c r="B890" s="12" t="inlineStr">
        <is>
          <t>SP-01</t>
        </is>
      </c>
      <c r="C890" s="12" t="inlineStr">
        <is>
          <t>The page and its ways in</t>
        </is>
      </c>
      <c r="D890" s="14" t="inlineStr">
        <is>
          <t>Reaching the settings</t>
        </is>
      </c>
      <c r="E890" s="14" t="inlineStr">
        <is>
          <t>Built</t>
        </is>
      </c>
      <c r="F890" s="12" t="inlineStr"/>
      <c r="G890" s="12" t="inlineStr">
        <is>
          <t>1.02</t>
        </is>
      </c>
      <c r="H890" s="12" t="inlineStr"/>
      <c r="I890" s="17" t="n"/>
      <c r="J890" s="17" t="n"/>
    </row>
    <row r="891">
      <c r="A891" s="12" t="inlineStr">
        <is>
          <t>Accounts Setup → Settings</t>
        </is>
      </c>
      <c r="B891" s="12" t="inlineStr">
        <is>
          <t>SP-02</t>
        </is>
      </c>
      <c r="C891" s="12" t="inlineStr">
        <is>
          <t>The page and its ways in</t>
        </is>
      </c>
      <c r="D891" s="14" t="inlineStr">
        <is>
          <t>The settings page's layout and deep links</t>
        </is>
      </c>
      <c r="E891" s="14" t="inlineStr">
        <is>
          <t>Built in parity round 1</t>
        </is>
      </c>
      <c r="F891" s="12" t="inlineStr">
        <is>
          <t>Module tabs, the open module in the link, Back honoured</t>
        </is>
      </c>
      <c r="G891" s="12" t="inlineStr">
        <is>
          <t>2.14</t>
        </is>
      </c>
      <c r="H891" s="12" t="inlineStr"/>
      <c r="I891" s="17" t="n"/>
      <c r="J891" s="17" t="n"/>
    </row>
    <row r="892">
      <c r="A892" s="12" t="inlineStr">
        <is>
          <t>Accounts Setup → Settings</t>
        </is>
      </c>
      <c r="B892" s="12" t="inlineStr">
        <is>
          <t>SP-03</t>
        </is>
      </c>
      <c r="C892" s="12" t="inlineStr">
        <is>
          <t>The page and its ways in</t>
        </is>
      </c>
      <c r="D892" s="14" t="inlineStr">
        <is>
          <t>What each visit loads</t>
        </is>
      </c>
      <c r="E892" s="14" t="inlineStr">
        <is>
          <t>Built</t>
        </is>
      </c>
      <c r="F892" s="12" t="inlineStr"/>
      <c r="G892" s="12" t="inlineStr"/>
      <c r="H892" s="28" t="inlineStr">
        <is>
          <t>Team check</t>
        </is>
      </c>
      <c r="I892" s="17" t="n"/>
      <c r="J892" s="17" t="n"/>
    </row>
    <row r="893">
      <c r="A893" s="12" t="inlineStr">
        <is>
          <t>Accounts Setup → Settings</t>
        </is>
      </c>
      <c r="B893" s="12" t="inlineStr">
        <is>
          <t>SP-04</t>
        </is>
      </c>
      <c r="C893" s="12" t="inlineStr">
        <is>
          <t>The page and its ways in</t>
        </is>
      </c>
      <c r="D893" s="14" t="inlineStr">
        <is>
          <t>Saving changes</t>
        </is>
      </c>
      <c r="E893" s="14" t="inlineStr">
        <is>
          <t>Built in parity round 3</t>
        </is>
      </c>
      <c r="F893" s="12" t="inlineStr">
        <is>
          <t>Unsaved number pattern warns; every remove has Undo</t>
        </is>
      </c>
      <c r="G893" s="12" t="inlineStr"/>
      <c r="H893" s="28" t="inlineStr">
        <is>
          <t>Team check</t>
        </is>
      </c>
      <c r="I893" s="17" t="n"/>
      <c r="J893" s="17" t="n"/>
    </row>
    <row r="894">
      <c r="A894" s="12" t="inlineStr">
        <is>
          <t>Accounts Setup → Settings</t>
        </is>
      </c>
      <c r="B894" s="12" t="inlineStr">
        <is>
          <t>SP-05</t>
        </is>
      </c>
      <c r="C894" s="12" t="inlineStr">
        <is>
          <t>The page and its ways in</t>
        </is>
      </c>
      <c r="D894" s="14" t="inlineStr">
        <is>
          <t>Settings and Company on a phone</t>
        </is>
      </c>
      <c r="E894" s="14" t="inlineStr">
        <is>
          <t>Built in parity round 2</t>
        </is>
      </c>
      <c r="F894" s="12" t="inlineStr">
        <is>
          <t>More › Company opens the Company panel; module tabs scroll</t>
        </is>
      </c>
      <c r="G894" s="12" t="inlineStr">
        <is>
          <t>12.04</t>
        </is>
      </c>
      <c r="H894" s="12" t="inlineStr"/>
      <c r="I894" s="17" t="n"/>
      <c r="J894" s="17" t="n"/>
    </row>
    <row r="895">
      <c r="A895" s="12" t="inlineStr">
        <is>
          <t>Accounts Setup → Settings</t>
        </is>
      </c>
      <c r="B895" s="12" t="inlineStr">
        <is>
          <t>ST-01</t>
        </is>
      </c>
      <c r="C895" s="12" t="inlineStr">
        <is>
          <t>Studio</t>
        </is>
      </c>
      <c r="D895" s="14" t="inlineStr">
        <is>
          <t>Team members list</t>
        </is>
      </c>
      <c r="E895" s="14" t="inlineStr">
        <is>
          <t>Built</t>
        </is>
      </c>
      <c r="F895" s="12" t="inlineStr"/>
      <c r="G895" s="12" t="inlineStr">
        <is>
          <t>2.06, 2.15</t>
        </is>
      </c>
      <c r="H895" s="12" t="inlineStr"/>
      <c r="I895" s="17" t="n"/>
      <c r="J895" s="17" t="n"/>
    </row>
    <row r="896">
      <c r="A896" s="12" t="inlineStr">
        <is>
          <t>Accounts Setup → Settings</t>
        </is>
      </c>
      <c r="B896" s="12" t="inlineStr">
        <is>
          <t>ST-02</t>
        </is>
      </c>
      <c r="C896" s="12" t="inlineStr">
        <is>
          <t>Studio</t>
        </is>
      </c>
      <c r="D896" s="14" t="inlineStr">
        <is>
          <t>Invite a member</t>
        </is>
      </c>
      <c r="E896" s="14" t="inlineStr">
        <is>
          <t>Built in parity round 2</t>
        </is>
      </c>
      <c r="F896" s="12" t="inlineStr">
        <is>
          <t>Add member invites by WhatsApp (a mobile only) or email (S09, S42)</t>
        </is>
      </c>
      <c r="G896" s="12" t="inlineStr">
        <is>
          <t>2.07</t>
        </is>
      </c>
      <c r="H896" s="12" t="inlineStr"/>
      <c r="I896" s="17" t="n"/>
      <c r="J896" s="17" t="n"/>
    </row>
    <row r="897">
      <c r="A897" s="12" t="inlineStr">
        <is>
          <t>Accounts Setup → Settings</t>
        </is>
      </c>
      <c r="B897" s="12" t="inlineStr">
        <is>
          <t>ST-03</t>
        </is>
      </c>
      <c r="C897" s="12" t="inlineStr">
        <is>
          <t>Studio</t>
        </is>
      </c>
      <c r="D897" s="14" t="inlineStr">
        <is>
          <t>A member's free title and several tags</t>
        </is>
      </c>
      <c r="E897" s="14" t="inlineStr">
        <is>
          <t>Built</t>
        </is>
      </c>
      <c r="F897" s="12" t="inlineStr">
        <is>
          <t>One role per member; the role is the title</t>
        </is>
      </c>
      <c r="G897" s="12" t="inlineStr">
        <is>
          <t>2.06</t>
        </is>
      </c>
      <c r="H897" s="12" t="inlineStr"/>
      <c r="I897" s="17" t="n"/>
      <c r="J897" s="17" t="n"/>
    </row>
    <row r="898">
      <c r="A898" s="12" t="inlineStr">
        <is>
          <t>Accounts Setup → Settings</t>
        </is>
      </c>
      <c r="B898" s="12" t="inlineStr">
        <is>
          <t>ST-04</t>
        </is>
      </c>
      <c r="C898" s="12" t="inlineStr">
        <is>
          <t>Studio</t>
        </is>
      </c>
      <c r="D898" s="14" t="inlineStr">
        <is>
          <t>Page access and data visibility notes</t>
        </is>
      </c>
      <c r="E898" s="14" t="inlineStr">
        <is>
          <t>Built</t>
        </is>
      </c>
      <c r="F898" s="12" t="inlineStr">
        <is>
          <t>Who sees leads and Who sees costs and margins, in Roles &amp; access (S14)</t>
        </is>
      </c>
      <c r="G898" s="12" t="inlineStr">
        <is>
          <t>2.23, 10.01</t>
        </is>
      </c>
      <c r="H898" s="12" t="inlineStr"/>
      <c r="I898" s="17" t="n"/>
      <c r="J898" s="17" t="n"/>
    </row>
    <row r="899">
      <c r="A899" s="12" t="inlineStr">
        <is>
          <t>Accounts Setup → Settings</t>
        </is>
      </c>
      <c r="B899" s="12" t="inlineStr">
        <is>
          <t>ST-05</t>
        </is>
      </c>
      <c r="C899" s="12" t="inlineStr">
        <is>
          <t>Studio</t>
        </is>
      </c>
      <c r="D899" s="14" t="inlineStr">
        <is>
          <t>Open to new leads and lead preferences</t>
        </is>
      </c>
      <c r="E899" s="14" t="inlineStr">
        <is>
          <t>Built</t>
        </is>
      </c>
      <c r="F899" s="12" t="inlineStr"/>
      <c r="G899" s="12" t="inlineStr">
        <is>
          <t>2.09, 2.10</t>
        </is>
      </c>
      <c r="H899" s="12" t="inlineStr"/>
      <c r="I899" s="17" t="n"/>
      <c r="J899" s="17" t="n"/>
    </row>
    <row r="900">
      <c r="A900" s="12" t="inlineStr">
        <is>
          <t>Accounts Setup → Settings</t>
        </is>
      </c>
      <c r="B900" s="12" t="inlineStr">
        <is>
          <t>ST-06</t>
        </is>
      </c>
      <c r="C900" s="12" t="inlineStr">
        <is>
          <t>Studio</t>
        </is>
      </c>
      <c r="D900" s="14" t="inlineStr">
        <is>
          <t>Per-member permission and workflow overrides</t>
        </is>
      </c>
      <c r="E900" s="14" t="inlineStr">
        <is>
          <t>Dead</t>
        </is>
      </c>
      <c r="F900" s="12" t="inlineStr">
        <is>
          <t>Saved in 1.0 but almost never read</t>
        </is>
      </c>
      <c r="G900" s="12" t="inlineStr"/>
      <c r="H900" s="12" t="inlineStr"/>
      <c r="I900" s="17" t="n"/>
      <c r="J900" s="17" t="n"/>
    </row>
    <row r="901">
      <c r="A901" s="12" t="inlineStr">
        <is>
          <t>Accounts Setup → Settings</t>
        </is>
      </c>
      <c r="B901" s="12" t="inlineStr">
        <is>
          <t>ST-07</t>
        </is>
      </c>
      <c r="C901" s="12" t="inlineStr">
        <is>
          <t>Studio</t>
        </is>
      </c>
      <c r="D901" s="14" t="inlineStr">
        <is>
          <t>Remove a member</t>
        </is>
      </c>
      <c r="E901" s="14" t="inlineStr">
        <is>
          <t>Built in parity round 2</t>
        </is>
      </c>
      <c r="F901" s="12" t="inlineStr">
        <is>
          <t>Deactivate names open work, offers Undo; Reactivate later</t>
        </is>
      </c>
      <c r="G901" s="12" t="inlineStr">
        <is>
          <t>2.12, 2.13, 2.37</t>
        </is>
      </c>
      <c r="H901" s="12" t="inlineStr"/>
      <c r="I901" s="17" t="n"/>
      <c r="J901" s="17" t="n"/>
    </row>
    <row r="902">
      <c r="A902" s="12" t="inlineStr">
        <is>
          <t>Accounts Setup → Settings</t>
        </is>
      </c>
      <c r="B902" s="12" t="inlineStr">
        <is>
          <t>ST-08</t>
        </is>
      </c>
      <c r="C902" s="12" t="inlineStr">
        <is>
          <t>Studio</t>
        </is>
      </c>
      <c r="D902" s="14" t="inlineStr">
        <is>
          <t>Each member's own signature</t>
        </is>
      </c>
      <c r="E902" s="14" t="inlineStr">
        <is>
          <t>Built</t>
        </is>
      </c>
      <c r="F902" s="12" t="inlineStr"/>
      <c r="G902" s="12" t="inlineStr"/>
      <c r="H902" s="28" t="inlineStr">
        <is>
          <t>Team check</t>
        </is>
      </c>
      <c r="I902" s="17" t="n"/>
      <c r="J902" s="17" t="n"/>
    </row>
    <row r="903">
      <c r="A903" s="12" t="inlineStr">
        <is>
          <t>Accounts Setup → Settings</t>
        </is>
      </c>
      <c r="B903" s="12" t="inlineStr">
        <is>
          <t>ST-09</t>
        </is>
      </c>
      <c r="C903" s="12" t="inlineStr">
        <is>
          <t>Studio</t>
        </is>
      </c>
      <c r="D903" s="14" t="inlineStr">
        <is>
          <t>Managers</t>
        </is>
      </c>
      <c r="E903" s="14" t="inlineStr">
        <is>
          <t>Built</t>
        </is>
      </c>
      <c r="F903" s="12" t="inlineStr"/>
      <c r="G903" s="12" t="inlineStr">
        <is>
          <t>2.06, 2.08, 10.09</t>
        </is>
      </c>
      <c r="H903" s="12" t="inlineStr"/>
      <c r="I903" s="17" t="n"/>
      <c r="J903" s="17" t="n"/>
    </row>
    <row r="904">
      <c r="A904" s="12" t="inlineStr">
        <is>
          <t>Accounts Setup → Settings</t>
        </is>
      </c>
      <c r="B904" s="12" t="inlineStr">
        <is>
          <t>ST-10</t>
        </is>
      </c>
      <c r="C904" s="12" t="inlineStr">
        <is>
          <t>Studio</t>
        </is>
      </c>
      <c r="D904" s="14" t="inlineStr">
        <is>
          <t>Seats</t>
        </is>
      </c>
      <c r="E904" s="14" t="inlineStr">
        <is>
          <t>Built</t>
        </is>
      </c>
      <c r="F904" s="12" t="inlineStr"/>
      <c r="G904" s="12" t="inlineStr"/>
      <c r="H904" s="28" t="inlineStr">
        <is>
          <t>Team check</t>
        </is>
      </c>
      <c r="I904" s="17" t="n"/>
      <c r="J904" s="17" t="n"/>
    </row>
    <row r="905">
      <c r="A905" s="12" t="inlineStr">
        <is>
          <t>Accounts Setup → Settings</t>
        </is>
      </c>
      <c r="B905" s="12" t="inlineStr">
        <is>
          <t>ST-11</t>
        </is>
      </c>
      <c r="C905" s="12" t="inlineStr">
        <is>
          <t>Studio</t>
        </is>
      </c>
      <c r="D905" s="14" t="inlineStr">
        <is>
          <t>Legal entities: list and edit</t>
        </is>
      </c>
      <c r="E905" s="14" t="inlineStr">
        <is>
          <t>Built in parity round 3</t>
        </is>
      </c>
      <c r="F905" s="12" t="inlineStr">
        <is>
          <t>Entities keep an id; bank, SWIFT, PayNow, letterhead, GST switch</t>
        </is>
      </c>
      <c r="G905" s="12" t="inlineStr">
        <is>
          <t>2.03, 2.04, 2.15</t>
        </is>
      </c>
      <c r="H905" s="12" t="inlineStr"/>
      <c r="I905" s="17" t="n"/>
      <c r="J905" s="17" t="n"/>
    </row>
    <row r="906">
      <c r="A906" s="12" t="inlineStr">
        <is>
          <t>Accounts Setup → Settings</t>
        </is>
      </c>
      <c r="B906" s="12" t="inlineStr">
        <is>
          <t>ST-12</t>
        </is>
      </c>
      <c r="C906" s="12" t="inlineStr">
        <is>
          <t>Studio</t>
        </is>
      </c>
      <c r="D906" s="14" t="inlineStr">
        <is>
          <t>Default entity; deactivating one</t>
        </is>
      </c>
      <c r="E906" s="14" t="inlineStr">
        <is>
          <t>Built in parity round 3</t>
        </is>
      </c>
      <c r="F906" s="12" t="inlineStr">
        <is>
          <t>The studio is always first; an entity in use is retired</t>
        </is>
      </c>
      <c r="G906" s="12" t="inlineStr">
        <is>
          <t>2.04, 2.37</t>
        </is>
      </c>
      <c r="H906" s="12" t="inlineStr"/>
      <c r="I906" s="17" t="n"/>
      <c r="J906" s="17" t="n"/>
    </row>
    <row r="907">
      <c r="A907" s="12" t="inlineStr">
        <is>
          <t>Accounts Setup → Settings</t>
        </is>
      </c>
      <c r="B907" s="12" t="inlineStr">
        <is>
          <t>ST-13</t>
        </is>
      </c>
      <c r="C907" s="12" t="inlineStr">
        <is>
          <t>Studio</t>
        </is>
      </c>
      <c r="D907" s="14" t="inlineStr">
        <is>
          <t>Where entities are used</t>
        </is>
      </c>
      <c r="E907" s="14" t="inlineStr">
        <is>
          <t>Built</t>
        </is>
      </c>
      <c r="F907" s="12" t="inlineStr"/>
      <c r="G907" s="12" t="inlineStr">
        <is>
          <t>2.15</t>
        </is>
      </c>
      <c r="H907" s="12" t="inlineStr"/>
      <c r="I907" s="17" t="n"/>
      <c r="J907" s="17" t="n"/>
    </row>
    <row r="908">
      <c r="A908" s="12" t="inlineStr">
        <is>
          <t>Accounts Setup → Settings</t>
        </is>
      </c>
      <c r="B908" s="12" t="inlineStr">
        <is>
          <t>ST-14</t>
        </is>
      </c>
      <c r="C908" s="12" t="inlineStr">
        <is>
          <t>Studio</t>
        </is>
      </c>
      <c r="D908" s="14" t="inlineStr">
        <is>
          <t>Roles &amp; Permissions editor</t>
        </is>
      </c>
      <c r="E908" s="14" t="inlineStr">
        <is>
          <t>Built in parity round 1</t>
        </is>
      </c>
      <c r="F908" s="12" t="inlineStr">
        <is>
          <t>Read-only table built; editor and custom roles held (leads Q-40)</t>
        </is>
      </c>
      <c r="G908" s="12" t="inlineStr">
        <is>
          <t>2.16, 2.29, 10.01</t>
        </is>
      </c>
      <c r="H908" s="12" t="inlineStr"/>
      <c r="I908" s="17" t="n"/>
      <c r="J908" s="17" t="n"/>
    </row>
    <row r="909">
      <c r="A909" s="12" t="inlineStr">
        <is>
          <t>Accounts Setup → Settings</t>
        </is>
      </c>
      <c r="B909" s="12" t="inlineStr">
        <is>
          <t>ST-15</t>
        </is>
      </c>
      <c r="C909" s="12" t="inlineStr">
        <is>
          <t>Studio</t>
        </is>
      </c>
      <c r="D909" s="14" t="inlineStr">
        <is>
          <t>Studio Health usage tiles</t>
        </is>
      </c>
      <c r="E909" s="14" t="inlineStr">
        <is>
          <t>Built</t>
        </is>
      </c>
      <c r="F909" s="12" t="inlineStr">
        <is>
          <t>Company › Reports › Studio health, from the studio’s own records (S39)</t>
        </is>
      </c>
      <c r="G909" s="12" t="inlineStr">
        <is>
          <t>11.08</t>
        </is>
      </c>
      <c r="H909" s="12" t="inlineStr"/>
      <c r="I909" s="17" t="n"/>
      <c r="J909" s="17" t="n"/>
    </row>
    <row r="910">
      <c r="A910" s="12" t="inlineStr">
        <is>
          <t>Accounts Setup → Settings</t>
        </is>
      </c>
      <c r="B910" s="12" t="inlineStr">
        <is>
          <t>ST-16</t>
        </is>
      </c>
      <c r="C910" s="12" t="inlineStr">
        <is>
          <t>Studio</t>
        </is>
      </c>
      <c r="D910" s="14" t="inlineStr">
        <is>
          <t>Studio items on the personal Settings page</t>
        </is>
      </c>
      <c r="E910" s="14" t="inlineStr">
        <is>
          <t>Platform</t>
        </is>
      </c>
      <c r="F910" s="12" t="inlineStr">
        <is>
          <t>Region is the platform's; the Ads and ID Buddy switches did nothing</t>
        </is>
      </c>
      <c r="G910" s="12" t="inlineStr"/>
      <c r="H910" s="12" t="inlineStr"/>
      <c r="I910" s="17" t="n"/>
      <c r="J910" s="17" t="n"/>
    </row>
    <row r="911">
      <c r="A911" s="12" t="inlineStr">
        <is>
          <t>Accounts Setup → Settings</t>
        </is>
      </c>
      <c r="B911" s="12" t="inlineStr">
        <is>
          <t>LM-01</t>
        </is>
      </c>
      <c r="C911" s="12" t="inlineStr">
        <is>
          <t>Lead management</t>
        </is>
      </c>
      <c r="D911" s="14" t="inlineStr">
        <is>
          <t>Lead Experience: Classic or Journey</t>
        </is>
      </c>
      <c r="E911" s="14" t="inlineStr">
        <is>
          <t>Excluded</t>
        </is>
      </c>
      <c r="F911" s="12" t="inlineStr">
        <is>
          <t>Owner's rule: no Journey mode; Linear or Flexible instead</t>
        </is>
      </c>
      <c r="G911" s="12" t="inlineStr">
        <is>
          <t>2.17</t>
        </is>
      </c>
      <c r="H911" s="12" t="inlineStr"/>
      <c r="I911" s="17" t="n"/>
      <c r="J911" s="17" t="n"/>
    </row>
    <row r="912">
      <c r="A912" s="12" t="inlineStr">
        <is>
          <t>Accounts Setup → Settings</t>
        </is>
      </c>
      <c r="B912" s="12" t="inlineStr">
        <is>
          <t>LM-02</t>
        </is>
      </c>
      <c r="C912" s="12" t="inlineStr">
        <is>
          <t>Lead management</t>
        </is>
      </c>
      <c r="D912" s="14" t="inlineStr">
        <is>
          <t>Detect duplicate leads switch</t>
        </is>
      </c>
      <c r="E912" s="14" t="inlineStr">
        <is>
          <t>Built</t>
        </is>
      </c>
      <c r="F912" s="12" t="inlineStr">
        <is>
          <t>Always checked, with a dialog; no switch (leads Q-18)</t>
        </is>
      </c>
      <c r="G912" s="12" t="inlineStr">
        <is>
          <t>4.03</t>
        </is>
      </c>
      <c r="H912" s="12" t="inlineStr"/>
      <c r="I912" s="17" t="n"/>
      <c r="J912" s="17" t="n"/>
    </row>
    <row r="913">
      <c r="A913" s="12" t="inlineStr">
        <is>
          <t>Accounts Setup → Settings</t>
        </is>
      </c>
      <c r="B913" s="12" t="inlineStr">
        <is>
          <t>LM-03</t>
        </is>
      </c>
      <c r="C913" s="12" t="inlineStr">
        <is>
          <t>Lead management</t>
        </is>
      </c>
      <c r="D913" s="14" t="inlineStr">
        <is>
          <t>Journey steps editor</t>
        </is>
      </c>
      <c r="E913" s="14" t="inlineStr">
        <is>
          <t>Excluded</t>
        </is>
      </c>
      <c r="F913" s="12" t="inlineStr">
        <is>
          <t>Owner's rule: no Journey mode</t>
        </is>
      </c>
      <c r="G913" s="12" t="inlineStr"/>
      <c r="H913" s="12" t="inlineStr"/>
      <c r="I913" s="17" t="n"/>
      <c r="J913" s="17" t="n"/>
    </row>
    <row r="914">
      <c r="A914" s="12" t="inlineStr">
        <is>
          <t>Accounts Setup → Settings</t>
        </is>
      </c>
      <c r="B914" s="12" t="inlineStr">
        <is>
          <t>LM-04</t>
        </is>
      </c>
      <c r="C914" s="12" t="inlineStr">
        <is>
          <t>Lead management</t>
        </is>
      </c>
      <c r="D914" s="14" t="inlineStr">
        <is>
          <t>Lost and On Hold reasons</t>
        </is>
      </c>
      <c r="E914" s="14" t="inlineStr">
        <is>
          <t>Built in parity round 3</t>
        </is>
      </c>
      <c r="F914" s="12" t="inlineStr">
        <is>
          <t>Rename, reorder, contact gate editable, Undo on remove</t>
        </is>
      </c>
      <c r="G914" s="12" t="inlineStr">
        <is>
          <t>2.21, 2.35, 9.05, 9.07</t>
        </is>
      </c>
      <c r="H914" s="12" t="inlineStr"/>
      <c r="I914" s="17" t="n"/>
      <c r="J914" s="17" t="n"/>
    </row>
    <row r="915">
      <c r="A915" s="12" t="inlineStr">
        <is>
          <t>Accounts Setup → Settings</t>
        </is>
      </c>
      <c r="B915" s="12" t="inlineStr">
        <is>
          <t>LM-05</t>
        </is>
      </c>
      <c r="C915" s="12" t="inlineStr">
        <is>
          <t>Lead management</t>
        </is>
      </c>
      <c r="D915" s="14" t="inlineStr">
        <is>
          <t>Lead Funnel editor</t>
        </is>
      </c>
      <c r="E915" s="14" t="inlineStr">
        <is>
          <t>Later</t>
        </is>
      </c>
      <c r="F915" s="12" t="inlineStr">
        <is>
          <t>Held (leads Q-02); the stages stay fixed</t>
        </is>
      </c>
      <c r="G915" s="12" t="inlineStr">
        <is>
          <t>1.05</t>
        </is>
      </c>
      <c r="H915" s="12" t="inlineStr"/>
      <c r="I915" s="17" t="n"/>
      <c r="J915" s="17" t="n"/>
    </row>
    <row r="916">
      <c r="A916" s="12" t="inlineStr">
        <is>
          <t>Accounts Setup → Settings</t>
        </is>
      </c>
      <c r="B916" s="12" t="inlineStr">
        <is>
          <t>LM-06</t>
        </is>
      </c>
      <c r="C916" s="12" t="inlineStr">
        <is>
          <t>Lead management</t>
        </is>
      </c>
      <c r="D916" s="14" t="inlineStr">
        <is>
          <t>Lead Categories</t>
        </is>
      </c>
      <c r="E916" s="14" t="inlineStr">
        <is>
          <t>Dead</t>
        </is>
      </c>
      <c r="F916" s="12" t="inlineStr">
        <is>
          <t>Saved in 1.0, read nowhere (Q-17)</t>
        </is>
      </c>
      <c r="G916" s="12" t="inlineStr"/>
      <c r="H916" s="12" t="inlineStr"/>
      <c r="I916" s="17" t="n"/>
      <c r="J916" s="17" t="n"/>
    </row>
    <row r="917">
      <c r="A917" s="12" t="inlineStr">
        <is>
          <t>Accounts Setup → Settings</t>
        </is>
      </c>
      <c r="B917" s="12" t="inlineStr">
        <is>
          <t>LM-07</t>
        </is>
      </c>
      <c r="C917" s="12" t="inlineStr">
        <is>
          <t>Lead management</t>
        </is>
      </c>
      <c r="D917" s="14" t="inlineStr">
        <is>
          <t>Lead Sources list</t>
        </is>
      </c>
      <c r="E917" s="14" t="inlineStr">
        <is>
          <t>Built in parity round 3</t>
        </is>
      </c>
      <c r="F917" s="12" t="inlineStr">
        <is>
          <t>Rename (leads follow), reorder, retire, Undo on remove</t>
        </is>
      </c>
      <c r="G917" s="12" t="inlineStr">
        <is>
          <t>2.18, 2.19, 2.20</t>
        </is>
      </c>
      <c r="H917" s="12" t="inlineStr"/>
      <c r="I917" s="17" t="n"/>
      <c r="J917" s="17" t="n"/>
    </row>
    <row r="918">
      <c r="A918" s="12" t="inlineStr">
        <is>
          <t>Accounts Setup → Settings</t>
        </is>
      </c>
      <c r="B918" s="12" t="inlineStr">
        <is>
          <t>LM-08</t>
        </is>
      </c>
      <c r="C918" s="12" t="inlineStr">
        <is>
          <t>Lead management</t>
        </is>
      </c>
      <c r="D918" s="14" t="inlineStr">
        <is>
          <t>Custom lead fields</t>
        </is>
      </c>
      <c r="E918" s="14" t="inlineStr">
        <is>
          <t>Built in parity round 3</t>
        </is>
      </c>
      <c r="F918" s="12" t="inlineStr">
        <is>
          <t>Inactive fields keep their values; Required stated on the card</t>
        </is>
      </c>
      <c r="G918" s="12" t="inlineStr">
        <is>
          <t>2.22, 2.35</t>
        </is>
      </c>
      <c r="H918" s="12" t="inlineStr"/>
      <c r="I918" s="17" t="n"/>
      <c r="J918" s="17" t="n"/>
    </row>
    <row r="919">
      <c r="A919" s="12" t="inlineStr">
        <is>
          <t>Accounts Setup → Settings</t>
        </is>
      </c>
      <c r="B919" s="12" t="inlineStr">
        <is>
          <t>LM-09</t>
        </is>
      </c>
      <c r="C919" s="12" t="inlineStr">
        <is>
          <t>Lead management</t>
        </is>
      </c>
      <c r="D919" s="14" t="inlineStr">
        <is>
          <t>Lead webhooks</t>
        </is>
      </c>
      <c r="E919" s="14" t="inlineStr">
        <is>
          <t>Built</t>
        </is>
      </c>
      <c r="F919" s="12" t="inlineStr">
        <is>
          <t>Real: generated URLs receive POSTs; set up in Company › Integrations (S34)</t>
        </is>
      </c>
      <c r="G919" s="12" t="inlineStr">
        <is>
          <t>2.24, 4.13</t>
        </is>
      </c>
      <c r="H919" s="12" t="inlineStr"/>
      <c r="I919" s="17" t="n"/>
      <c r="J919" s="17" t="n"/>
    </row>
    <row r="920">
      <c r="A920" s="12" t="inlineStr">
        <is>
          <t>Accounts Setup → Settings</t>
        </is>
      </c>
      <c r="B920" s="12" t="inlineStr">
        <is>
          <t>LM-10</t>
        </is>
      </c>
      <c r="C920" s="12" t="inlineStr">
        <is>
          <t>Lead management</t>
        </is>
      </c>
      <c r="D920" s="14" t="inlineStr">
        <is>
          <t>Workflow switches for leads</t>
        </is>
      </c>
      <c r="E920" s="14" t="inlineStr">
        <is>
          <t>Not built — by design</t>
        </is>
      </c>
      <c r="F920" s="12" t="inlineStr">
        <is>
          <t>Declined (leads Q-26); the Won step keeps its own rules</t>
        </is>
      </c>
      <c r="G920" s="12" t="inlineStr"/>
      <c r="H920" s="12" t="inlineStr"/>
      <c r="I920" s="17" t="n"/>
      <c r="J920" s="17" t="n"/>
    </row>
    <row r="921">
      <c r="A921" s="12" t="inlineStr">
        <is>
          <t>Accounts Setup → Settings</t>
        </is>
      </c>
      <c r="B921" s="12" t="inlineStr">
        <is>
          <t>LM-11</t>
        </is>
      </c>
      <c r="C921" s="12" t="inlineStr">
        <is>
          <t>Lead management</t>
        </is>
      </c>
      <c r="D921" s="14" t="inlineStr">
        <is>
          <t>AI assignment logic prompt</t>
        </is>
      </c>
      <c r="E921" s="14" t="inlineStr">
        <is>
          <t>Dead</t>
        </is>
      </c>
      <c r="F921" s="12" t="inlineStr">
        <is>
          <t>Saved in 1.0, read nowhere (Q-17)</t>
        </is>
      </c>
      <c r="G921" s="12" t="inlineStr"/>
      <c r="H921" s="12" t="inlineStr"/>
      <c r="I921" s="17" t="n"/>
      <c r="J921" s="17" t="n"/>
    </row>
    <row r="922">
      <c r="A922" s="12" t="inlineStr">
        <is>
          <t>Accounts Setup → Settings</t>
        </is>
      </c>
      <c r="B922" s="12" t="inlineStr">
        <is>
          <t>LM-12</t>
        </is>
      </c>
      <c r="C922" s="12" t="inlineStr">
        <is>
          <t>Lead management</t>
        </is>
      </c>
      <c r="D922" s="14" t="inlineStr">
        <is>
          <t>Legacy pipeline stages</t>
        </is>
      </c>
      <c r="E922" s="14" t="inlineStr">
        <is>
          <t>Dead</t>
        </is>
      </c>
      <c r="F922" s="12" t="inlineStr">
        <is>
          <t>Read nowhere in 1.0 (Q-17)</t>
        </is>
      </c>
      <c r="G922" s="12" t="inlineStr"/>
      <c r="H922" s="12" t="inlineStr"/>
      <c r="I922" s="17" t="n"/>
      <c r="J922" s="17" t="n"/>
    </row>
    <row r="923">
      <c r="A923" s="12" t="inlineStr">
        <is>
          <t>Accounts Setup → Settings</t>
        </is>
      </c>
      <c r="B923" s="12" t="inlineStr">
        <is>
          <t>LM-13</t>
        </is>
      </c>
      <c r="C923" s="12" t="inlineStr">
        <is>
          <t>Lead management</t>
        </is>
      </c>
      <c r="D923" s="14" t="inlineStr">
        <is>
          <t>Project types</t>
        </is>
      </c>
      <c r="E923" s="14" t="inlineStr">
        <is>
          <t>Not built — by design</t>
        </is>
      </c>
      <c r="F923" s="12" t="inlineStr">
        <is>
          <t>Projects have three fixed types (leads Q-34); no studio editor</t>
        </is>
      </c>
      <c r="G923" s="12" t="inlineStr"/>
      <c r="H923" s="12" t="inlineStr"/>
      <c r="I923" s="17" t="n"/>
      <c r="J923" s="17" t="n"/>
    </row>
    <row r="924">
      <c r="A924" s="12" t="inlineStr">
        <is>
          <t>Accounts Setup → Settings</t>
        </is>
      </c>
      <c r="B924" s="12" t="inlineStr">
        <is>
          <t>LM-14</t>
        </is>
      </c>
      <c r="C924" s="12" t="inlineStr">
        <is>
          <t>Lead management</t>
        </is>
      </c>
      <c r="D924" s="14" t="inlineStr">
        <is>
          <t>Lead assignment suggestion</t>
        </is>
      </c>
      <c r="E924" s="14" t="inlineStr">
        <is>
          <t>Built</t>
        </is>
      </c>
      <c r="F924" s="12" t="inlineStr"/>
      <c r="G924" s="12" t="inlineStr">
        <is>
          <t>2.09, 5.04</t>
        </is>
      </c>
      <c r="H924" s="12" t="inlineStr"/>
      <c r="I924" s="17" t="n"/>
      <c r="J924" s="17" t="n"/>
    </row>
    <row r="925">
      <c r="A925" s="12" t="inlineStr">
        <is>
          <t>Accounts Setup → Settings</t>
        </is>
      </c>
      <c r="B925" s="12" t="inlineStr">
        <is>
          <t>LM-15</t>
        </is>
      </c>
      <c r="C925" s="12" t="inlineStr">
        <is>
          <t>Lead management</t>
        </is>
      </c>
      <c r="D925" s="14" t="inlineStr">
        <is>
          <t>Email lead sources (Gmail)</t>
        </is>
      </c>
      <c r="E925" s="14" t="inlineStr">
        <is>
          <t>Built</t>
        </is>
      </c>
      <c r="F925" s="12" t="inlineStr">
        <is>
          <t>A stand-in under Company › Integrations</t>
        </is>
      </c>
      <c r="G925" s="12" t="inlineStr">
        <is>
          <t>2.24, 4.14</t>
        </is>
      </c>
      <c r="H925" s="12" t="inlineStr"/>
      <c r="I925" s="17" t="n"/>
      <c r="J925" s="17" t="n"/>
    </row>
    <row r="926">
      <c r="A926" s="12" t="inlineStr">
        <is>
          <t>Accounts Setup → Settings</t>
        </is>
      </c>
      <c r="B926" s="12" t="inlineStr">
        <is>
          <t>LM-16</t>
        </is>
      </c>
      <c r="C926" s="12" t="inlineStr">
        <is>
          <t>Lead management</t>
        </is>
      </c>
      <c r="D926" s="14" t="inlineStr">
        <is>
          <t>Lead notifications</t>
        </is>
      </c>
      <c r="E926" s="14" t="inlineStr">
        <is>
          <t>Built in parity round 3</t>
        </is>
      </c>
      <c r="F926" s="12" t="inlineStr">
        <is>
          <t>Per event; Email and WhatsApp go out with In app</t>
        </is>
      </c>
      <c r="G926" s="12" t="inlineStr">
        <is>
          <t>2.32, 11.07</t>
        </is>
      </c>
      <c r="H926" s="12" t="inlineStr"/>
      <c r="I926" s="17" t="n"/>
      <c r="J926" s="17" t="n"/>
    </row>
    <row r="927">
      <c r="A927" s="12" t="inlineStr">
        <is>
          <t>Accounts Setup → Settings</t>
        </is>
      </c>
      <c r="B927" s="12" t="inlineStr">
        <is>
          <t>LM-17</t>
        </is>
      </c>
      <c r="C927" s="12" t="inlineStr">
        <is>
          <t>Lead management</t>
        </is>
      </c>
      <c r="D927" s="14" t="inlineStr">
        <is>
          <t>Manager hierarchy flag</t>
        </is>
      </c>
      <c r="E927" s="14" t="inlineStr">
        <is>
          <t>Built</t>
        </is>
      </c>
      <c r="F927" s="12" t="inlineStr"/>
      <c r="G927" s="12" t="inlineStr">
        <is>
          <t>2.08, 10.09</t>
        </is>
      </c>
      <c r="H927" s="12" t="inlineStr"/>
      <c r="I927" s="17" t="n"/>
      <c r="J927" s="17" t="n"/>
    </row>
    <row r="928">
      <c r="A928" s="12" t="inlineStr">
        <is>
          <t>Accounts Setup → Settings</t>
        </is>
      </c>
      <c r="B928" s="12" t="inlineStr">
        <is>
          <t>LM-18</t>
        </is>
      </c>
      <c r="C928" s="12" t="inlineStr">
        <is>
          <t>Lead management</t>
        </is>
      </c>
      <c r="D928" s="14" t="inlineStr">
        <is>
          <t>Fixed lead rules (response-time grades)</t>
        </is>
      </c>
      <c r="E928" s="14" t="inlineStr">
        <is>
          <t>Built</t>
        </is>
      </c>
      <c r="F928" s="12" t="inlineStr"/>
      <c r="G928" s="12" t="inlineStr">
        <is>
          <t>11.08</t>
        </is>
      </c>
      <c r="H928" s="12" t="inlineStr"/>
      <c r="I928" s="17" t="n"/>
      <c r="J928" s="17" t="n"/>
    </row>
    <row r="929">
      <c r="A929" s="12" t="inlineStr">
        <is>
          <t>Accounts Setup → Settings</t>
        </is>
      </c>
      <c r="B929" s="12" t="inlineStr">
        <is>
          <t>LM-19</t>
        </is>
      </c>
      <c r="C929" s="12" t="inlineStr">
        <is>
          <t>Lead management</t>
        </is>
      </c>
      <c r="D929" s="14" t="inlineStr">
        <is>
          <t>Lead capture card</t>
        </is>
      </c>
      <c r="E929" s="14" t="inlineStr">
        <is>
          <t>2.0 only</t>
        </is>
      </c>
      <c r="F929" s="12" t="inlineStr">
        <is>
          <t>Round 3 lists every way in and keeps the intake address</t>
        </is>
      </c>
      <c r="G929" s="12" t="inlineStr">
        <is>
          <t>2.24</t>
        </is>
      </c>
      <c r="H929" s="12" t="inlineStr"/>
      <c r="I929" s="17" t="n"/>
      <c r="J929" s="17" t="n"/>
    </row>
    <row r="930">
      <c r="A930" s="12" t="inlineStr">
        <is>
          <t>Accounts Setup → Settings</t>
        </is>
      </c>
      <c r="B930" s="12" t="inlineStr">
        <is>
          <t>LM-20</t>
        </is>
      </c>
      <c r="C930" s="12" t="inlineStr">
        <is>
          <t>Lead management</t>
        </is>
      </c>
      <c r="D930" s="14" t="inlineStr">
        <is>
          <t>The studio's question bank</t>
        </is>
      </c>
      <c r="E930" s="14" t="inlineStr">
        <is>
          <t>2.0 only</t>
        </is>
      </c>
      <c r="F930" s="12" t="inlineStr">
        <is>
          <t>Round 3: Required reaches each lead's questions</t>
        </is>
      </c>
      <c r="G930" s="12" t="inlineStr">
        <is>
          <t>3.37</t>
        </is>
      </c>
      <c r="H930" s="12" t="inlineStr"/>
      <c r="I930" s="17" t="n"/>
      <c r="J930" s="17" t="n"/>
    </row>
    <row r="931">
      <c r="A931" s="12" t="inlineStr">
        <is>
          <t>Accounts Setup → Settings</t>
        </is>
      </c>
      <c r="B931" s="12" t="inlineStr">
        <is>
          <t>QP-01</t>
        </is>
      </c>
      <c r="C931" s="12" t="inlineStr">
        <is>
          <t>Quotes &amp; pricing</t>
        </is>
      </c>
      <c r="D931" s="14" t="inlineStr">
        <is>
          <t>Quote categories (trades)</t>
        </is>
      </c>
      <c r="E931" s="14" t="inlineStr">
        <is>
          <t>Built in parity round 3</t>
        </is>
      </c>
      <c r="F931" s="12" t="inlineStr">
        <is>
          <t>Rename, reorder and a note per trade; no sub-categories (Q-18)</t>
        </is>
      </c>
      <c r="G931" s="12" t="inlineStr">
        <is>
          <t>2.26, 2.36</t>
        </is>
      </c>
      <c r="H931" s="12" t="inlineStr"/>
      <c r="I931" s="17" t="n"/>
      <c r="J931" s="17" t="n"/>
    </row>
    <row r="932">
      <c r="A932" s="12" t="inlineStr">
        <is>
          <t>Accounts Setup → Settings</t>
        </is>
      </c>
      <c r="B932" s="12" t="inlineStr">
        <is>
          <t>QP-02</t>
        </is>
      </c>
      <c r="C932" s="12" t="inlineStr">
        <is>
          <t>Quotes &amp; pricing</t>
        </is>
      </c>
      <c r="D932" s="14" t="inlineStr">
        <is>
          <t>Import price book from CSV</t>
        </is>
      </c>
      <c r="E932" s="14" t="inlineStr">
        <is>
          <t>Built</t>
        </is>
      </c>
      <c r="F932" s="12" t="inlineStr"/>
      <c r="G932" s="12" t="inlineStr"/>
      <c r="H932" s="28" t="inlineStr">
        <is>
          <t>Team check</t>
        </is>
      </c>
      <c r="I932" s="17" t="n"/>
      <c r="J932" s="17" t="n"/>
    </row>
    <row r="933">
      <c r="A933" s="12" t="inlineStr">
        <is>
          <t>Accounts Setup → Settings</t>
        </is>
      </c>
      <c r="B933" s="12" t="inlineStr">
        <is>
          <t>QP-03</t>
        </is>
      </c>
      <c r="C933" s="12" t="inlineStr">
        <is>
          <t>Quotes &amp; pricing</t>
        </is>
      </c>
      <c r="D933" s="14" t="inlineStr">
        <is>
          <t>Document templates</t>
        </is>
      </c>
      <c r="E933" s="14" t="inlineStr">
        <is>
          <t>Built</t>
        </is>
      </c>
      <c r="F933" s="12" t="inlineStr">
        <is>
          <t>Libraries in Company › Templates; invoice and PO papers in Settings › Finance</t>
        </is>
      </c>
      <c r="G933" s="12" t="inlineStr"/>
      <c r="H933" s="28" t="inlineStr">
        <is>
          <t>Team check</t>
        </is>
      </c>
      <c r="I933" s="17" t="n"/>
      <c r="J933" s="17" t="n"/>
    </row>
    <row r="934">
      <c r="A934" s="12" t="inlineStr">
        <is>
          <t>Accounts Setup → Settings</t>
        </is>
      </c>
      <c r="B934" s="12" t="inlineStr">
        <is>
          <t>QP-04</t>
        </is>
      </c>
      <c r="C934" s="12" t="inlineStr">
        <is>
          <t>Quotes &amp; pricing</t>
        </is>
      </c>
      <c r="D934" s="14" t="inlineStr">
        <is>
          <t>Default T&amp;C and default contract</t>
        </is>
      </c>
      <c r="E934" s="14" t="inlineStr">
        <is>
          <t>Built</t>
        </is>
      </c>
      <c r="F934" s="12" t="inlineStr"/>
      <c r="G934" s="12" t="inlineStr"/>
      <c r="H934" s="28" t="inlineStr">
        <is>
          <t>Team check</t>
        </is>
      </c>
      <c r="I934" s="17" t="n"/>
      <c r="J934" s="17" t="n"/>
    </row>
    <row r="935">
      <c r="A935" s="12" t="inlineStr">
        <is>
          <t>Accounts Setup → Settings</t>
        </is>
      </c>
      <c r="B935" s="12" t="inlineStr">
        <is>
          <t>QP-05</t>
        </is>
      </c>
      <c r="C935" s="12" t="inlineStr">
        <is>
          <t>Quotes &amp; pricing</t>
        </is>
      </c>
      <c r="D935" s="14" t="inlineStr">
        <is>
          <t>Signing documents library</t>
        </is>
      </c>
      <c r="E935" s="14" t="inlineStr">
        <is>
          <t>Built</t>
        </is>
      </c>
      <c r="F935" s="12" t="inlineStr">
        <is>
          <t>Contract templates carry the gates; standard PDFs are templates too (S03)</t>
        </is>
      </c>
      <c r="G935" s="12" t="inlineStr"/>
      <c r="H935" s="28" t="inlineStr">
        <is>
          <t>Team check</t>
        </is>
      </c>
      <c r="I935" s="17" t="n"/>
      <c r="J935" s="17" t="n"/>
    </row>
    <row r="936">
      <c r="A936" s="12" t="inlineStr">
        <is>
          <t>Accounts Setup → Settings</t>
        </is>
      </c>
      <c r="B936" s="12" t="inlineStr">
        <is>
          <t>QP-06</t>
        </is>
      </c>
      <c r="C936" s="12" t="inlineStr">
        <is>
          <t>Quotes &amp; pricing</t>
        </is>
      </c>
      <c r="D936" s="14" t="inlineStr">
        <is>
          <t>Packages (saved bundles of lines)</t>
        </is>
      </c>
      <c r="E936" s="14" t="inlineStr">
        <is>
          <t>Built</t>
        </is>
      </c>
      <c r="F936" s="12" t="inlineStr">
        <is>
          <t>As My Sections</t>
        </is>
      </c>
      <c r="G936" s="12" t="inlineStr"/>
      <c r="H936" s="28" t="inlineStr">
        <is>
          <t>Team check</t>
        </is>
      </c>
      <c r="I936" s="17" t="n"/>
      <c r="J936" s="17" t="n"/>
    </row>
    <row r="937">
      <c r="A937" s="12" t="inlineStr">
        <is>
          <t>Accounts Setup → Settings</t>
        </is>
      </c>
      <c r="B937" s="12" t="inlineStr">
        <is>
          <t>QP-07</t>
        </is>
      </c>
      <c r="C937" s="12" t="inlineStr">
        <is>
          <t>Quotes &amp; pricing</t>
        </is>
      </c>
      <c r="D937" s="14" t="inlineStr">
        <is>
          <t>Quote rules (Starter Quote)</t>
        </is>
      </c>
      <c r="E937" s="14" t="inlineStr">
        <is>
          <t>Later</t>
        </is>
      </c>
      <c r="F937" s="12" t="inlineStr">
        <is>
          <t>Held (templates Q-07)</t>
        </is>
      </c>
      <c r="G937" s="12" t="inlineStr"/>
      <c r="H937" s="12" t="inlineStr"/>
      <c r="I937" s="17" t="n"/>
      <c r="J937" s="17" t="n"/>
    </row>
    <row r="938">
      <c r="A938" s="12" t="inlineStr">
        <is>
          <t>Accounts Setup → Settings</t>
        </is>
      </c>
      <c r="B938" s="12" t="inlineStr">
        <is>
          <t>QP-08</t>
        </is>
      </c>
      <c r="C938" s="12" t="inlineStr">
        <is>
          <t>Quotes &amp; pricing</t>
        </is>
      </c>
      <c r="D938" s="14" t="inlineStr">
        <is>
          <t>Price book tab</t>
        </is>
      </c>
      <c r="E938" s="14" t="inlineStr">
        <is>
          <t>Built</t>
        </is>
      </c>
      <c r="F938" s="12" t="inlineStr">
        <is>
          <t>Finished by the price book parity audit (REG-649…655)</t>
        </is>
      </c>
      <c r="G938" s="12" t="inlineStr"/>
      <c r="H938" s="28" t="inlineStr">
        <is>
          <t>Team check</t>
        </is>
      </c>
      <c r="I938" s="17" t="n"/>
      <c r="J938" s="17" t="n"/>
    </row>
    <row r="939">
      <c r="A939" s="12" t="inlineStr">
        <is>
          <t>Accounts Setup → Settings</t>
        </is>
      </c>
      <c r="B939" s="12" t="inlineStr">
        <is>
          <t>QP-09</t>
        </is>
      </c>
      <c r="C939" s="12" t="inlineStr">
        <is>
          <t>Quotes &amp; pricing</t>
        </is>
      </c>
      <c r="D939" s="14" t="inlineStr">
        <is>
          <t>Quote approval rules</t>
        </is>
      </c>
      <c r="E939" s="14" t="inlineStr">
        <is>
          <t>Built in parity round 2</t>
        </is>
      </c>
      <c r="F939" s="12" t="inlineStr">
        <is>
          <t>Backup approver checked behind the page; thresholds declined (quote editor Q-24)</t>
        </is>
      </c>
      <c r="G939" s="12" t="inlineStr">
        <is>
          <t>2.30</t>
        </is>
      </c>
      <c r="H939" s="12" t="inlineStr"/>
      <c r="I939" s="17" t="n"/>
      <c r="J939" s="17" t="n"/>
    </row>
    <row r="940">
      <c r="A940" s="12" t="inlineStr">
        <is>
          <t>Accounts Setup → Settings</t>
        </is>
      </c>
      <c r="B940" s="12" t="inlineStr">
        <is>
          <t>QP-10</t>
        </is>
      </c>
      <c r="C940" s="12" t="inlineStr">
        <is>
          <t>Quotes &amp; pricing</t>
        </is>
      </c>
      <c r="D940" s="14" t="inlineStr">
        <is>
          <t>Quote sharing settings</t>
        </is>
      </c>
      <c r="E940" s="14" t="inlineStr">
        <is>
          <t>Not built — by design</t>
        </is>
      </c>
      <c r="F940" s="12" t="inlineStr">
        <is>
          <t>Saved and never read in 1.0 (templates Q-09)</t>
        </is>
      </c>
      <c r="G940" s="12" t="inlineStr"/>
      <c r="H940" s="12" t="inlineStr"/>
      <c r="I940" s="17" t="n"/>
      <c r="J940" s="17" t="n"/>
    </row>
    <row r="941">
      <c r="A941" s="12" t="inlineStr">
        <is>
          <t>Accounts Setup → Settings</t>
        </is>
      </c>
      <c r="B941" s="12" t="inlineStr">
        <is>
          <t>QP-11</t>
        </is>
      </c>
      <c r="C941" s="12" t="inlineStr">
        <is>
          <t>Quotes &amp; pricing</t>
        </is>
      </c>
      <c r="D941" s="14" t="inlineStr">
        <is>
          <t>Quote numbering</t>
        </is>
      </c>
      <c r="E941" s="14" t="inlineStr">
        <is>
          <t>Built in parity round 1</t>
        </is>
      </c>
      <c r="F941" s="12" t="inlineStr">
        <is>
          <t>Own pattern built earlier; the example now shows the real next number</t>
        </is>
      </c>
      <c r="G941" s="12" t="inlineStr">
        <is>
          <t>2.25</t>
        </is>
      </c>
      <c r="H941" s="12" t="inlineStr"/>
      <c r="I941" s="17" t="n"/>
      <c r="J941" s="17" t="n"/>
    </row>
    <row r="942">
      <c r="A942" s="12" t="inlineStr">
        <is>
          <t>Accounts Setup → Settings</t>
        </is>
      </c>
      <c r="B942" s="12" t="inlineStr">
        <is>
          <t>QP-12</t>
        </is>
      </c>
      <c r="C942" s="12" t="inlineStr">
        <is>
          <t>Quotes &amp; pricing</t>
        </is>
      </c>
      <c r="D942" s="14" t="inlineStr">
        <is>
          <t>Quote validity</t>
        </is>
      </c>
      <c r="E942" s="14" t="inlineStr">
        <is>
          <t>Built</t>
        </is>
      </c>
      <c r="F942" s="12" t="inlineStr"/>
      <c r="G942" s="12" t="inlineStr"/>
      <c r="H942" s="28" t="inlineStr">
        <is>
          <t>Team check</t>
        </is>
      </c>
      <c r="I942" s="17" t="n"/>
      <c r="J942" s="17" t="n"/>
    </row>
    <row r="943">
      <c r="A943" s="12" t="inlineStr">
        <is>
          <t>Accounts Setup → Settings</t>
        </is>
      </c>
      <c r="B943" s="12" t="inlineStr">
        <is>
          <t>QP-13</t>
        </is>
      </c>
      <c r="C943" s="12" t="inlineStr">
        <is>
          <t>Quotes &amp; pricing</t>
        </is>
      </c>
      <c r="D943" s="14" t="inlineStr">
        <is>
          <t>GST registration and rate</t>
        </is>
      </c>
      <c r="E943" s="14" t="inlineStr">
        <is>
          <t>Built in parity round 1</t>
        </is>
      </c>
      <c r="F943" s="12" t="inlineStr">
        <is>
          <t>Registration on Company › Profile; the rate under Quotes &amp; pricing (one home)</t>
        </is>
      </c>
      <c r="G943" s="12" t="inlineStr">
        <is>
          <t>2.27</t>
        </is>
      </c>
      <c r="H943" s="12" t="inlineStr"/>
      <c r="I943" s="17" t="n"/>
      <c r="J943" s="17" t="n"/>
    </row>
    <row r="944">
      <c r="A944" s="12" t="inlineStr">
        <is>
          <t>Accounts Setup → Settings</t>
        </is>
      </c>
      <c r="B944" s="12" t="inlineStr">
        <is>
          <t>QP-14</t>
        </is>
      </c>
      <c r="C944" s="12" t="inlineStr">
        <is>
          <t>Quotes &amp; pricing</t>
        </is>
      </c>
      <c r="D944" s="14" t="inlineStr">
        <is>
          <t>Rounding selling prices</t>
        </is>
      </c>
      <c r="E944" s="14" t="inlineStr">
        <is>
          <t>Built</t>
        </is>
      </c>
      <c r="F944" s="12" t="inlineStr"/>
      <c r="G944" s="12" t="inlineStr">
        <is>
          <t>2.28</t>
        </is>
      </c>
      <c r="H944" s="12" t="inlineStr"/>
      <c r="I944" s="17" t="n"/>
      <c r="J944" s="17" t="n"/>
    </row>
    <row r="945">
      <c r="A945" s="12" t="inlineStr">
        <is>
          <t>Accounts Setup → Settings</t>
        </is>
      </c>
      <c r="B945" s="12" t="inlineStr">
        <is>
          <t>QP-15</t>
        </is>
      </c>
      <c r="C945" s="12" t="inlineStr">
        <is>
          <t>Quotes &amp; pricing</t>
        </is>
      </c>
      <c r="D945" s="14" t="inlineStr">
        <is>
          <t>Payment schedule defaults</t>
        </is>
      </c>
      <c r="E945" s="14" t="inlineStr">
        <is>
          <t>Built</t>
        </is>
      </c>
      <c r="F945" s="12" t="inlineStr"/>
      <c r="G945" s="12" t="inlineStr"/>
      <c r="H945" s="28" t="inlineStr">
        <is>
          <t>Team check</t>
        </is>
      </c>
      <c r="I945" s="17" t="n"/>
      <c r="J945" s="17" t="n"/>
    </row>
    <row r="946">
      <c r="A946" s="12" t="inlineStr">
        <is>
          <t>Accounts Setup → Settings</t>
        </is>
      </c>
      <c r="B946" s="12" t="inlineStr">
        <is>
          <t>QP-16</t>
        </is>
      </c>
      <c r="C946" s="12" t="inlineStr">
        <is>
          <t>Quotes &amp; pricing</t>
        </is>
      </c>
      <c r="D946" s="14" t="inlineStr">
        <is>
          <t>Terms and notes defaults</t>
        </is>
      </c>
      <c r="E946" s="14" t="inlineStr">
        <is>
          <t>Built</t>
        </is>
      </c>
      <c r="F946" s="12" t="inlineStr"/>
      <c r="G946" s="12" t="inlineStr"/>
      <c r="H946" s="28" t="inlineStr">
        <is>
          <t>Team check</t>
        </is>
      </c>
      <c r="I946" s="17" t="n"/>
      <c r="J946" s="17" t="n"/>
    </row>
    <row r="947">
      <c r="A947" s="12" t="inlineStr">
        <is>
          <t>Accounts Setup → Settings</t>
        </is>
      </c>
      <c r="B947" s="12" t="inlineStr">
        <is>
          <t>QP-17</t>
        </is>
      </c>
      <c r="C947" s="12" t="inlineStr">
        <is>
          <t>Quotes &amp; pricing</t>
        </is>
      </c>
      <c r="D947" s="14" t="inlineStr">
        <is>
          <t>Markup, discount limits, margin floor</t>
        </is>
      </c>
      <c r="E947" s="14" t="inlineStr">
        <is>
          <t>Not built — by design</t>
        </is>
      </c>
      <c r="F947" s="12" t="inlineStr">
        <is>
          <t>Declined (quote editor Q-24)</t>
        </is>
      </c>
      <c r="G947" s="12" t="inlineStr"/>
      <c r="H947" s="12" t="inlineStr"/>
      <c r="I947" s="17" t="n"/>
      <c r="J947" s="17" t="n"/>
    </row>
    <row r="948">
      <c r="A948" s="12" t="inlineStr">
        <is>
          <t>Accounts Setup → Settings</t>
        </is>
      </c>
      <c r="B948" s="12" t="inlineStr">
        <is>
          <t>QP-18</t>
        </is>
      </c>
      <c r="C948" s="12" t="inlineStr">
        <is>
          <t>Quotes &amp; pricing</t>
        </is>
      </c>
      <c r="D948" s="14" t="inlineStr">
        <is>
          <t>Quote switches kept elsewhere</t>
        </is>
      </c>
      <c r="E948" s="14" t="inlineStr">
        <is>
          <t>Built</t>
        </is>
      </c>
      <c r="F948" s="12" t="inlineStr"/>
      <c r="G948" s="12" t="inlineStr">
        <is>
          <t>2.29</t>
        </is>
      </c>
      <c r="H948" s="12" t="inlineStr"/>
      <c r="I948" s="17" t="n"/>
      <c r="J948" s="17" t="n"/>
    </row>
    <row r="949">
      <c r="A949" s="12" t="inlineStr">
        <is>
          <t>Accounts Setup → Settings</t>
        </is>
      </c>
      <c r="B949" s="12" t="inlineStr">
        <is>
          <t>RW-01</t>
        </is>
      </c>
      <c r="C949" s="12" t="inlineStr">
        <is>
          <t>Who may change the studio</t>
        </is>
      </c>
      <c r="D949" s="14" t="inlineStr">
        <is>
          <t>Who the settings let in</t>
        </is>
      </c>
      <c r="E949" s="14" t="inlineStr">
        <is>
          <t>Built in parity round 2</t>
        </is>
      </c>
      <c r="F949" s="12" t="inlineStr">
        <is>
          <t>Owners and Admins change Notifications, Integrations, Profile, brand kit, template defaults</t>
        </is>
      </c>
      <c r="G949" s="12" t="inlineStr">
        <is>
          <t>10.08, 10.15</t>
        </is>
      </c>
      <c r="H949" s="12" t="inlineStr"/>
      <c r="I949" s="17" t="n"/>
      <c r="J949" s="17" t="n"/>
    </row>
    <row r="950">
      <c r="A950" s="12" t="inlineStr">
        <is>
          <t>Accounts Setup → Settings</t>
        </is>
      </c>
      <c r="B950" s="12" t="inlineStr">
        <is>
          <t>RW-02</t>
        </is>
      </c>
      <c r="C950" s="12" t="inlineStr">
        <is>
          <t>Who may change the studio</t>
        </is>
      </c>
      <c r="D950" s="14" t="inlineStr">
        <is>
          <t>Who may change members' roles</t>
        </is>
      </c>
      <c r="E950" s="14" t="inlineStr">
        <is>
          <t>Built in parity round 2</t>
        </is>
      </c>
      <c r="F950" s="12" t="inlineStr">
        <is>
          <t>Only an Owner makes an Owner; nobody changes their own role</t>
        </is>
      </c>
      <c r="G950" s="12" t="inlineStr">
        <is>
          <t>2.11</t>
        </is>
      </c>
      <c r="H950" s="12" t="inlineStr"/>
      <c r="I950" s="17" t="n"/>
      <c r="J950" s="17" t="n"/>
    </row>
    <row r="951">
      <c r="A951" s="12" t="inlineStr">
        <is>
          <t>Accounts Setup → Settings</t>
        </is>
      </c>
      <c r="B951" s="12" t="inlineStr">
        <is>
          <t>RW-03</t>
        </is>
      </c>
      <c r="C951" s="12" t="inlineStr">
        <is>
          <t>Who may change the studio</t>
        </is>
      </c>
      <c r="D951" s="14" t="inlineStr">
        <is>
          <t>The read-only look for other members</t>
        </is>
      </c>
      <c r="E951" s="14" t="inlineStr">
        <is>
          <t>Built in parity round 1</t>
        </is>
      </c>
      <c r="F951" s="12" t="inlineStr">
        <is>
          <t>Controls disabled, one line saying who may change them</t>
        </is>
      </c>
      <c r="G951" s="12" t="inlineStr">
        <is>
          <t>10.08</t>
        </is>
      </c>
      <c r="H951" s="12" t="inlineStr"/>
      <c r="I951" s="17" t="n"/>
      <c r="J951" s="17" t="n"/>
    </row>
    <row r="952">
      <c r="A952" s="12" t="inlineStr">
        <is>
          <t>Accounts Setup → Settings</t>
        </is>
      </c>
      <c r="B952" s="12" t="inlineStr">
        <is>
          <t>RW-04</t>
        </is>
      </c>
      <c r="C952" s="12" t="inlineStr">
        <is>
          <t>Who may change the studio</t>
        </is>
      </c>
      <c r="D952" s="14" t="inlineStr">
        <is>
          <t>The backup approver's check</t>
        </is>
      </c>
      <c r="E952" s="14" t="inlineStr">
        <is>
          <t>Built in parity round 2</t>
        </is>
      </c>
      <c r="F952" s="12" t="inlineStr">
        <is>
          <t>Must be an active member who is neither Owner nor Admin</t>
        </is>
      </c>
      <c r="G952" s="12" t="inlineStr">
        <is>
          <t>2.30</t>
        </is>
      </c>
      <c r="H952" s="12" t="inlineStr"/>
      <c r="I952" s="17" t="n"/>
      <c r="J952" s="17" t="n"/>
    </row>
    <row r="953">
      <c r="A953" s="12" t="inlineStr">
        <is>
          <t>Accounts Setup → Settings</t>
        </is>
      </c>
      <c r="B953" s="12" t="inlineStr">
        <is>
          <t>RL-01</t>
        </is>
      </c>
      <c r="C953" s="12" t="inlineStr">
        <is>
          <t>Lists and records</t>
        </is>
      </c>
      <c r="D953" s="14" t="inlineStr">
        <is>
          <t>Renaming a list entry</t>
        </is>
      </c>
      <c r="E953" s="14" t="inlineStr">
        <is>
          <t>Built in parity round 3</t>
        </is>
      </c>
      <c r="F953" s="12" t="inlineStr">
        <is>
          <t>Sources, reasons and trades rename; their records follow</t>
        </is>
      </c>
      <c r="G953" s="12" t="inlineStr">
        <is>
          <t>2.20, 2.34</t>
        </is>
      </c>
      <c r="H953" s="12" t="inlineStr"/>
      <c r="I953" s="17" t="n"/>
      <c r="J953" s="17" t="n"/>
    </row>
    <row r="954">
      <c r="A954" s="12" t="inlineStr">
        <is>
          <t>Accounts Setup → Settings</t>
        </is>
      </c>
      <c r="B954" s="12" t="inlineStr">
        <is>
          <t>RL-02</t>
        </is>
      </c>
      <c r="C954" s="12" t="inlineStr">
        <is>
          <t>Lists and records</t>
        </is>
      </c>
      <c r="D954" s="14" t="inlineStr">
        <is>
          <t>Reordering a list</t>
        </is>
      </c>
      <c r="E954" s="14" t="inlineStr">
        <is>
          <t>Built in parity round 3</t>
        </is>
      </c>
      <c r="F954" s="12" t="inlineStr">
        <is>
          <t>By "Place in the list" in the entry's box, not by drag</t>
        </is>
      </c>
      <c r="G954" s="12" t="inlineStr">
        <is>
          <t>2.19</t>
        </is>
      </c>
      <c r="H954" s="12" t="inlineStr"/>
      <c r="I954" s="17" t="n"/>
      <c r="J954" s="17" t="n"/>
    </row>
    <row r="955">
      <c r="A955" s="12" t="inlineStr">
        <is>
          <t>Accounts Setup → Settings</t>
        </is>
      </c>
      <c r="B955" s="12" t="inlineStr">
        <is>
          <t>RL-03</t>
        </is>
      </c>
      <c r="C955" s="12" t="inlineStr">
        <is>
          <t>Lists and records</t>
        </is>
      </c>
      <c r="D955" s="14" t="inlineStr">
        <is>
          <t>Removing a list entry</t>
        </is>
      </c>
      <c r="E955" s="14" t="inlineStr">
        <is>
          <t>Built in parity round 3</t>
        </is>
      </c>
      <c r="F955" s="12" t="inlineStr">
        <is>
          <t>Every remove answers with Undo</t>
        </is>
      </c>
      <c r="G955" s="12" t="inlineStr">
        <is>
          <t>2.34, 2.35</t>
        </is>
      </c>
      <c r="H955" s="12" t="inlineStr"/>
      <c r="I955" s="17" t="n"/>
      <c r="J955" s="17" t="n"/>
    </row>
    <row r="956">
      <c r="A956" s="12" t="inlineStr">
        <is>
          <t>Accounts Setup → Settings</t>
        </is>
      </c>
      <c r="B956" s="12" t="inlineStr">
        <is>
          <t>RL-04</t>
        </is>
      </c>
      <c r="C956" s="12" t="inlineStr">
        <is>
          <t>Lists and records</t>
        </is>
      </c>
      <c r="D956" s="14" t="inlineStr">
        <is>
          <t>An entity's identity</t>
        </is>
      </c>
      <c r="E956" s="14" t="inlineStr">
        <is>
          <t>Built in parity round 3</t>
        </is>
      </c>
      <c r="F956" s="12" t="inlineStr">
        <is>
          <t>Known by id; in use means retired, not removed</t>
        </is>
      </c>
      <c r="G956" s="12" t="inlineStr"/>
      <c r="H956" s="28" t="inlineStr">
        <is>
          <t>Team check</t>
        </is>
      </c>
      <c r="I956" s="17" t="n"/>
      <c r="J956" s="17" t="n"/>
    </row>
    <row r="957">
      <c r="A957" s="12" t="inlineStr">
        <is>
          <t>Accounts Setup → Settings</t>
        </is>
      </c>
      <c r="B957" s="12" t="inlineStr">
        <is>
          <t>RL-05</t>
        </is>
      </c>
      <c r="C957" s="12" t="inlineStr">
        <is>
          <t>Lists and records</t>
        </is>
      </c>
      <c r="D957" s="14" t="inlineStr">
        <is>
          <t>The intake address</t>
        </is>
      </c>
      <c r="E957" s="14" t="inlineStr">
        <is>
          <t>2.0 only</t>
        </is>
      </c>
      <c r="F957" s="12" t="inlineStr">
        <is>
          <t>Round 3 keeps the address once set</t>
        </is>
      </c>
      <c r="G957" s="12" t="inlineStr">
        <is>
          <t>2.24</t>
        </is>
      </c>
      <c r="H957" s="12" t="inlineStr"/>
      <c r="I957" s="17" t="n"/>
      <c r="J957" s="17" t="n"/>
    </row>
    <row r="958">
      <c r="A958" s="12" t="inlineStr">
        <is>
          <t>Accounts Setup → Settings</t>
        </is>
      </c>
      <c r="B958" s="12" t="inlineStr">
        <is>
          <t>AZ-01</t>
        </is>
      </c>
      <c r="C958" s="12" t="inlineStr">
        <is>
          <t>Touchpoints</t>
        </is>
      </c>
      <c r="D958" s="14" t="inlineStr">
        <is>
          <t>Price book gate, categories, tiers, approval, history</t>
        </is>
      </c>
      <c r="E958" s="14" t="inlineStr">
        <is>
          <t>Built</t>
        </is>
      </c>
      <c r="F958" s="12" t="inlineStr">
        <is>
          <t>Price book parity (REG-649…655); volume tiers declined</t>
        </is>
      </c>
      <c r="G958" s="12" t="inlineStr"/>
      <c r="H958" s="28" t="inlineStr">
        <is>
          <t>Team check</t>
        </is>
      </c>
      <c r="I958" s="17" t="n"/>
      <c r="J958" s="17" t="n"/>
    </row>
    <row r="959">
      <c r="A959" s="12" t="inlineStr">
        <is>
          <t>Accounts Setup → Settings</t>
        </is>
      </c>
      <c r="B959" s="12" t="inlineStr">
        <is>
          <t>AZ-02</t>
        </is>
      </c>
      <c r="C959" s="12" t="inlineStr">
        <is>
          <t>Touchpoints</t>
        </is>
      </c>
      <c r="D959" s="14" t="inlineStr">
        <is>
          <t>Invoice, PO and VO templates; numbering; Accounting role</t>
        </is>
      </c>
      <c r="E959" s="14" t="inlineStr">
        <is>
          <t>Built</t>
        </is>
      </c>
      <c r="F959" s="12" t="inlineStr">
        <is>
          <t>Settings › Finance: papers, Document numbers, How clients pay; Accounting role</t>
        </is>
      </c>
      <c r="G959" s="12" t="inlineStr"/>
      <c r="H959" s="28" t="inlineStr">
        <is>
          <t>Team check</t>
        </is>
      </c>
      <c r="I959" s="17" t="n"/>
      <c r="J959" s="17" t="n"/>
    </row>
    <row r="960">
      <c r="A960" s="12" t="inlineStr">
        <is>
          <t>Accounts Setup → Settings</t>
        </is>
      </c>
      <c r="B960" s="12" t="inlineStr">
        <is>
          <t>AZ-03</t>
        </is>
      </c>
      <c r="C960" s="12" t="inlineStr">
        <is>
          <t>Touchpoints</t>
        </is>
      </c>
      <c r="D960" s="14" t="inlineStr">
        <is>
          <t>Project types and timeline templates</t>
        </is>
      </c>
      <c r="E960" s="14" t="inlineStr">
        <is>
          <t>Built</t>
        </is>
      </c>
      <c r="F960" s="12" t="inlineStr">
        <is>
          <t>Company › Templates › Schedules; project types fixed at three (Projects build)</t>
        </is>
      </c>
      <c r="G960" s="12" t="inlineStr"/>
      <c r="H960" s="28" t="inlineStr">
        <is>
          <t>Team check</t>
        </is>
      </c>
      <c r="I960" s="17" t="n"/>
      <c r="J960" s="17" t="n"/>
    </row>
    <row r="961">
      <c r="A961" s="12" t="inlineStr">
        <is>
          <t>Accounts Setup → Settings</t>
        </is>
      </c>
      <c r="B961" s="12" t="inlineStr">
        <is>
          <t>AZ-04</t>
        </is>
      </c>
      <c r="C961" s="12" t="inlineStr">
        <is>
          <t>Touchpoints</t>
        </is>
      </c>
      <c r="D961" s="14" t="inlineStr">
        <is>
          <t>Branding &amp; Comms, homeowner portal, AI &amp; Copilot groups</t>
        </is>
      </c>
      <c r="E961" s="14" t="inlineStr">
        <is>
          <t>Built</t>
        </is>
      </c>
      <c r="F961" s="12" t="inlineStr">
        <is>
          <t>Brand kit and Profile’s reviews; Company › Client portal; Settings › Meetings (S14, S23)</t>
        </is>
      </c>
      <c r="G961" s="12" t="inlineStr"/>
      <c r="H961" s="28" t="inlineStr">
        <is>
          <t>Team check</t>
        </is>
      </c>
      <c r="I961" s="17" t="n"/>
      <c r="J961" s="17" t="n"/>
    </row>
    <row r="962">
      <c r="A962" s="12" t="inlineStr">
        <is>
          <t>Accounts Setup → Settings</t>
        </is>
      </c>
      <c r="B962" s="12" t="inlineStr">
        <is>
          <t>AZ-05</t>
        </is>
      </c>
      <c r="C962" s="12" t="inlineStr">
        <is>
          <t>Touchpoints</t>
        </is>
      </c>
      <c r="D962" s="14" t="inlineStr">
        <is>
          <t>The UI sweep's backlog</t>
        </is>
      </c>
      <c r="E962" s="14" t="inlineStr">
        <is>
          <t>Built</t>
        </is>
      </c>
      <c r="F962" s="12" t="inlineStr">
        <is>
          <t>Handled by the UI consistency sweep (REG-656…660)</t>
        </is>
      </c>
      <c r="G962" s="12" t="inlineStr"/>
      <c r="H962" s="28" t="inlineStr">
        <is>
          <t>Team check</t>
        </is>
      </c>
      <c r="I962" s="17" t="n"/>
      <c r="J962" s="17" t="n"/>
    </row>
    <row r="963">
      <c r="A963" s="12" t="inlineStr">
        <is>
          <t>Price book</t>
        </is>
      </c>
      <c r="B963" s="12" t="inlineStr">
        <is>
          <t>DEF-01</t>
        </is>
      </c>
      <c r="C963" s="12" t="inlineStr">
        <is>
          <t>Definitions</t>
        </is>
      </c>
      <c r="D963" s="14" t="inlineStr">
        <is>
          <t>Price book under Accounts with four tabs</t>
        </is>
      </c>
      <c r="E963" s="14" t="inlineStr">
        <is>
          <t>Built</t>
        </is>
      </c>
      <c r="F963" s="12" t="inlineStr">
        <is>
          <t>Company › Price book: My Items and My Sections</t>
        </is>
      </c>
      <c r="G963" s="12" t="inlineStr">
        <is>
          <t>3.01</t>
        </is>
      </c>
      <c r="H963" s="12" t="inlineStr"/>
      <c r="I963" s="17" t="n"/>
      <c r="J963" s="17" t="n"/>
    </row>
    <row r="964">
      <c r="A964" s="12" t="inlineStr">
        <is>
          <t>Price book</t>
        </is>
      </c>
      <c r="B964" s="12" t="inlineStr">
        <is>
          <t>DEF-02</t>
        </is>
      </c>
      <c r="C964" s="12" t="inlineStr">
        <is>
          <t>Definitions</t>
        </is>
      </c>
      <c r="D964" s="14" t="inlineStr">
        <is>
          <t>What an item carries (SKU, tiers, tags, image…)</t>
        </is>
      </c>
      <c r="E964" s="14" t="inlineStr">
        <is>
          <t>Built in parity round 3</t>
        </is>
      </c>
      <c r="F964" s="12" t="inlineStr">
        <is>
          <t>Link, photo and formatted description; no SKU, tags, notes or tiers</t>
        </is>
      </c>
      <c r="G964" s="12" t="inlineStr">
        <is>
          <t>3.03, 3.05</t>
        </is>
      </c>
      <c r="H964" s="12" t="inlineStr"/>
      <c r="I964" s="17" t="n"/>
      <c r="J964" s="17" t="n"/>
    </row>
    <row r="965">
      <c r="A965" s="12" t="inlineStr">
        <is>
          <t>Price book</t>
        </is>
      </c>
      <c r="B965" s="12" t="inlineStr">
        <is>
          <t>DEF-03</t>
        </is>
      </c>
      <c r="C965" s="12" t="inlineStr">
        <is>
          <t>Definitions</t>
        </is>
      </c>
      <c r="D965" s="14" t="inlineStr">
        <is>
          <t>Prices as sell, cost and markup %</t>
        </is>
      </c>
      <c r="E965" s="14" t="inlineStr">
        <is>
          <t>Built in parity round 1</t>
        </is>
      </c>
      <c r="F965" s="12" t="inlineStr">
        <is>
          <t>Cost + markup in S$, cents kept</t>
        </is>
      </c>
      <c r="G965" s="12" t="inlineStr">
        <is>
          <t>3.03</t>
        </is>
      </c>
      <c r="H965" s="12" t="inlineStr"/>
      <c r="I965" s="17" t="n"/>
      <c r="J965" s="17" t="n"/>
    </row>
    <row r="966">
      <c r="A966" s="12" t="inlineStr">
        <is>
          <t>Price book</t>
        </is>
      </c>
      <c r="B966" s="12" t="inlineStr">
        <is>
          <t>DEF-04</t>
        </is>
      </c>
      <c r="C966" s="12" t="inlineStr">
        <is>
          <t>Definitions</t>
        </is>
      </c>
      <c r="D966" s="14" t="inlineStr">
        <is>
          <t>Category from the studio's quote categories</t>
        </is>
      </c>
      <c r="E966" s="14" t="inlineStr">
        <is>
          <t>Built in parity round 1</t>
        </is>
      </c>
      <c r="F966" s="12" t="inlineStr"/>
      <c r="G966" s="12" t="inlineStr">
        <is>
          <t>3.04, 3.13</t>
        </is>
      </c>
      <c r="H966" s="12" t="inlineStr"/>
      <c r="I966" s="17" t="n"/>
      <c r="J966" s="17" t="n"/>
    </row>
    <row r="967">
      <c r="A967" s="12" t="inlineStr">
        <is>
          <t>Price book</t>
        </is>
      </c>
      <c r="B967" s="12" t="inlineStr">
        <is>
          <t>DEF-05</t>
        </is>
      </c>
      <c r="C967" s="12" t="inlineStr">
        <is>
          <t>Definitions</t>
        </is>
      </c>
      <c r="D967" s="14" t="inlineStr">
        <is>
          <t>Several vendors per item</t>
        </is>
      </c>
      <c r="E967" s="14" t="inlineStr">
        <is>
          <t>Built</t>
        </is>
      </c>
      <c r="F967" s="12" t="inlineStr">
        <is>
          <t>One vendor per item; two vendors make two items</t>
        </is>
      </c>
      <c r="G967" s="12" t="inlineStr">
        <is>
          <t>3.02</t>
        </is>
      </c>
      <c r="H967" s="12" t="inlineStr"/>
      <c r="I967" s="17" t="n"/>
      <c r="J967" s="17" t="n"/>
    </row>
    <row r="968">
      <c r="A968" s="12" t="inlineStr">
        <is>
          <t>Price book</t>
        </is>
      </c>
      <c r="B968" s="12" t="inlineStr">
        <is>
          <t>DEF-06</t>
        </is>
      </c>
      <c r="C968" s="12" t="inlineStr">
        <is>
          <t>Definitions</t>
        </is>
      </c>
      <c r="D968" s="14" t="inlineStr">
        <is>
          <t>Non-owners' items wait for approval</t>
        </is>
      </c>
      <c r="E968" s="14" t="inlineStr">
        <is>
          <t>Built in parity round 2</t>
        </is>
      </c>
      <c r="F968" s="12" t="inlineStr"/>
      <c r="G968" s="12" t="inlineStr">
        <is>
          <t>3.09, 10.05</t>
        </is>
      </c>
      <c r="H968" s="12" t="inlineStr"/>
      <c r="I968" s="17" t="n"/>
      <c r="J968" s="17" t="n"/>
    </row>
    <row r="969">
      <c r="A969" s="12" t="inlineStr">
        <is>
          <t>Price book</t>
        </is>
      </c>
      <c r="B969" s="12" t="inlineStr">
        <is>
          <t>DEF-07</t>
        </is>
      </c>
      <c r="C969" s="12" t="inlineStr">
        <is>
          <t>Definitions</t>
        </is>
      </c>
      <c r="D969" s="14" t="inlineStr">
        <is>
          <t>Price history</t>
        </is>
      </c>
      <c r="E969" s="14" t="inlineStr">
        <is>
          <t>Built in parity round 2</t>
        </is>
      </c>
      <c r="F969" s="12" t="inlineStr"/>
      <c r="G969" s="12" t="inlineStr">
        <is>
          <t>3.06</t>
        </is>
      </c>
      <c r="H969" s="12" t="inlineStr"/>
      <c r="I969" s="17" t="n"/>
      <c r="J969" s="17" t="n"/>
    </row>
    <row r="970">
      <c r="A970" s="12" t="inlineStr">
        <is>
          <t>Price book</t>
        </is>
      </c>
      <c r="B970" s="12" t="inlineStr">
        <is>
          <t>DEF-08</t>
        </is>
      </c>
      <c r="C970" s="12" t="inlineStr">
        <is>
          <t>Definitions</t>
        </is>
      </c>
      <c r="D970" s="14" t="inlineStr">
        <is>
          <t>Saved groups of lines (packages)</t>
        </is>
      </c>
      <c r="E970" s="14" t="inlineStr">
        <is>
          <t>Built</t>
        </is>
      </c>
      <c r="F970" s="12" t="inlineStr">
        <is>
          <t>My Sections</t>
        </is>
      </c>
      <c r="G970" s="12" t="inlineStr">
        <is>
          <t>3.16</t>
        </is>
      </c>
      <c r="H970" s="12" t="inlineStr"/>
      <c r="I970" s="17" t="n"/>
      <c r="J970" s="17" t="n"/>
    </row>
    <row r="971">
      <c r="A971" s="12" t="inlineStr">
        <is>
          <t>Price book</t>
        </is>
      </c>
      <c r="B971" s="12" t="inlineStr">
        <is>
          <t>DEF-09</t>
        </is>
      </c>
      <c r="C971" s="12" t="inlineStr">
        <is>
          <t>Definitions</t>
        </is>
      </c>
      <c r="D971" s="14" t="inlineStr">
        <is>
          <t>A quote line copied from the book</t>
        </is>
      </c>
      <c r="E971" s="14" t="inlineStr">
        <is>
          <t>Built</t>
        </is>
      </c>
      <c r="F971" s="12" t="inlineStr"/>
      <c r="G971" s="12" t="inlineStr"/>
      <c r="H971" s="28" t="inlineStr">
        <is>
          <t>Team check</t>
        </is>
      </c>
      <c r="I971" s="17" t="n"/>
      <c r="J971" s="17" t="n"/>
    </row>
    <row r="972">
      <c r="A972" s="12" t="inlineStr">
        <is>
          <t>Price book</t>
        </is>
      </c>
      <c r="B972" s="12" t="inlineStr">
        <is>
          <t>DEF-10</t>
        </is>
      </c>
      <c r="C972" s="12" t="inlineStr">
        <is>
          <t>Definitions</t>
        </is>
      </c>
      <c r="D972" s="14" t="inlineStr">
        <is>
          <t>Drift against market rates</t>
        </is>
      </c>
      <c r="E972" s="14" t="inlineStr">
        <is>
          <t>Platform</t>
        </is>
      </c>
      <c r="F972" s="12" t="inlineStr">
        <is>
          <t>Market rates are the platform's (Q-16)</t>
        </is>
      </c>
      <c r="G972" s="12" t="inlineStr"/>
      <c r="H972" s="12" t="inlineStr"/>
      <c r="I972" s="17" t="n"/>
      <c r="J972" s="17" t="n"/>
    </row>
    <row r="973">
      <c r="A973" s="12" t="inlineStr">
        <is>
          <t>Price book</t>
        </is>
      </c>
      <c r="B973" s="12" t="inlineStr">
        <is>
          <t>MM-01</t>
        </is>
      </c>
      <c r="C973" s="12" t="inlineStr">
        <is>
          <t>Mismatches</t>
        </is>
      </c>
      <c r="D973" s="14" t="inlineStr">
        <is>
          <t>Who may change the book</t>
        </is>
      </c>
      <c r="E973" s="14" t="inlineStr">
        <is>
          <t>Built in parity round 2</t>
        </is>
      </c>
      <c r="F973" s="12" t="inlineStr"/>
      <c r="G973" s="12" t="inlineStr">
        <is>
          <t>10.05</t>
        </is>
      </c>
      <c r="H973" s="12" t="inlineStr"/>
      <c r="I973" s="17" t="n"/>
      <c r="J973" s="17" t="n"/>
    </row>
    <row r="974">
      <c r="A974" s="12" t="inlineStr">
        <is>
          <t>Price book</t>
        </is>
      </c>
      <c r="B974" s="12" t="inlineStr">
        <is>
          <t>MM-02</t>
        </is>
      </c>
      <c r="C974" s="12" t="inlineStr">
        <is>
          <t>Mismatches</t>
        </is>
      </c>
      <c r="D974" s="14" t="inlineStr">
        <is>
          <t>An item's category</t>
        </is>
      </c>
      <c r="E974" s="14" t="inlineStr">
        <is>
          <t>Built in parity round 1</t>
        </is>
      </c>
      <c r="F974" s="12" t="inlineStr"/>
      <c r="G974" s="12" t="inlineStr">
        <is>
          <t>3.04</t>
        </is>
      </c>
      <c r="H974" s="12" t="inlineStr"/>
      <c r="I974" s="17" t="n"/>
      <c r="J974" s="17" t="n"/>
    </row>
    <row r="975">
      <c r="A975" s="12" t="inlineStr">
        <is>
          <t>Price book</t>
        </is>
      </c>
      <c r="B975" s="12" t="inlineStr">
        <is>
          <t>MM-03</t>
        </is>
      </c>
      <c r="C975" s="12" t="inlineStr">
        <is>
          <t>Mismatches</t>
        </is>
      </c>
      <c r="D975" s="14" t="inlineStr">
        <is>
          <t>Money boxes that take decimals</t>
        </is>
      </c>
      <c r="E975" s="14" t="inlineStr">
        <is>
          <t>Built in parity round 1</t>
        </is>
      </c>
      <c r="F975" s="12" t="inlineStr"/>
      <c r="G975" s="12" t="inlineStr">
        <is>
          <t>3.03</t>
        </is>
      </c>
      <c r="H975" s="12" t="inlineStr"/>
      <c r="I975" s="17" t="n"/>
      <c r="J975" s="17" t="n"/>
    </row>
    <row r="976">
      <c r="A976" s="12" t="inlineStr">
        <is>
          <t>Price book</t>
        </is>
      </c>
      <c r="B976" s="12" t="inlineStr">
        <is>
          <t>MM-04</t>
        </is>
      </c>
      <c r="C976" s="12" t="inlineStr">
        <is>
          <t>Mismatches</t>
        </is>
      </c>
      <c r="D976" s="14" t="inlineStr">
        <is>
          <t>Rounding a price</t>
        </is>
      </c>
      <c r="E976" s="14" t="inlineStr">
        <is>
          <t>Built in parity round 1</t>
        </is>
      </c>
      <c r="F976" s="12" t="inlineStr">
        <is>
          <t>Rates per area or length stay as typed</t>
        </is>
      </c>
      <c r="G976" s="12" t="inlineStr"/>
      <c r="H976" s="28" t="inlineStr">
        <is>
          <t>Team check</t>
        </is>
      </c>
      <c r="I976" s="17" t="n"/>
      <c r="J976" s="17" t="n"/>
    </row>
    <row r="977">
      <c r="A977" s="12" t="inlineStr">
        <is>
          <t>Price book</t>
        </is>
      </c>
      <c r="B977" s="12" t="inlineStr">
        <is>
          <t>MM-05</t>
        </is>
      </c>
      <c r="C977" s="12" t="inlineStr">
        <is>
          <t>Mismatches</t>
        </is>
      </c>
      <c r="D977" s="14" t="inlineStr">
        <is>
          <t>Imports: CSV, and PDFs or images read by AI</t>
        </is>
      </c>
      <c r="E977" s="14" t="inlineStr">
        <is>
          <t>Built in parity round 4</t>
        </is>
      </c>
      <c r="F977" s="12" t="inlineStr">
        <is>
          <t>CSV, XLSX or pasted rows; XLS, PDF and image reading not built</t>
        </is>
      </c>
      <c r="G977" s="12" t="inlineStr">
        <is>
          <t>3.12</t>
        </is>
      </c>
      <c r="H977" s="12" t="inlineStr"/>
      <c r="I977" s="17" t="n"/>
      <c r="J977" s="17" t="n"/>
    </row>
    <row r="978">
      <c r="A978" s="12" t="inlineStr">
        <is>
          <t>Price book</t>
        </is>
      </c>
      <c r="B978" s="12" t="inlineStr">
        <is>
          <t>MM-06</t>
        </is>
      </c>
      <c r="C978" s="12" t="inlineStr">
        <is>
          <t>Mismatches</t>
        </is>
      </c>
      <c r="D978" s="14" t="inlineStr">
        <is>
          <t>Saving a quote line to the book</t>
        </is>
      </c>
      <c r="E978" s="14" t="inlineStr">
        <is>
          <t>Built in parity round 3</t>
        </is>
      </c>
      <c r="F978" s="12" t="inlineStr"/>
      <c r="G978" s="12" t="inlineStr"/>
      <c r="H978" s="28" t="inlineStr">
        <is>
          <t>Team check</t>
        </is>
      </c>
      <c r="I978" s="17" t="n"/>
      <c r="J978" s="17" t="n"/>
    </row>
    <row r="979">
      <c r="A979" s="12" t="inlineStr">
        <is>
          <t>Price book</t>
        </is>
      </c>
      <c r="B979" s="12" t="inlineStr">
        <is>
          <t>PL-01</t>
        </is>
      </c>
      <c r="C979" s="12" t="inlineStr">
        <is>
          <t>The page and the list</t>
        </is>
      </c>
      <c r="D979" s="14" t="inlineStr">
        <is>
          <t>Price Book tabs: Items, Pending, Drift, Imports</t>
        </is>
      </c>
      <c r="E979" s="14" t="inlineStr">
        <is>
          <t>Built</t>
        </is>
      </c>
      <c r="F979" s="12" t="inlineStr"/>
      <c r="G979" s="12" t="inlineStr">
        <is>
          <t>3.01</t>
        </is>
      </c>
      <c r="H979" s="12" t="inlineStr"/>
      <c r="I979" s="17" t="n"/>
      <c r="J979" s="17" t="n"/>
    </row>
    <row r="980">
      <c r="A980" s="12" t="inlineStr">
        <is>
          <t>Price book</t>
        </is>
      </c>
      <c r="B980" s="12" t="inlineStr">
        <is>
          <t>PL-02</t>
        </is>
      </c>
      <c r="C980" s="12" t="inlineStr">
        <is>
          <t>The page and the list</t>
        </is>
      </c>
      <c r="D980" s="14" t="inlineStr">
        <is>
          <t>Loading every item</t>
        </is>
      </c>
      <c r="E980" s="14" t="inlineStr">
        <is>
          <t>Built</t>
        </is>
      </c>
      <c r="F980" s="12" t="inlineStr"/>
      <c r="G980" s="12" t="inlineStr">
        <is>
          <t>3.01</t>
        </is>
      </c>
      <c r="H980" s="12" t="inlineStr"/>
      <c r="I980" s="17" t="n"/>
      <c r="J980" s="17" t="n"/>
    </row>
    <row r="981">
      <c r="A981" s="12" t="inlineStr">
        <is>
          <t>Price book</t>
        </is>
      </c>
      <c r="B981" s="12" t="inlineStr">
        <is>
          <t>PL-03</t>
        </is>
      </c>
      <c r="C981" s="12" t="inlineStr">
        <is>
          <t>The page and the list</t>
        </is>
      </c>
      <c r="D981" s="14" t="inlineStr">
        <is>
          <t>Stats line with counts</t>
        </is>
      </c>
      <c r="E981" s="14" t="inlineStr">
        <is>
          <t>Built</t>
        </is>
      </c>
      <c r="F981" s="12" t="inlineStr"/>
      <c r="G981" s="12" t="inlineStr">
        <is>
          <t>3.01</t>
        </is>
      </c>
      <c r="H981" s="12" t="inlineStr"/>
      <c r="I981" s="17" t="n"/>
      <c r="J981" s="17" t="n"/>
    </row>
    <row r="982">
      <c r="A982" s="12" t="inlineStr">
        <is>
          <t>Price book</t>
        </is>
      </c>
      <c r="B982" s="12" t="inlineStr">
        <is>
          <t>PL-04</t>
        </is>
      </c>
      <c r="C982" s="12" t="inlineStr">
        <is>
          <t>The page and the list</t>
        </is>
      </c>
      <c r="D982" s="14" t="inlineStr">
        <is>
          <t>Search and filters</t>
        </is>
      </c>
      <c r="E982" s="14" t="inlineStr">
        <is>
          <t>Built in parity round 4</t>
        </is>
      </c>
      <c r="F982" s="12" t="inlineStr"/>
      <c r="G982" s="12" t="inlineStr">
        <is>
          <t>3.08</t>
        </is>
      </c>
      <c r="H982" s="12" t="inlineStr"/>
      <c r="I982" s="17" t="n"/>
      <c r="J982" s="17" t="n"/>
    </row>
    <row r="983">
      <c r="A983" s="12" t="inlineStr">
        <is>
          <t>Price book</t>
        </is>
      </c>
      <c r="B983" s="12" t="inlineStr">
        <is>
          <t>PL-05</t>
        </is>
      </c>
      <c r="C983" s="12" t="inlineStr">
        <is>
          <t>The page and the list</t>
        </is>
      </c>
      <c r="D983" s="14" t="inlineStr">
        <is>
          <t>Items grouped by category</t>
        </is>
      </c>
      <c r="E983" s="14" t="inlineStr">
        <is>
          <t>Built in parity round 4</t>
        </is>
      </c>
      <c r="F983" s="12" t="inlineStr">
        <is>
          <t>A Category filter and folders instead of collapsible groups</t>
        </is>
      </c>
      <c r="G983" s="12" t="inlineStr">
        <is>
          <t>3.08</t>
        </is>
      </c>
      <c r="H983" s="12" t="inlineStr"/>
      <c r="I983" s="17" t="n"/>
      <c r="J983" s="17" t="n"/>
    </row>
    <row r="984">
      <c r="A984" s="12" t="inlineStr">
        <is>
          <t>Price book</t>
        </is>
      </c>
      <c r="B984" s="12" t="inlineStr">
        <is>
          <t>PL-06</t>
        </is>
      </c>
      <c r="C984" s="12" t="inlineStr">
        <is>
          <t>The page and the list</t>
        </is>
      </c>
      <c r="D984" s="14" t="inlineStr">
        <is>
          <t>Sort by column</t>
        </is>
      </c>
      <c r="E984" s="14" t="inlineStr">
        <is>
          <t>Built in parity round 4</t>
        </is>
      </c>
      <c r="F984" s="12" t="inlineStr"/>
      <c r="G984" s="12" t="inlineStr">
        <is>
          <t>3.07</t>
        </is>
      </c>
      <c r="H984" s="12" t="inlineStr"/>
      <c r="I984" s="17" t="n"/>
      <c r="J984" s="17" t="n"/>
    </row>
    <row r="985">
      <c r="A985" s="12" t="inlineStr">
        <is>
          <t>Price book</t>
        </is>
      </c>
      <c r="B985" s="12" t="inlineStr">
        <is>
          <t>PL-07</t>
        </is>
      </c>
      <c r="C985" s="12" t="inlineStr">
        <is>
          <t>The page and the list</t>
        </is>
      </c>
      <c r="D985" s="14" t="inlineStr">
        <is>
          <t>Select many: archive, restore, change category</t>
        </is>
      </c>
      <c r="E985" s="14" t="inlineStr">
        <is>
          <t>Built in parity round 4</t>
        </is>
      </c>
      <c r="F985" s="12" t="inlineStr"/>
      <c r="G985" s="12" t="inlineStr">
        <is>
          <t>3.10</t>
        </is>
      </c>
      <c r="H985" s="12" t="inlineStr"/>
      <c r="I985" s="17" t="n"/>
      <c r="J985" s="17" t="n"/>
    </row>
    <row r="986">
      <c r="A986" s="12" t="inlineStr">
        <is>
          <t>Price book</t>
        </is>
      </c>
      <c r="B986" s="12" t="inlineStr">
        <is>
          <t>PL-08</t>
        </is>
      </c>
      <c r="C986" s="12" t="inlineStr">
        <is>
          <t>The page and the list</t>
        </is>
      </c>
      <c r="D986" s="14" t="inlineStr">
        <is>
          <t>Drag to reorder and re-file</t>
        </is>
      </c>
      <c r="E986" s="14" t="inlineStr">
        <is>
          <t>Not built — by design</t>
        </is>
      </c>
      <c r="F986" s="12" t="inlineStr">
        <is>
          <t>The book sorts; a category is set, not dropped (Q-15)</t>
        </is>
      </c>
      <c r="G986" s="12" t="inlineStr"/>
      <c r="H986" s="12" t="inlineStr"/>
      <c r="I986" s="17" t="n"/>
      <c r="J986" s="17" t="n"/>
    </row>
    <row r="987">
      <c r="A987" s="12" t="inlineStr">
        <is>
          <t>Price book</t>
        </is>
      </c>
      <c r="B987" s="12" t="inlineStr">
        <is>
          <t>PL-09</t>
        </is>
      </c>
      <c r="C987" s="12" t="inlineStr">
        <is>
          <t>The page and the list</t>
        </is>
      </c>
      <c r="D987" s="14" t="inlineStr">
        <is>
          <t>Archive, restore, delete permanently</t>
        </is>
      </c>
      <c r="E987" s="14" t="inlineStr">
        <is>
          <t>Built in parity round 3</t>
        </is>
      </c>
      <c r="F987" s="12" t="inlineStr"/>
      <c r="G987" s="12" t="inlineStr">
        <is>
          <t>3.14, 3.15</t>
        </is>
      </c>
      <c r="H987" s="12" t="inlineStr"/>
      <c r="I987" s="17" t="n"/>
      <c r="J987" s="17" t="n"/>
    </row>
    <row r="988">
      <c r="A988" s="12" t="inlineStr">
        <is>
          <t>Price book</t>
        </is>
      </c>
      <c r="B988" s="12" t="inlineStr">
        <is>
          <t>PL-10</t>
        </is>
      </c>
      <c r="C988" s="12" t="inlineStr">
        <is>
          <t>The page and the list</t>
        </is>
      </c>
      <c r="D988" s="14" t="inlineStr">
        <is>
          <t>The price book on a phone</t>
        </is>
      </c>
      <c r="E988" s="14" t="inlineStr">
        <is>
          <t>Built</t>
        </is>
      </c>
      <c r="F988" s="12" t="inlineStr"/>
      <c r="G988" s="12" t="inlineStr"/>
      <c r="H988" s="28" t="inlineStr">
        <is>
          <t>Team check</t>
        </is>
      </c>
      <c r="I988" s="17" t="n"/>
      <c r="J988" s="17" t="n"/>
    </row>
    <row r="989">
      <c r="A989" s="12" t="inlineStr">
        <is>
          <t>Price book</t>
        </is>
      </c>
      <c r="B989" s="12" t="inlineStr">
        <is>
          <t>IT-01</t>
        </is>
      </c>
      <c r="C989" s="12" t="inlineStr">
        <is>
          <t>An item</t>
        </is>
      </c>
      <c r="D989" s="14" t="inlineStr">
        <is>
          <t>Name, SKU and description</t>
        </is>
      </c>
      <c r="E989" s="14" t="inlineStr">
        <is>
          <t>Built in parity round 3</t>
        </is>
      </c>
      <c r="F989" s="12" t="inlineStr">
        <is>
          <t>Formatted description; no SKU (Q-08)</t>
        </is>
      </c>
      <c r="G989" s="12" t="inlineStr">
        <is>
          <t>3.03</t>
        </is>
      </c>
      <c r="H989" s="12" t="inlineStr"/>
      <c r="I989" s="17" t="n"/>
      <c r="J989" s="17" t="n"/>
    </row>
    <row r="990">
      <c r="A990" s="12" t="inlineStr">
        <is>
          <t>Price book</t>
        </is>
      </c>
      <c r="B990" s="12" t="inlineStr">
        <is>
          <t>IT-02</t>
        </is>
      </c>
      <c r="C990" s="12" t="inlineStr">
        <is>
          <t>An item</t>
        </is>
      </c>
      <c r="D990" s="14" t="inlineStr">
        <is>
          <t>Category and sub-category</t>
        </is>
      </c>
      <c r="E990" s="14" t="inlineStr">
        <is>
          <t>Built in parity round 1</t>
        </is>
      </c>
      <c r="F990" s="12" t="inlineStr">
        <is>
          <t>Category is a studio trade; no sub-categories</t>
        </is>
      </c>
      <c r="G990" s="12" t="inlineStr">
        <is>
          <t>3.04</t>
        </is>
      </c>
      <c r="H990" s="12" t="inlineStr"/>
      <c r="I990" s="17" t="n"/>
      <c r="J990" s="17" t="n"/>
    </row>
    <row r="991">
      <c r="A991" s="12" t="inlineStr">
        <is>
          <t>Price book</t>
        </is>
      </c>
      <c r="B991" s="12" t="inlineStr">
        <is>
          <t>IT-03</t>
        </is>
      </c>
      <c r="C991" s="12" t="inlineStr">
        <is>
          <t>An item</t>
        </is>
      </c>
      <c r="D991" s="14" t="inlineStr">
        <is>
          <t>Sell, cost and markup</t>
        </is>
      </c>
      <c r="E991" s="14" t="inlineStr">
        <is>
          <t>Built in parity round 1</t>
        </is>
      </c>
      <c r="F991" s="12" t="inlineStr"/>
      <c r="G991" s="12" t="inlineStr">
        <is>
          <t>3.03</t>
        </is>
      </c>
      <c r="H991" s="12" t="inlineStr"/>
      <c r="I991" s="17" t="n"/>
      <c r="J991" s="17" t="n"/>
    </row>
    <row r="992">
      <c r="A992" s="12" t="inlineStr">
        <is>
          <t>Price book</t>
        </is>
      </c>
      <c r="B992" s="12" t="inlineStr">
        <is>
          <t>IT-04</t>
        </is>
      </c>
      <c r="C992" s="12" t="inlineStr">
        <is>
          <t>An item</t>
        </is>
      </c>
      <c r="D992" s="14" t="inlineStr">
        <is>
          <t>Unit, cost type, waste %</t>
        </is>
      </c>
      <c r="E992" s="14" t="inlineStr">
        <is>
          <t>Built</t>
        </is>
      </c>
      <c r="F992" s="12" t="inlineStr">
        <is>
          <t>Unit, kind and “Waste (%)” on purchase items, added on orders (S12)</t>
        </is>
      </c>
      <c r="G992" s="12" t="inlineStr">
        <is>
          <t>3.03</t>
        </is>
      </c>
      <c r="H992" s="12" t="inlineStr"/>
      <c r="I992" s="17" t="n"/>
      <c r="J992" s="17" t="n"/>
    </row>
    <row r="993">
      <c r="A993" s="12" t="inlineStr">
        <is>
          <t>Price book</t>
        </is>
      </c>
      <c r="B993" s="12" t="inlineStr">
        <is>
          <t>IT-05</t>
        </is>
      </c>
      <c r="C993" s="12" t="inlineStr">
        <is>
          <t>An item</t>
        </is>
      </c>
      <c r="D993" s="14" t="inlineStr">
        <is>
          <t>Several vendors</t>
        </is>
      </c>
      <c r="E993" s="14" t="inlineStr">
        <is>
          <t>Built</t>
        </is>
      </c>
      <c r="F993" s="12" t="inlineStr">
        <is>
          <t>One vendor per item</t>
        </is>
      </c>
      <c r="G993" s="12" t="inlineStr">
        <is>
          <t>3.02</t>
        </is>
      </c>
      <c r="H993" s="12" t="inlineStr"/>
      <c r="I993" s="17" t="n"/>
      <c r="J993" s="17" t="n"/>
    </row>
    <row r="994">
      <c r="A994" s="12" t="inlineStr">
        <is>
          <t>Price book</t>
        </is>
      </c>
      <c r="B994" s="12" t="inlineStr">
        <is>
          <t>IT-06</t>
        </is>
      </c>
      <c r="C994" s="12" t="inlineStr">
        <is>
          <t>An item</t>
        </is>
      </c>
      <c r="D994" s="14" t="inlineStr">
        <is>
          <t>Volume price tiers</t>
        </is>
      </c>
      <c r="E994" s="14" t="inlineStr">
        <is>
          <t>Not built — by design</t>
        </is>
      </c>
      <c r="F994" s="12" t="inlineStr">
        <is>
          <t>Price a quantity break on the line or as its own item (Q-06)</t>
        </is>
      </c>
      <c r="G994" s="12" t="inlineStr"/>
      <c r="H994" s="12" t="inlineStr"/>
      <c r="I994" s="17" t="n"/>
      <c r="J994" s="17" t="n"/>
    </row>
    <row r="995">
      <c r="A995" s="12" t="inlineStr">
        <is>
          <t>Price book</t>
        </is>
      </c>
      <c r="B995" s="12" t="inlineStr">
        <is>
          <t>IT-07</t>
        </is>
      </c>
      <c r="C995" s="12" t="inlineStr">
        <is>
          <t>An item</t>
        </is>
      </c>
      <c r="D995" s="14" t="inlineStr">
        <is>
          <t>Spec link, tags, notes, image</t>
        </is>
      </c>
      <c r="E995" s="14" t="inlineStr">
        <is>
          <t>Built in parity round 3</t>
        </is>
      </c>
      <c r="F995" s="12" t="inlineStr">
        <is>
          <t>Link and photo; tags and notes not ported</t>
        </is>
      </c>
      <c r="G995" s="12" t="inlineStr">
        <is>
          <t>3.04, 3.05</t>
        </is>
      </c>
      <c r="H995" s="12" t="inlineStr"/>
      <c r="I995" s="17" t="n"/>
      <c r="J995" s="17" t="n"/>
    </row>
    <row r="996">
      <c r="A996" s="12" t="inlineStr">
        <is>
          <t>Price book</t>
        </is>
      </c>
      <c r="B996" s="12" t="inlineStr">
        <is>
          <t>IT-08</t>
        </is>
      </c>
      <c r="C996" s="12" t="inlineStr">
        <is>
          <t>An item</t>
        </is>
      </c>
      <c r="D996" s="14" t="inlineStr">
        <is>
          <t>Who may save an item</t>
        </is>
      </c>
      <c r="E996" s="14" t="inlineStr">
        <is>
          <t>Built in parity round 2</t>
        </is>
      </c>
      <c r="F996" s="12" t="inlineStr"/>
      <c r="G996" s="12" t="inlineStr"/>
      <c r="H996" s="28" t="inlineStr">
        <is>
          <t>Team check</t>
        </is>
      </c>
      <c r="I996" s="17" t="n"/>
      <c r="J996" s="17" t="n"/>
    </row>
    <row r="997">
      <c r="A997" s="12" t="inlineStr">
        <is>
          <t>Price book</t>
        </is>
      </c>
      <c r="B997" s="12" t="inlineStr">
        <is>
          <t>AH-01</t>
        </is>
      </c>
      <c r="C997" s="12" t="inlineStr">
        <is>
          <t>Approval and history</t>
        </is>
      </c>
      <c r="D997" s="14" t="inlineStr">
        <is>
          <t>Owners and admins trusted; others' items wait</t>
        </is>
      </c>
      <c r="E997" s="14" t="inlineStr">
        <is>
          <t>Built in parity round 2</t>
        </is>
      </c>
      <c r="F997" s="12" t="inlineStr"/>
      <c r="G997" s="12" t="inlineStr">
        <is>
          <t>3.09, 10.05</t>
        </is>
      </c>
      <c r="H997" s="12" t="inlineStr"/>
      <c r="I997" s="17" t="n"/>
      <c r="J997" s="17" t="n"/>
    </row>
    <row r="998">
      <c r="A998" s="12" t="inlineStr">
        <is>
          <t>Price book</t>
        </is>
      </c>
      <c r="B998" s="12" t="inlineStr">
        <is>
          <t>AH-02</t>
        </is>
      </c>
      <c r="C998" s="12" t="inlineStr">
        <is>
          <t>Approval and history</t>
        </is>
      </c>
      <c r="D998" s="14" t="inlineStr">
        <is>
          <t>How a pending item may be used</t>
        </is>
      </c>
      <c r="E998" s="14" t="inlineStr">
        <is>
          <t>Built in parity round 2</t>
        </is>
      </c>
      <c r="F998" s="12" t="inlineStr">
        <is>
          <t>Only its proposer uses it until approved</t>
        </is>
      </c>
      <c r="G998" s="12" t="inlineStr">
        <is>
          <t>3.09, 10.05</t>
        </is>
      </c>
      <c r="H998" s="12" t="inlineStr"/>
      <c r="I998" s="17" t="n"/>
      <c r="J998" s="17" t="n"/>
    </row>
    <row r="999">
      <c r="A999" s="12" t="inlineStr">
        <is>
          <t>Price book</t>
        </is>
      </c>
      <c r="B999" s="12" t="inlineStr">
        <is>
          <t>AH-03</t>
        </is>
      </c>
      <c r="C999" s="12" t="inlineStr">
        <is>
          <t>Approval and history</t>
        </is>
      </c>
      <c r="D999" s="14" t="inlineStr">
        <is>
          <t>Pending tab: approve or reject</t>
        </is>
      </c>
      <c r="E999" s="14" t="inlineStr">
        <is>
          <t>Built in parity round 2</t>
        </is>
      </c>
      <c r="F999" s="12" t="inlineStr"/>
      <c r="G999" s="12" t="inlineStr">
        <is>
          <t>10.13</t>
        </is>
      </c>
      <c r="H999" s="12" t="inlineStr"/>
      <c r="I999" s="17" t="n"/>
      <c r="J999" s="17" t="n"/>
    </row>
    <row r="1000">
      <c r="A1000" s="12" t="inlineStr">
        <is>
          <t>Price book</t>
        </is>
      </c>
      <c r="B1000" s="12" t="inlineStr">
        <is>
          <t>AH-04</t>
        </is>
      </c>
      <c r="C1000" s="12" t="inlineStr">
        <is>
          <t>Approval and history</t>
        </is>
      </c>
      <c r="D1000" s="14" t="inlineStr">
        <is>
          <t>Approving by editing</t>
        </is>
      </c>
      <c r="E1000" s="14" t="inlineStr">
        <is>
          <t>Built in parity round 2</t>
        </is>
      </c>
      <c r="F1000" s="12" t="inlineStr">
        <is>
          <t>Approval is a deliberate press, never an edit</t>
        </is>
      </c>
      <c r="G1000" s="12" t="inlineStr"/>
      <c r="H1000" s="28" t="inlineStr">
        <is>
          <t>Team check</t>
        </is>
      </c>
      <c r="I1000" s="17" t="n"/>
      <c r="J1000" s="17" t="n"/>
    </row>
    <row r="1001">
      <c r="A1001" s="12" t="inlineStr">
        <is>
          <t>Price book</t>
        </is>
      </c>
      <c r="B1001" s="12" t="inlineStr">
        <is>
          <t>AH-05</t>
        </is>
      </c>
      <c r="C1001" s="12" t="inlineStr">
        <is>
          <t>Approval and history</t>
        </is>
      </c>
      <c r="D1001" s="14" t="inlineStr">
        <is>
          <t>Tasks and notices about approvals</t>
        </is>
      </c>
      <c r="E1001" s="14" t="inlineStr">
        <is>
          <t>Built in parity round 2</t>
        </is>
      </c>
      <c r="F1001" s="12" t="inlineStr">
        <is>
          <t>In the bell, with the note</t>
        </is>
      </c>
      <c r="G1001" s="12" t="inlineStr">
        <is>
          <t>10.11</t>
        </is>
      </c>
      <c r="H1001" s="12" t="inlineStr"/>
      <c r="I1001" s="17" t="n"/>
      <c r="J1001" s="17" t="n"/>
    </row>
    <row r="1002">
      <c r="A1002" s="12" t="inlineStr">
        <is>
          <t>Price book</t>
        </is>
      </c>
      <c r="B1002" s="12" t="inlineStr">
        <is>
          <t>AH-06</t>
        </is>
      </c>
      <c r="C1002" s="12" t="inlineStr">
        <is>
          <t>Approval and history</t>
        </is>
      </c>
      <c r="D1002" s="14" t="inlineStr">
        <is>
          <t>Price book approvers setting</t>
        </is>
      </c>
      <c r="E1002" s="14" t="inlineStr">
        <is>
          <t>Dead</t>
        </is>
      </c>
      <c r="F1002" s="12" t="inlineStr">
        <is>
          <t>Only its first name was read; Owners and Admins approve</t>
        </is>
      </c>
      <c r="G1002" s="12" t="inlineStr"/>
      <c r="H1002" s="12" t="inlineStr"/>
      <c r="I1002" s="17" t="n"/>
      <c r="J1002" s="17" t="n"/>
    </row>
    <row r="1003">
      <c r="A1003" s="12" t="inlineStr">
        <is>
          <t>Price book</t>
        </is>
      </c>
      <c r="B1003" s="12" t="inlineStr">
        <is>
          <t>AH-07</t>
        </is>
      </c>
      <c r="C1003" s="12" t="inlineStr">
        <is>
          <t>Approval and history</t>
        </is>
      </c>
      <c r="D1003" s="14" t="inlineStr">
        <is>
          <t>Item history</t>
        </is>
      </c>
      <c r="E1003" s="14" t="inlineStr">
        <is>
          <t>Built in parity round 2</t>
        </is>
      </c>
      <c r="F1003" s="12" t="inlineStr"/>
      <c r="G1003" s="12" t="inlineStr">
        <is>
          <t>3.06</t>
        </is>
      </c>
      <c r="H1003" s="12" t="inlineStr"/>
      <c r="I1003" s="17" t="n"/>
      <c r="J1003" s="17" t="n"/>
    </row>
    <row r="1004">
      <c r="A1004" s="12" t="inlineStr">
        <is>
          <t>Price book</t>
        </is>
      </c>
      <c r="B1004" s="12" t="inlineStr">
        <is>
          <t>IE-01</t>
        </is>
      </c>
      <c r="C1004" s="12" t="inlineStr">
        <is>
          <t>Imports and exports</t>
        </is>
      </c>
      <c r="D1004" s="14" t="inlineStr">
        <is>
          <t>Import sources: CSV, PDF, image, Excel</t>
        </is>
      </c>
      <c r="E1004" s="14" t="inlineStr">
        <is>
          <t>Built in parity round 4</t>
        </is>
      </c>
      <c r="F1004" s="12" t="inlineStr">
        <is>
          <t>CSV, XLSX or pasted rows; XLS, PDFs and images not read</t>
        </is>
      </c>
      <c r="G1004" s="12" t="inlineStr">
        <is>
          <t>3.12</t>
        </is>
      </c>
      <c r="H1004" s="12" t="inlineStr"/>
      <c r="I1004" s="17" t="n"/>
      <c r="J1004" s="17" t="n"/>
    </row>
    <row r="1005">
      <c r="A1005" s="12" t="inlineStr">
        <is>
          <t>Price book</t>
        </is>
      </c>
      <c r="B1005" s="12" t="inlineStr">
        <is>
          <t>IE-02</t>
        </is>
      </c>
      <c r="C1005" s="12" t="inlineStr">
        <is>
          <t>Imports and exports</t>
        </is>
      </c>
      <c r="D1005" s="14" t="inlineStr">
        <is>
          <t>Mapping columns to fields</t>
        </is>
      </c>
      <c r="E1005" s="14" t="inlineStr">
        <is>
          <t>Built in parity round 4</t>
        </is>
      </c>
      <c r="F1005" s="12" t="inlineStr"/>
      <c r="G1005" s="12" t="inlineStr">
        <is>
          <t>3.12</t>
        </is>
      </c>
      <c r="H1005" s="12" t="inlineStr"/>
      <c r="I1005" s="17" t="n"/>
      <c r="J1005" s="17" t="n"/>
    </row>
    <row r="1006">
      <c r="A1006" s="12" t="inlineStr">
        <is>
          <t>Price book</t>
        </is>
      </c>
      <c r="B1006" s="12" t="inlineStr">
        <is>
          <t>IE-03</t>
        </is>
      </c>
      <c r="C1006" s="12" t="inlineStr">
        <is>
          <t>Imports and exports</t>
        </is>
      </c>
      <c r="D1006" s="14" t="inlineStr">
        <is>
          <t>Reading numbers in a sheet</t>
        </is>
      </c>
      <c r="E1006" s="14" t="inlineStr">
        <is>
          <t>Built</t>
        </is>
      </c>
      <c r="F1006" s="12" t="inlineStr"/>
      <c r="G1006" s="12" t="inlineStr">
        <is>
          <t>3.13</t>
        </is>
      </c>
      <c r="H1006" s="12" t="inlineStr"/>
      <c r="I1006" s="17" t="n"/>
      <c r="J1006" s="17" t="n"/>
    </row>
    <row r="1007">
      <c r="A1007" s="12" t="inlineStr">
        <is>
          <t>Price book</t>
        </is>
      </c>
      <c r="B1007" s="12" t="inlineStr">
        <is>
          <t>IE-04</t>
        </is>
      </c>
      <c r="C1007" s="12" t="inlineStr">
        <is>
          <t>Imports and exports</t>
        </is>
      </c>
      <c r="D1007" s="14" t="inlineStr">
        <is>
          <t>Duplicates and updates on import</t>
        </is>
      </c>
      <c r="E1007" s="14" t="inlineStr">
        <is>
          <t>Built in parity round 4</t>
        </is>
      </c>
      <c r="F1007" s="12" t="inlineStr"/>
      <c r="G1007" s="12" t="inlineStr">
        <is>
          <t>3.12</t>
        </is>
      </c>
      <c r="H1007" s="12" t="inlineStr"/>
      <c r="I1007" s="17" t="n"/>
      <c r="J1007" s="17" t="n"/>
    </row>
    <row r="1008">
      <c r="A1008" s="12" t="inlineStr">
        <is>
          <t>Price book</t>
        </is>
      </c>
      <c r="B1008" s="12" t="inlineStr">
        <is>
          <t>IE-05</t>
        </is>
      </c>
      <c r="C1008" s="12" t="inlineStr">
        <is>
          <t>Imports and exports</t>
        </is>
      </c>
      <c r="D1008" s="14" t="inlineStr">
        <is>
          <t>How the import writes rows</t>
        </is>
      </c>
      <c r="E1008" s="14" t="inlineStr">
        <is>
          <t>Built in parity round 4</t>
        </is>
      </c>
      <c r="F1008" s="12" t="inlineStr"/>
      <c r="G1008" s="12" t="inlineStr">
        <is>
          <t>3.13</t>
        </is>
      </c>
      <c r="H1008" s="12" t="inlineStr"/>
      <c r="I1008" s="17" t="n"/>
      <c r="J1008" s="17" t="n"/>
    </row>
    <row r="1009">
      <c r="A1009" s="12" t="inlineStr">
        <is>
          <t>Price book</t>
        </is>
      </c>
      <c r="B1009" s="12" t="inlineStr">
        <is>
          <t>IE-06</t>
        </is>
      </c>
      <c r="C1009" s="12" t="inlineStr">
        <is>
          <t>Imports and exports</t>
        </is>
      </c>
      <c r="D1009" s="14" t="inlineStr">
        <is>
          <t>Export to CSV</t>
        </is>
      </c>
      <c r="E1009" s="14" t="inlineStr">
        <is>
          <t>Built in parity round 4</t>
        </is>
      </c>
      <c r="F1009" s="12" t="inlineStr"/>
      <c r="G1009" s="12" t="inlineStr">
        <is>
          <t>3.11</t>
        </is>
      </c>
      <c r="H1009" s="12" t="inlineStr"/>
      <c r="I1009" s="17" t="n"/>
      <c r="J1009" s="17" t="n"/>
    </row>
    <row r="1010">
      <c r="A1010" s="12" t="inlineStr">
        <is>
          <t>Price book</t>
        </is>
      </c>
      <c r="B1010" s="12" t="inlineStr">
        <is>
          <t>IE-07</t>
        </is>
      </c>
      <c r="C1010" s="12" t="inlineStr">
        <is>
          <t>Imports and exports</t>
        </is>
      </c>
      <c r="D1010" s="14" t="inlineStr">
        <is>
          <t>Vendor default markup</t>
        </is>
      </c>
      <c r="E1010" s="14" t="inlineStr">
        <is>
          <t>Built in parity round 4</t>
        </is>
      </c>
      <c r="F1010" s="12" t="inlineStr">
        <is>
          <t>Bulk “Set markup” re-prices items; Finance › Vendors keep no markup</t>
        </is>
      </c>
      <c r="G1010" s="12" t="inlineStr">
        <is>
          <t>3.10</t>
        </is>
      </c>
      <c r="H1010" s="12" t="inlineStr"/>
      <c r="I1010" s="17" t="n"/>
      <c r="J1010" s="17" t="n"/>
    </row>
    <row r="1011">
      <c r="A1011" s="12" t="inlineStr">
        <is>
          <t>Price book</t>
        </is>
      </c>
      <c r="B1011" s="12" t="inlineStr">
        <is>
          <t>IE-08</t>
        </is>
      </c>
      <c r="C1011" s="12" t="inlineStr">
        <is>
          <t>Imports and exports</t>
        </is>
      </c>
      <c r="D1011" s="14" t="inlineStr">
        <is>
          <t>Quote Categories importer</t>
        </is>
      </c>
      <c r="E1011" s="14" t="inlineStr">
        <is>
          <t>Built</t>
        </is>
      </c>
      <c r="F1011" s="12" t="inlineStr"/>
      <c r="G1011" s="12" t="inlineStr"/>
      <c r="H1011" s="28" t="inlineStr">
        <is>
          <t>Team check</t>
        </is>
      </c>
      <c r="I1011" s="17" t="n"/>
      <c r="J1011" s="17" t="n"/>
    </row>
    <row r="1012">
      <c r="A1012" s="12" t="inlineStr">
        <is>
          <t>Price book</t>
        </is>
      </c>
      <c r="B1012" s="12" t="inlineStr">
        <is>
          <t>QU-01</t>
        </is>
      </c>
      <c r="C1012" s="12" t="inlineStr">
        <is>
          <t>The book inside a quote</t>
        </is>
      </c>
      <c r="D1012" s="14" t="inlineStr">
        <is>
          <t>Typeahead and Browse in a quote</t>
        </is>
      </c>
      <c r="E1012" s="14" t="inlineStr">
        <is>
          <t>Built in parity round 3</t>
        </is>
      </c>
      <c r="F1012" s="12" t="inlineStr"/>
      <c r="G1012" s="12" t="inlineStr">
        <is>
          <t>6.05</t>
        </is>
      </c>
      <c r="H1012" s="12" t="inlineStr"/>
      <c r="I1012" s="17" t="n"/>
      <c r="J1012" s="17" t="n"/>
    </row>
    <row r="1013">
      <c r="A1013" s="12" t="inlineStr">
        <is>
          <t>Price book</t>
        </is>
      </c>
      <c r="B1013" s="12" t="inlineStr">
        <is>
          <t>QU-02</t>
        </is>
      </c>
      <c r="C1013" s="12" t="inlineStr">
        <is>
          <t>The book inside a quote</t>
        </is>
      </c>
      <c r="D1013" s="14" t="inlineStr">
        <is>
          <t>What picking an item copies</t>
        </is>
      </c>
      <c r="E1013" s="14" t="inlineStr">
        <is>
          <t>Built</t>
        </is>
      </c>
      <c r="F1013" s="12" t="inlineStr"/>
      <c r="G1013" s="12" t="inlineStr">
        <is>
          <t>6.05</t>
        </is>
      </c>
      <c r="H1013" s="12" t="inlineStr"/>
      <c r="I1013" s="17" t="n"/>
      <c r="J1013" s="17" t="n"/>
    </row>
    <row r="1014">
      <c r="A1014" s="12" t="inlineStr">
        <is>
          <t>Price book</t>
        </is>
      </c>
      <c r="B1014" s="12" t="inlineStr">
        <is>
          <t>QU-03</t>
        </is>
      </c>
      <c r="C1014" s="12" t="inlineStr">
        <is>
          <t>The book inside a quote</t>
        </is>
      </c>
      <c r="D1014" s="14" t="inlineStr">
        <is>
          <t>Picking an item marks it edited</t>
        </is>
      </c>
      <c r="E1014" s="14" t="inlineStr">
        <is>
          <t>Built in parity round 1</t>
        </is>
      </c>
      <c r="F1014" s="12" t="inlineStr">
        <is>
          <t>A 2.0 slip, fixed: a pick no longer marks it edited</t>
        </is>
      </c>
      <c r="G1014" s="12" t="inlineStr"/>
      <c r="H1014" s="28" t="inlineStr">
        <is>
          <t>Team check</t>
        </is>
      </c>
      <c r="I1014" s="17" t="n"/>
      <c r="J1014" s="17" t="n"/>
    </row>
    <row r="1015">
      <c r="A1015" s="12" t="inlineStr">
        <is>
          <t>Price book</t>
        </is>
      </c>
      <c r="B1015" s="12" t="inlineStr">
        <is>
          <t>QU-04</t>
        </is>
      </c>
      <c r="C1015" s="12" t="inlineStr">
        <is>
          <t>The book inside a quote</t>
        </is>
      </c>
      <c r="D1015" s="14" t="inlineStr">
        <is>
          <t>Also save a line to the price book</t>
        </is>
      </c>
      <c r="E1015" s="14" t="inlineStr">
        <is>
          <t>Built in parity round 3</t>
        </is>
      </c>
      <c r="F1015" s="12" t="inlineStr"/>
      <c r="G1015" s="12" t="inlineStr"/>
      <c r="H1015" s="28" t="inlineStr">
        <is>
          <t>Team check</t>
        </is>
      </c>
      <c r="I1015" s="17" t="n"/>
      <c r="J1015" s="17" t="n"/>
    </row>
    <row r="1016">
      <c r="A1016" s="12" t="inlineStr">
        <is>
          <t>Price book</t>
        </is>
      </c>
      <c r="B1016" s="12" t="inlineStr">
        <is>
          <t>QU-05</t>
        </is>
      </c>
      <c r="C1016" s="12" t="inlineStr">
        <is>
          <t>The book inside a quote</t>
        </is>
      </c>
      <c r="D1016" s="14" t="inlineStr">
        <is>
          <t>Rounding a price on its way into a quote</t>
        </is>
      </c>
      <c r="E1016" s="14" t="inlineStr">
        <is>
          <t>Built in parity round 1</t>
        </is>
      </c>
      <c r="F1016" s="12" t="inlineStr"/>
      <c r="G1016" s="12" t="inlineStr"/>
      <c r="H1016" s="28" t="inlineStr">
        <is>
          <t>Team check</t>
        </is>
      </c>
      <c r="I1016" s="17" t="n"/>
      <c r="J1016" s="17" t="n"/>
    </row>
    <row r="1017">
      <c r="A1017" s="12" t="inlineStr">
        <is>
          <t>Price book</t>
        </is>
      </c>
      <c r="B1017" s="12" t="inlineStr">
        <is>
          <t>QU-06</t>
        </is>
      </c>
      <c r="C1017" s="12" t="inlineStr">
        <is>
          <t>The book inside a quote</t>
        </is>
      </c>
      <c r="D1017" s="14" t="inlineStr">
        <is>
          <t>GST on lines taken from the book</t>
        </is>
      </c>
      <c r="E1017" s="14" t="inlineStr">
        <is>
          <t>Built in parity round 3</t>
        </is>
      </c>
      <c r="F1017" s="12" t="inlineStr"/>
      <c r="G1017" s="12" t="inlineStr"/>
      <c r="H1017" s="28" t="inlineStr">
        <is>
          <t>Team check</t>
        </is>
      </c>
      <c r="I1017" s="17" t="n"/>
      <c r="J1017" s="17" t="n"/>
    </row>
    <row r="1018">
      <c r="A1018" s="12" t="inlineStr">
        <is>
          <t>Price book</t>
        </is>
      </c>
      <c r="B1018" s="12" t="inlineStr">
        <is>
          <t>QU-07</t>
        </is>
      </c>
      <c r="C1018" s="12" t="inlineStr">
        <is>
          <t>The book inside a quote</t>
        </is>
      </c>
      <c r="D1018" s="14" t="inlineStr">
        <is>
          <t>Packages into a quote</t>
        </is>
      </c>
      <c r="E1018" s="14" t="inlineStr">
        <is>
          <t>Built in parity round 3</t>
        </is>
      </c>
      <c r="F1018" s="12" t="inlineStr"/>
      <c r="G1018" s="12" t="inlineStr">
        <is>
          <t>3.16</t>
        </is>
      </c>
      <c r="H1018" s="12" t="inlineStr"/>
      <c r="I1018" s="17" t="n"/>
      <c r="J1018" s="17" t="n"/>
    </row>
    <row r="1019">
      <c r="A1019" s="12" t="inlineStr">
        <is>
          <t>Price book</t>
        </is>
      </c>
      <c r="B1019" s="12" t="inlineStr">
        <is>
          <t>QU-08</t>
        </is>
      </c>
      <c r="C1019" s="12" t="inlineStr">
        <is>
          <t>The book inside a quote</t>
        </is>
      </c>
      <c r="D1019" s="14" t="inlineStr">
        <is>
          <t>Auto-match, AI suggestions, smart search</t>
        </is>
      </c>
      <c r="E1019" s="14" t="inlineStr">
        <is>
          <t>Built</t>
        </is>
      </c>
      <c r="F1019" s="12" t="inlineStr">
        <is>
          <t>“Match N lines” to My Items by rule, new items offered (S12); no AI search</t>
        </is>
      </c>
      <c r="G1019" s="12" t="inlineStr"/>
      <c r="H1019" s="28" t="inlineStr">
        <is>
          <t>Team check</t>
        </is>
      </c>
      <c r="I1019" s="17" t="n"/>
      <c r="J1019" s="17" t="n"/>
    </row>
    <row r="1020">
      <c r="A1020" s="12" t="inlineStr">
        <is>
          <t>Price book</t>
        </is>
      </c>
      <c r="B1020" s="12" t="inlineStr">
        <is>
          <t>AR-01</t>
        </is>
      </c>
      <c r="C1020" s="12" t="inlineStr">
        <is>
          <t>Around the book</t>
        </is>
      </c>
      <c r="D1020" s="14" t="inlineStr">
        <is>
          <t>Server checks on price-book actions</t>
        </is>
      </c>
      <c r="E1020" s="14" t="inlineStr">
        <is>
          <t>Built in parity round 2</t>
        </is>
      </c>
      <c r="F1020" s="12" t="inlineStr"/>
      <c r="G1020" s="12" t="inlineStr">
        <is>
          <t>10.13</t>
        </is>
      </c>
      <c r="H1020" s="12" t="inlineStr"/>
      <c r="I1020" s="17" t="n"/>
      <c r="J1020" s="17" t="n"/>
    </row>
    <row r="1021">
      <c r="A1021" s="12" t="inlineStr">
        <is>
          <t>Price book</t>
        </is>
      </c>
      <c r="B1021" s="12" t="inlineStr">
        <is>
          <t>AR-02</t>
        </is>
      </c>
      <c r="C1021" s="12" t="inlineStr">
        <is>
          <t>Around the book</t>
        </is>
      </c>
      <c r="D1021" s="14" t="inlineStr">
        <is>
          <t>Who can open the price book</t>
        </is>
      </c>
      <c r="E1021" s="14" t="inlineStr">
        <is>
          <t>Built</t>
        </is>
      </c>
      <c r="F1021" s="12" t="inlineStr"/>
      <c r="G1021" s="12" t="inlineStr">
        <is>
          <t>3.01</t>
        </is>
      </c>
      <c r="H1021" s="12" t="inlineStr"/>
      <c r="I1021" s="17" t="n"/>
      <c r="J1021" s="17" t="n"/>
    </row>
    <row r="1022">
      <c r="A1022" s="12" t="inlineStr">
        <is>
          <t>Price book</t>
        </is>
      </c>
      <c r="B1022" s="12" t="inlineStr">
        <is>
          <t>AR-03</t>
        </is>
      </c>
      <c r="C1022" s="12" t="inlineStr">
        <is>
          <t>Around the book</t>
        </is>
      </c>
      <c r="D1022" s="14" t="inlineStr">
        <is>
          <t>Price-book notifications</t>
        </is>
      </c>
      <c r="E1022" s="14" t="inlineStr">
        <is>
          <t>Built in parity round 2</t>
        </is>
      </c>
      <c r="F1022" s="12" t="inlineStr">
        <is>
          <t>Proposals in the bell; drift alerts are the platform's</t>
        </is>
      </c>
      <c r="G1022" s="12" t="inlineStr">
        <is>
          <t>10.11, 10.13</t>
        </is>
      </c>
      <c r="H1022" s="12" t="inlineStr"/>
      <c r="I1022" s="17" t="n"/>
      <c r="J1022" s="17" t="n"/>
    </row>
    <row r="1023">
      <c r="A1023" s="12" t="inlineStr">
        <is>
          <t>Price book</t>
        </is>
      </c>
      <c r="B1023" s="12" t="inlineStr">
        <is>
          <t>AR-04</t>
        </is>
      </c>
      <c r="C1023" s="12" t="inlineStr">
        <is>
          <t>Around the book</t>
        </is>
      </c>
      <c r="D1023" s="14" t="inlineStr">
        <is>
          <t>Market rates, drift, seeding, crowd prices</t>
        </is>
      </c>
      <c r="E1023" s="14" t="inlineStr">
        <is>
          <t>Platform</t>
        </is>
      </c>
      <c r="F1023" s="12" t="inlineStr">
        <is>
          <t>The platform's (Q-16)</t>
        </is>
      </c>
      <c r="G1023" s="12" t="inlineStr"/>
      <c r="H1023" s="12" t="inlineStr"/>
      <c r="I1023" s="17" t="n"/>
      <c r="J1023" s="17" t="n"/>
    </row>
    <row r="1024">
      <c r="A1024" s="12" t="inlineStr">
        <is>
          <t>Price book</t>
        </is>
      </c>
      <c r="B1024" s="12" t="inlineStr">
        <is>
          <t>AR-05</t>
        </is>
      </c>
      <c r="C1024" s="12" t="inlineStr">
        <is>
          <t>Around the book</t>
        </is>
      </c>
      <c r="D1024" s="14" t="inlineStr">
        <is>
          <t>AI around the book</t>
        </is>
      </c>
      <c r="E1024" s="14" t="inlineStr">
        <is>
          <t>Platform</t>
        </is>
      </c>
      <c r="F1024" s="12" t="inlineStr">
        <is>
          <t>Draft with Maison AI reads the book by rule (S04); models stay the platform’s</t>
        </is>
      </c>
      <c r="G1024" s="12" t="inlineStr"/>
      <c r="H1024" s="12" t="inlineStr"/>
      <c r="I1024" s="17" t="n"/>
      <c r="J1024" s="17" t="n"/>
    </row>
    <row r="1025">
      <c r="A1025" s="12" t="inlineStr">
        <is>
          <t>Price book</t>
        </is>
      </c>
      <c r="B1025" s="12" t="inlineStr">
        <is>
          <t>AR-06</t>
        </is>
      </c>
      <c r="C1025" s="12" t="inlineStr">
        <is>
          <t>Around the book</t>
        </is>
      </c>
      <c r="D1025" s="14" t="inlineStr">
        <is>
          <t>The book's rows in Who may do what</t>
        </is>
      </c>
      <c r="E1025" s="14" t="inlineStr">
        <is>
          <t>Built in parity round 2</t>
        </is>
      </c>
      <c r="F1025" s="12" t="inlineStr">
        <is>
          <t>2.0's Settings table now lists the book's actions</t>
        </is>
      </c>
      <c r="G1025" s="12" t="inlineStr">
        <is>
          <t>2.16</t>
        </is>
      </c>
      <c r="H1025" s="12" t="inlineStr"/>
      <c r="I1025" s="17" t="n"/>
      <c r="J1025" s="17" t="n"/>
    </row>
    <row r="1026">
      <c r="A1026" s="12" t="inlineStr">
        <is>
          <t>Price book</t>
        </is>
      </c>
      <c r="B1026" s="12" t="inlineStr">
        <is>
          <t>PZ-01</t>
        </is>
      </c>
      <c r="C1026" s="12" t="inlineStr">
        <is>
          <t>Touchpoints</t>
        </is>
      </c>
      <c r="D1026" s="14" t="inlineStr">
        <is>
          <t>Purchase orders, waste, Finance vendors</t>
        </is>
      </c>
      <c r="E1026" s="14" t="inlineStr">
        <is>
          <t>Built</t>
        </is>
      </c>
      <c r="F1026" s="12" t="inlineStr">
        <is>
          <t>Orders from the quote add each item’s waste; vendors from Finance › Vendors (S12)</t>
        </is>
      </c>
      <c r="G1026" s="12" t="inlineStr"/>
      <c r="H1026" s="28" t="inlineStr">
        <is>
          <t>Team check</t>
        </is>
      </c>
      <c r="I1026" s="17" t="n"/>
      <c r="J1026" s="17" t="n"/>
    </row>
    <row r="1027">
      <c r="A1027" s="12" t="inlineStr">
        <is>
          <t>Price book</t>
        </is>
      </c>
      <c r="B1027" s="12" t="inlineStr">
        <is>
          <t>PZ-02</t>
        </is>
      </c>
      <c r="C1027" s="12" t="inlineStr">
        <is>
          <t>Touchpoints</t>
        </is>
      </c>
      <c r="D1027" s="14" t="inlineStr">
        <is>
          <t>Quote rules and Starter Quote</t>
        </is>
      </c>
      <c r="E1027" s="14" t="inlineStr">
        <is>
          <t>Later</t>
        </is>
      </c>
      <c r="F1027" s="12" t="inlineStr">
        <is>
          <t>Held (templates Q-07)</t>
        </is>
      </c>
      <c r="G1027" s="12" t="inlineStr"/>
      <c r="H1027" s="12" t="inlineStr"/>
      <c r="I1027" s="17" t="n"/>
      <c r="J1027" s="17" t="n"/>
    </row>
    <row r="1028">
      <c r="A1028" s="12" t="inlineStr">
        <is>
          <t>Price book</t>
        </is>
      </c>
      <c r="B1028" s="12" t="inlineStr">
        <is>
          <t>PZ-03</t>
        </is>
      </c>
      <c r="C1028" s="12" t="inlineStr">
        <is>
          <t>Touchpoints</t>
        </is>
      </c>
      <c r="D1028" s="14" t="inlineStr">
        <is>
          <t>Price snapshots on quote lines</t>
        </is>
      </c>
      <c r="E1028" s="14" t="inlineStr">
        <is>
          <t>Dead</t>
        </is>
      </c>
      <c r="F1028" s="12" t="inlineStr">
        <is>
          <t>Written, never read (quote editor QP-15)</t>
        </is>
      </c>
      <c r="G1028" s="12" t="inlineStr"/>
      <c r="H1028" s="12" t="inlineStr"/>
      <c r="I1028" s="17" t="n"/>
      <c r="J1028" s="17" t="n"/>
    </row>
    <row r="1029">
      <c r="A1029" s="12" t="inlineStr">
        <is>
          <t>Price book</t>
        </is>
      </c>
      <c r="B1029" s="12" t="inlineStr">
        <is>
          <t>PZ-04</t>
        </is>
      </c>
      <c r="C1029" s="12" t="inlineStr">
        <is>
          <t>Touchpoints</t>
        </is>
      </c>
      <c r="D1029" s="14" t="inlineStr">
        <is>
          <t>The UI sweep's backlog</t>
        </is>
      </c>
      <c r="E1029" s="14" t="inlineStr">
        <is>
          <t>Excluded</t>
        </is>
      </c>
      <c r="F1029" s="12" t="inlineStr">
        <is>
          <t>Fixed in the UI consistency sweep (REG-659)</t>
        </is>
      </c>
      <c r="G1029" s="12" t="inlineStr"/>
      <c r="H1029" s="12" t="inlineStr"/>
      <c r="I1029" s="17" t="n"/>
      <c r="J1029" s="17" t="n"/>
    </row>
    <row r="1030">
      <c r="A1030" s="12" t="inlineStr">
        <is>
          <t>AI Visualizer</t>
        </is>
      </c>
      <c r="B1030" s="12" t="inlineStr">
        <is>
          <t>DEF-01</t>
        </is>
      </c>
      <c r="C1030" s="12" t="inlineStr">
        <is>
          <t>Definitions</t>
        </is>
      </c>
      <c r="D1030" s="14" t="inlineStr">
        <is>
          <t>The tool</t>
        </is>
      </c>
      <c r="E1030" s="14" t="inlineStr">
        <is>
          <t>Built</t>
        </is>
      </c>
      <c r="F1030" s="12" t="inlineStr">
        <is>
          <t>Mismatch in both — Q-01: AI Visualizer everywhere.</t>
        </is>
      </c>
      <c r="G1030" s="12" t="inlineStr">
        <is>
          <t>13.01</t>
        </is>
      </c>
      <c r="H1030" s="12" t="inlineStr"/>
      <c r="I1030" s="17" t="n"/>
      <c r="J1030" s="17" t="n"/>
    </row>
    <row r="1031">
      <c r="A1031" s="12" t="inlineStr">
        <is>
          <t>AI Visualizer</t>
        </is>
      </c>
      <c r="B1031" s="12" t="inlineStr">
        <is>
          <t>DEF-02</t>
        </is>
      </c>
      <c r="C1031" s="12" t="inlineStr">
        <is>
          <t>Definitions</t>
        </is>
      </c>
      <c r="D1031" s="14" t="inlineStr">
        <is>
          <t>A design</t>
        </is>
      </c>
      <c r="E1031" s="14" t="inlineStr">
        <is>
          <t>Built</t>
        </is>
      </c>
      <c r="F1031" s="12" t="inlineStr">
        <is>
          <t>Missing — Q-03: a visualizer_designs row — one per lead, any number of personal ones.</t>
        </is>
      </c>
      <c r="G1031" s="12" t="inlineStr">
        <is>
          <t>13.01</t>
        </is>
      </c>
      <c r="H1031" s="12" t="inlineStr"/>
      <c r="I1031" s="17" t="n"/>
      <c r="J1031" s="17" t="n"/>
    </row>
    <row r="1032">
      <c r="A1032" s="12" t="inlineStr">
        <is>
          <t>AI Visualizer</t>
        </is>
      </c>
      <c r="B1032" s="12" t="inlineStr">
        <is>
          <t>DEF-03</t>
        </is>
      </c>
      <c r="C1032" s="12" t="inlineStr">
        <is>
          <t>Definitions</t>
        </is>
      </c>
      <c r="D1032" s="14" t="inlineStr">
        <is>
          <t>A room</t>
        </is>
      </c>
      <c r="E1032" s="14" t="inlineStr">
        <is>
          <t>Built</t>
        </is>
      </c>
      <c r="F1032" s="12" t="inlineStr">
        <is>
          <t>Missing — built with 1.0's table name (§4).</t>
        </is>
      </c>
      <c r="G1032" s="12" t="inlineStr">
        <is>
          <t>13.06</t>
        </is>
      </c>
      <c r="H1032" s="12" t="inlineStr"/>
      <c r="I1032" s="17" t="n"/>
      <c r="J1032" s="17" t="n"/>
    </row>
    <row r="1033">
      <c r="A1033" s="12" t="inlineStr">
        <is>
          <t>AI Visualizer</t>
        </is>
      </c>
      <c r="B1033" s="12" t="inlineStr">
        <is>
          <t>DEF-04</t>
        </is>
      </c>
      <c r="C1033" s="12" t="inlineStr">
        <is>
          <t>Definitions</t>
        </is>
      </c>
      <c r="D1033" s="14" t="inlineStr">
        <is>
          <t>A version</t>
        </is>
      </c>
      <c r="E1033" s="14" t="inlineStr">
        <is>
          <t>Built</t>
        </is>
      </c>
      <c r="F1033" s="12" t="inlineStr">
        <is>
          <t>Missing — built with 1.0's shape (§4).</t>
        </is>
      </c>
      <c r="G1033" s="12" t="inlineStr">
        <is>
          <t>13.04</t>
        </is>
      </c>
      <c r="H1033" s="12" t="inlineStr"/>
      <c r="I1033" s="17" t="n"/>
      <c r="J1033" s="17" t="n"/>
    </row>
    <row r="1034">
      <c r="A1034" s="12" t="inlineStr">
        <is>
          <t>AI Visualizer</t>
        </is>
      </c>
      <c r="B1034" s="12" t="inlineStr">
        <is>
          <t>DEF-05</t>
        </is>
      </c>
      <c r="C1034" s="12" t="inlineStr">
        <is>
          <t>Definitions</t>
        </is>
      </c>
      <c r="D1034" s="14" t="inlineStr">
        <is>
          <t>The editing base</t>
        </is>
      </c>
      <c r="E1034" s="14" t="inlineStr">
        <is>
          <t>Built</t>
        </is>
      </c>
      <c r="F1034" s="12" t="inlineStr">
        <is>
          <t>Mismatch inside 1.0 — Q-08: what the canvas shows is what you edit.</t>
        </is>
      </c>
      <c r="G1034" s="12" t="inlineStr">
        <is>
          <t>13.05, 13.09</t>
        </is>
      </c>
      <c r="H1034" s="12" t="inlineStr"/>
      <c r="I1034" s="17" t="n"/>
      <c r="J1034" s="17" t="n"/>
    </row>
    <row r="1035">
      <c r="A1035" s="12" t="inlineStr">
        <is>
          <t>AI Visualizer</t>
        </is>
      </c>
      <c r="B1035" s="12" t="inlineStr">
        <is>
          <t>DEF-06</t>
        </is>
      </c>
      <c r="C1035" s="12" t="inlineStr">
        <is>
          <t>Definitions</t>
        </is>
      </c>
      <c r="D1035" s="14" t="inlineStr">
        <is>
          <t>A surface</t>
        </is>
      </c>
      <c r="E1035" s="14" t="inlineStr">
        <is>
          <t>Built</t>
        </is>
      </c>
      <c r="F1035" s="12" t="inlineStr">
        <is>
          <t>Missing — 2.0 keeps the label, the dot and the groups and adds the region the engine changes (§5).</t>
        </is>
      </c>
      <c r="G1035" s="12" t="inlineStr">
        <is>
          <t>13.03</t>
        </is>
      </c>
      <c r="H1035" s="12" t="inlineStr"/>
      <c r="I1035" s="17" t="n"/>
      <c r="J1035" s="17" t="n"/>
    </row>
    <row r="1036">
      <c r="A1036" s="12" t="inlineStr">
        <is>
          <t>AI Visualizer</t>
        </is>
      </c>
      <c r="B1036" s="12" t="inlineStr">
        <is>
          <t>DEF-07</t>
        </is>
      </c>
      <c r="C1036" s="12" t="inlineStr">
        <is>
          <t>Definitions</t>
        </is>
      </c>
      <c r="D1036" s="14" t="inlineStr">
        <is>
          <t>A material</t>
        </is>
      </c>
      <c r="E1036" s="14" t="inlineStr">
        <is>
          <t>Built</t>
        </is>
      </c>
      <c r="F1036" s="12" t="inlineStr">
        <is>
          <t>Missing — Q-18 · Q-19.</t>
        </is>
      </c>
      <c r="G1036" s="12" t="inlineStr">
        <is>
          <t>13.03, 13.28, 13.30</t>
        </is>
      </c>
      <c r="H1036" s="12" t="inlineStr"/>
      <c r="I1036" s="17" t="n"/>
      <c r="J1036" s="17" t="n"/>
    </row>
    <row r="1037">
      <c r="A1037" s="12" t="inlineStr">
        <is>
          <t>AI Visualizer</t>
        </is>
      </c>
      <c r="B1037" s="12" t="inlineStr">
        <is>
          <t>DEF-08</t>
        </is>
      </c>
      <c r="C1037" s="12" t="inlineStr">
        <is>
          <t>Definitions</t>
        </is>
      </c>
      <c r="D1037" s="14" t="inlineStr">
        <is>
          <t>A render</t>
        </is>
      </c>
      <c r="E1037" s="14" t="inlineStr">
        <is>
          <t>Built</t>
        </is>
      </c>
      <c r="F1037" s="12" t="inlineStr">
        <is>
          <t>Platform — Q-05: the curated engine (§5).</t>
        </is>
      </c>
      <c r="G1037" s="12" t="inlineStr">
        <is>
          <t>13.04</t>
        </is>
      </c>
      <c r="H1037" s="12" t="inlineStr"/>
      <c r="I1037" s="17" t="n"/>
      <c r="J1037" s="17" t="n"/>
    </row>
    <row r="1038">
      <c r="A1038" s="12" t="inlineStr">
        <is>
          <t>AI Visualizer</t>
        </is>
      </c>
      <c r="B1038" s="12" t="inlineStr">
        <is>
          <t>DEF-09</t>
        </is>
      </c>
      <c r="C1038" s="12" t="inlineStr">
        <is>
          <t>Definitions</t>
        </is>
      </c>
      <c r="D1038" s="14" t="inlineStr">
        <is>
          <t>Sharing</t>
        </is>
      </c>
      <c r="E1038" s="14" t="inlineStr">
        <is>
          <t>Built</t>
        </is>
      </c>
      <c r="F1038" s="12" t="inlineStr">
        <is>
          <t>Missing — Q-14: one link, to the lead's client.</t>
        </is>
      </c>
      <c r="G1038" s="12" t="inlineStr">
        <is>
          <t>13.17</t>
        </is>
      </c>
      <c r="H1038" s="12" t="inlineStr"/>
      <c r="I1038" s="17" t="n"/>
      <c r="J1038" s="17" t="n"/>
    </row>
    <row r="1039">
      <c r="A1039" s="12" t="inlineStr">
        <is>
          <t>AI Visualizer</t>
        </is>
      </c>
      <c r="B1039" s="12" t="inlineStr">
        <is>
          <t>DEF-10</t>
        </is>
      </c>
      <c r="C1039" s="12" t="inlineStr">
        <is>
          <t>Definitions</t>
        </is>
      </c>
      <c r="D1039" s="14" t="inlineStr">
        <is>
          <t>Annotate</t>
        </is>
      </c>
      <c r="E1039" s="14" t="inlineStr">
        <is>
          <t>Built</t>
        </is>
      </c>
      <c r="F1039" s="12" t="inlineStr">
        <is>
          <t>Missing — Q-15: pins on a version, shown on the share link.</t>
        </is>
      </c>
      <c r="G1039" s="12" t="inlineStr">
        <is>
          <t>13.13, 13.19</t>
        </is>
      </c>
      <c r="H1039" s="12" t="inlineStr"/>
      <c r="I1039" s="17" t="n"/>
      <c r="J1039" s="17" t="n"/>
    </row>
    <row r="1040">
      <c r="A1040" s="12" t="inlineStr">
        <is>
          <t>AI Visualizer</t>
        </is>
      </c>
      <c r="B1040" s="12" t="inlineStr">
        <is>
          <t>DEF-11</t>
        </is>
      </c>
      <c r="C1040" s="12" t="inlineStr">
        <is>
          <t>Definitions</t>
        </is>
      </c>
      <c r="D1040" s="14" t="inlineStr">
        <is>
          <t>Save to the lead</t>
        </is>
      </c>
      <c r="E1040" s="14" t="inlineStr">
        <is>
          <t>Built</t>
        </is>
      </c>
      <c r="F1040" s="12" t="inlineStr">
        <is>
          <t>Mismatch — Q-13.</t>
        </is>
      </c>
      <c r="G1040" s="12" t="inlineStr">
        <is>
          <t>13.15</t>
        </is>
      </c>
      <c r="H1040" s="12" t="inlineStr"/>
      <c r="I1040" s="17" t="n"/>
      <c r="J1040" s="17" t="n"/>
    </row>
    <row r="1041">
      <c r="A1041" s="12" t="inlineStr">
        <is>
          <t>AI Visualizer</t>
        </is>
      </c>
      <c r="B1041" s="12" t="inlineStr">
        <is>
          <t>MM-01</t>
        </is>
      </c>
      <c r="C1041" s="12" t="inlineStr">
        <is>
          <t>Mismatches</t>
        </is>
      </c>
      <c r="D1041" s="14" t="inlineStr">
        <is>
          <t>Saving a lead's renders</t>
        </is>
      </c>
      <c r="E1041" s="14" t="inlineStr">
        <is>
          <t>Built</t>
        </is>
      </c>
      <c r="F1041" s="12" t="inlineStr">
        <is>
          <t>Q-13</t>
        </is>
      </c>
      <c r="G1041" s="12" t="inlineStr">
        <is>
          <t>13.15</t>
        </is>
      </c>
      <c r="H1041" s="12" t="inlineStr"/>
      <c r="I1041" s="17" t="n"/>
      <c r="J1041" s="17" t="n"/>
    </row>
    <row r="1042">
      <c r="A1042" s="12" t="inlineStr">
        <is>
          <t>AI Visualizer</t>
        </is>
      </c>
      <c r="B1042" s="12" t="inlineStr">
        <is>
          <t>MM-02</t>
        </is>
      </c>
      <c r="C1042" s="12" t="inlineStr">
        <is>
          <t>Mismatches</t>
        </is>
      </c>
      <c r="D1042" s="14" t="inlineStr">
        <is>
          <t>Variants on desktop</t>
        </is>
      </c>
      <c r="E1042" s="14" t="inlineStr">
        <is>
          <t>Built</t>
        </is>
      </c>
      <c r="F1042" s="12" t="inlineStr">
        <is>
          <t>Q-09</t>
        </is>
      </c>
      <c r="G1042" s="12" t="inlineStr">
        <is>
          <t>13.09</t>
        </is>
      </c>
      <c r="H1042" s="12" t="inlineStr"/>
      <c r="I1042" s="17" t="n"/>
      <c r="J1042" s="17" t="n"/>
    </row>
    <row r="1043">
      <c r="A1043" s="12" t="inlineStr">
        <is>
          <t>AI Visualizer</t>
        </is>
      </c>
      <c r="B1043" s="12" t="inlineStr">
        <is>
          <t>MM-03</t>
        </is>
      </c>
      <c r="C1043" s="12" t="inlineStr">
        <is>
          <t>Mismatches</t>
        </is>
      </c>
      <c r="D1043" s="14" t="inlineStr">
        <is>
          <t>Auto Furnish on a phone</t>
        </is>
      </c>
      <c r="E1043" s="14" t="inlineStr">
        <is>
          <t>Built</t>
        </is>
      </c>
      <c r="F1043" s="12" t="inlineStr">
        <is>
          <t>Q-25</t>
        </is>
      </c>
      <c r="G1043" s="12" t="inlineStr">
        <is>
          <t>13.32</t>
        </is>
      </c>
      <c r="H1043" s="12" t="inlineStr"/>
      <c r="I1043" s="17" t="n"/>
      <c r="J1043" s="17" t="n"/>
    </row>
    <row r="1044">
      <c r="A1044" s="12" t="inlineStr">
        <is>
          <t>AI Visualizer</t>
        </is>
      </c>
      <c r="B1044" s="12" t="inlineStr">
        <is>
          <t>MM-04</t>
        </is>
      </c>
      <c r="C1044" s="12" t="inlineStr">
        <is>
          <t>Mismatches</t>
        </is>
      </c>
      <c r="D1044" s="14" t="inlineStr">
        <is>
          <t>What you edit after a render</t>
        </is>
      </c>
      <c r="E1044" s="14" t="inlineStr">
        <is>
          <t>Built</t>
        </is>
      </c>
      <c r="F1044" s="12" t="inlineStr">
        <is>
          <t>Q-08</t>
        </is>
      </c>
      <c r="G1044" s="12" t="inlineStr">
        <is>
          <t>13.04, 13.05</t>
        </is>
      </c>
      <c r="H1044" s="12" t="inlineStr"/>
      <c r="I1044" s="17" t="n"/>
      <c r="J1044" s="17" t="n"/>
    </row>
    <row r="1045">
      <c r="A1045" s="12" t="inlineStr">
        <is>
          <t>AI Visualizer</t>
        </is>
      </c>
      <c r="B1045" s="12" t="inlineStr">
        <is>
          <t>MM-05</t>
        </is>
      </c>
      <c r="C1045" s="12" t="inlineStr">
        <is>
          <t>Mismatches</t>
        </is>
      </c>
      <c r="D1045" s="14" t="inlineStr">
        <is>
          <t>Deleting</t>
        </is>
      </c>
      <c r="E1045" s="14" t="inlineStr">
        <is>
          <t>Built</t>
        </is>
      </c>
      <c r="F1045" s="12" t="inlineStr">
        <is>
          <t>Q-11</t>
        </is>
      </c>
      <c r="G1045" s="12" t="inlineStr">
        <is>
          <t>13.12</t>
        </is>
      </c>
      <c r="H1045" s="12" t="inlineStr"/>
      <c r="I1045" s="17" t="n"/>
      <c r="J1045" s="17" t="n"/>
    </row>
    <row r="1046">
      <c r="A1046" s="12" t="inlineStr">
        <is>
          <t>AI Visualizer</t>
        </is>
      </c>
      <c r="B1046" s="12" t="inlineStr">
        <is>
          <t>MM-06</t>
        </is>
      </c>
      <c r="C1046" s="12" t="inlineStr">
        <is>
          <t>Mismatches</t>
        </is>
      </c>
      <c r="D1046" s="14" t="inlineStr">
        <is>
          <t>The share link's style</t>
        </is>
      </c>
      <c r="E1046" s="14" t="inlineStr">
        <is>
          <t>Built</t>
        </is>
      </c>
      <c r="F1046" s="12" t="inlineStr">
        <is>
          <t>Q-14</t>
        </is>
      </c>
      <c r="G1046" s="12" t="inlineStr">
        <is>
          <t>13.18</t>
        </is>
      </c>
      <c r="H1046" s="12" t="inlineStr"/>
      <c r="I1046" s="17" t="n"/>
      <c r="J1046" s="17" t="n"/>
    </row>
    <row r="1047">
      <c r="A1047" s="12" t="inlineStr">
        <is>
          <t>AI Visualizer</t>
        </is>
      </c>
      <c r="B1047" s="12" t="inlineStr">
        <is>
          <t>MM-07</t>
        </is>
      </c>
      <c r="C1047" s="12" t="inlineStr">
        <is>
          <t>Mismatches</t>
        </is>
      </c>
      <c r="D1047" s="14" t="inlineStr">
        <is>
          <t>Send to Chat</t>
        </is>
      </c>
      <c r="E1047" s="14" t="inlineStr">
        <is>
          <t>Built</t>
        </is>
      </c>
      <c r="F1047" s="12" t="inlineStr">
        <is>
          <t>Q-14</t>
        </is>
      </c>
      <c r="G1047" s="12" t="inlineStr">
        <is>
          <t>13.17</t>
        </is>
      </c>
      <c r="H1047" s="12" t="inlineStr"/>
      <c r="I1047" s="17" t="n"/>
      <c r="J1047" s="17" t="n"/>
    </row>
    <row r="1048">
      <c r="A1048" s="12" t="inlineStr">
        <is>
          <t>AI Visualizer</t>
        </is>
      </c>
      <c r="B1048" s="12" t="inlineStr">
        <is>
          <t>MM-08</t>
        </is>
      </c>
      <c r="C1048" s="12" t="inlineStr">
        <is>
          <t>Mismatches</t>
        </is>
      </c>
      <c r="D1048" s="14" t="inlineStr">
        <is>
          <t>The consultation form</t>
        </is>
      </c>
      <c r="E1048" s="14" t="inlineStr">
        <is>
          <t>Built</t>
        </is>
      </c>
      <c r="F1048" s="12" t="inlineStr">
        <is>
          <t>Q-16</t>
        </is>
      </c>
      <c r="G1048" s="12" t="inlineStr">
        <is>
          <t>13.20</t>
        </is>
      </c>
      <c r="H1048" s="12" t="inlineStr"/>
      <c r="I1048" s="17" t="n"/>
      <c r="J1048" s="17" t="n"/>
    </row>
    <row r="1049">
      <c r="A1049" s="12" t="inlineStr">
        <is>
          <t>AI Visualizer</t>
        </is>
      </c>
      <c r="B1049" s="12" t="inlineStr">
        <is>
          <t>MM-09</t>
        </is>
      </c>
      <c r="C1049" s="12" t="inlineStr">
        <is>
          <t>Mismatches</t>
        </is>
      </c>
      <c r="D1049" s="14" t="inlineStr">
        <is>
          <t>The material list "for quoting"</t>
        </is>
      </c>
      <c r="E1049" s="14" t="inlineStr">
        <is>
          <t>Built</t>
        </is>
      </c>
      <c r="F1049" s="12" t="inlineStr">
        <is>
          <t>Q-17</t>
        </is>
      </c>
      <c r="G1049" s="12" t="inlineStr">
        <is>
          <t>13.16</t>
        </is>
      </c>
      <c r="H1049" s="12" t="inlineStr"/>
      <c r="I1049" s="17" t="n"/>
      <c r="J1049" s="17" t="n"/>
    </row>
    <row r="1050">
      <c r="A1050" s="12" t="inlineStr">
        <is>
          <t>AI Visualizer</t>
        </is>
      </c>
      <c r="B1050" s="12" t="inlineStr">
        <is>
          <t>MM-10</t>
        </is>
      </c>
      <c r="C1050" s="12" t="inlineStr">
        <is>
          <t>Mismatches</t>
        </is>
      </c>
      <c r="D1050" s="14" t="inlineStr">
        <is>
          <t>The lighting copy</t>
        </is>
      </c>
      <c r="E1050" s="14" t="inlineStr">
        <is>
          <t>Built</t>
        </is>
      </c>
      <c r="F1050" s="12" t="inlineStr">
        <is>
          <t>Q-22</t>
        </is>
      </c>
      <c r="G1050" s="12" t="inlineStr">
        <is>
          <t>13.08</t>
        </is>
      </c>
      <c r="H1050" s="12" t="inlineStr"/>
      <c r="I1050" s="17" t="n"/>
      <c r="J1050" s="17" t="n"/>
    </row>
    <row r="1051">
      <c r="A1051" s="12" t="inlineStr">
        <is>
          <t>AI Visualizer</t>
        </is>
      </c>
      <c r="B1051" s="12" t="inlineStr">
        <is>
          <t>MM-11</t>
        </is>
      </c>
      <c r="C1051" s="12" t="inlineStr">
        <is>
          <t>Mismatches</t>
        </is>
      </c>
      <c r="D1051" s="14" t="inlineStr">
        <is>
          <t>Surface markers</t>
        </is>
      </c>
      <c r="E1051" s="14" t="inlineStr">
        <is>
          <t>Built</t>
        </is>
      </c>
      <c r="F1051" s="12" t="inlineStr">
        <is>
          <t>Q-06</t>
        </is>
      </c>
      <c r="G1051" s="12" t="inlineStr">
        <is>
          <t>13.01</t>
        </is>
      </c>
      <c r="H1051" s="12" t="inlineStr"/>
      <c r="I1051" s="17" t="n"/>
      <c r="J1051" s="17" t="n"/>
    </row>
    <row r="1052">
      <c r="A1052" s="12" t="inlineStr">
        <is>
          <t>AI Visualizer</t>
        </is>
      </c>
      <c r="B1052" s="12" t="inlineStr">
        <is>
          <t>MM-12</t>
        </is>
      </c>
      <c r="C1052" s="12" t="inlineStr">
        <is>
          <t>Mismatches</t>
        </is>
      </c>
      <c r="D1052" s="14" t="inlineStr">
        <is>
          <t>Work in progress</t>
        </is>
      </c>
      <c r="E1052" s="14" t="inlineStr">
        <is>
          <t>Built</t>
        </is>
      </c>
      <c r="F1052" s="12" t="inlineStr">
        <is>
          <t>Q-07</t>
        </is>
      </c>
      <c r="G1052" s="12" t="inlineStr">
        <is>
          <t>13.12</t>
        </is>
      </c>
      <c r="H1052" s="12" t="inlineStr"/>
      <c r="I1052" s="17" t="n"/>
      <c r="J1052" s="17" t="n"/>
    </row>
    <row r="1053">
      <c r="A1053" s="12" t="inlineStr">
        <is>
          <t>AI Visualizer</t>
        </is>
      </c>
      <c r="B1053" s="12" t="inlineStr">
        <is>
          <t>VE-01</t>
        </is>
      </c>
      <c r="C1053" s="12" t="inlineStr">
        <is>
          <t>Ways in, the page and the way back</t>
        </is>
      </c>
      <c r="D1053" s="14" t="inlineStr">
        <is>
          <t>Tools › AI Visualizer</t>
        </is>
      </c>
      <c r="E1053" s="14" t="inlineStr">
        <is>
          <t>Built</t>
        </is>
      </c>
      <c r="F1053" s="12" t="inlineStr">
        <is>
          <t>The Tools tile opens /visualizer (desktop popover and the phone's Tools sheet).</t>
        </is>
      </c>
      <c r="G1053" s="12" t="inlineStr">
        <is>
          <t>13.25</t>
        </is>
      </c>
      <c r="H1053" s="12" t="inlineStr"/>
      <c r="I1053" s="17" t="n"/>
      <c r="J1053" s="17" t="n"/>
    </row>
    <row r="1054">
      <c r="A1054" s="12" t="inlineStr">
        <is>
          <t>AI Visualizer</t>
        </is>
      </c>
      <c r="B1054" s="12" t="inlineStr">
        <is>
          <t>VE-02</t>
        </is>
      </c>
      <c r="C1054" s="12" t="inlineStr">
        <is>
          <t>Ways in, the page and the way back</t>
        </is>
      </c>
      <c r="D1054" s="14" t="inlineStr">
        <is>
          <t>The lead drawer's Open AI Visualizer</t>
        </is>
      </c>
      <c r="E1054" s="14" t="inlineStr">
        <is>
          <t>Built</t>
        </is>
      </c>
      <c r="F1054" s="12" t="inlineStr">
        <is>
          <t>The lead's quick link AI Visualizer opens the lead's design (made on first open) with ?from= the tab it was pressed on (Q-02).</t>
        </is>
      </c>
      <c r="G1054" s="12" t="inlineStr">
        <is>
          <t>13.23</t>
        </is>
      </c>
      <c r="H1054" s="12" t="inlineStr"/>
      <c r="I1054" s="17" t="n"/>
      <c r="J1054" s="17" t="n"/>
    </row>
    <row r="1055">
      <c r="A1055" s="12" t="inlineStr">
        <is>
          <t>AI Visualizer</t>
        </is>
      </c>
      <c r="B1055" s="12" t="inlineStr">
        <is>
          <t>VE-03</t>
        </is>
      </c>
      <c r="C1055" s="12" t="inlineStr">
        <is>
          <t>Ways in, the page and the way back</t>
        </is>
      </c>
      <c r="D1055" s="14" t="inlineStr">
        <is>
          <t>Deep links</t>
        </is>
      </c>
      <c r="E1055" s="14" t="inlineStr">
        <is>
          <t>Built</t>
        </is>
      </c>
      <c r="F1055" s="12" t="inlineStr">
        <is>
          <t>Every design has its address /visualizer/[designId] (?room= picks a room); Back honours ?from=.</t>
        </is>
      </c>
      <c r="G1055" s="12" t="inlineStr">
        <is>
          <t>13.15, 13.21</t>
        </is>
      </c>
      <c r="H1055" s="12" t="inlineStr"/>
      <c r="I1055" s="17" t="n"/>
      <c r="J1055" s="17" t="n"/>
    </row>
    <row r="1056">
      <c r="A1056" s="12" t="inlineStr">
        <is>
          <t>AI Visualizer</t>
        </is>
      </c>
      <c r="B1056" s="12" t="inlineStr">
        <is>
          <t>VE-04</t>
        </is>
      </c>
      <c r="C1056" s="12" t="inlineStr">
        <is>
          <t>Ways in, the page and the way back</t>
        </is>
      </c>
      <c r="D1056" s="14" t="inlineStr">
        <is>
          <t>The project's Photo Renders + entry dialog, the Renders tab</t>
        </is>
      </c>
      <c r="E1056" s="14" t="inlineStr">
        <is>
          <t>Built</t>
        </is>
      </c>
      <c r="F1056" s="12" t="inlineStr">
        <is>
          <t>Project quick link AI Visualizer; Design › Designs lists what the client sees</t>
        </is>
      </c>
      <c r="G1056" s="12" t="inlineStr"/>
      <c r="H1056" s="28" t="inlineStr">
        <is>
          <t>Team check</t>
        </is>
      </c>
      <c r="I1056" s="17" t="n"/>
      <c r="J1056" s="17" t="n"/>
    </row>
    <row r="1057">
      <c r="A1057" s="12" t="inlineStr">
        <is>
          <t>AI Visualizer</t>
        </is>
      </c>
      <c r="B1057" s="12" t="inlineStr">
        <is>
          <t>VE-05</t>
        </is>
      </c>
      <c r="C1057" s="12" t="inlineStr">
        <is>
          <t>Ways in, the page and the way back</t>
        </is>
      </c>
      <c r="D1057" s="14" t="inlineStr">
        <is>
          <t>Coach mark</t>
        </is>
      </c>
      <c r="E1057" s="14" t="inlineStr">
        <is>
          <t>Built</t>
        </is>
      </c>
      <c r="F1057" s="12" t="inlineStr">
        <is>
          <t>The editor's first-visit hint (the template editor's pattern, remembered per browser).</t>
        </is>
      </c>
      <c r="G1057" s="12" t="inlineStr">
        <is>
          <t>13.01</t>
        </is>
      </c>
      <c r="H1057" s="12" t="inlineStr"/>
      <c r="I1057" s="17" t="n"/>
      <c r="J1057" s="17" t="n"/>
    </row>
    <row r="1058">
      <c r="A1058" s="12" t="inlineStr">
        <is>
          <t>AI Visualizer</t>
        </is>
      </c>
      <c r="B1058" s="12" t="inlineStr">
        <is>
          <t>VE-06</t>
        </is>
      </c>
      <c r="C1058" s="12" t="inlineStr">
        <is>
          <t>Ways in, the page and the way back</t>
        </is>
      </c>
      <c r="D1058" s="14" t="inlineStr">
        <is>
          <t>Page flag + access matrix</t>
        </is>
      </c>
      <c r="E1058" s="14" t="inlineStr">
        <is>
          <t>Platform</t>
        </is>
      </c>
      <c r="F1058" s="12" t="inlineStr">
        <is>
          <t>Every role but Accounting; Who sees leads decides which lead designs (Q-24)</t>
        </is>
      </c>
      <c r="G1058" s="12" t="inlineStr"/>
      <c r="H1058" s="12" t="inlineStr"/>
      <c r="I1058" s="17" t="n"/>
      <c r="J1058" s="17" t="n"/>
    </row>
    <row r="1059">
      <c r="A1059" s="12" t="inlineStr">
        <is>
          <t>AI Visualizer</t>
        </is>
      </c>
      <c r="B1059" s="12" t="inlineStr">
        <is>
          <t>VE-07</t>
        </is>
      </c>
      <c r="C1059" s="12" t="inlineStr">
        <is>
          <t>Ways in, the page and the way back</t>
        </is>
      </c>
      <c r="D1059" s="14" t="inlineStr">
        <is>
          <t>Focus mode below lg</t>
        </is>
      </c>
      <c r="E1059" s="14" t="inlineStr">
        <is>
          <t>Built</t>
        </is>
      </c>
      <c r="F1059" s="12" t="inlineStr">
        <is>
          <t>The editor is a rail-less app frame at every width (the (editor) group).</t>
        </is>
      </c>
      <c r="G1059" s="12" t="inlineStr">
        <is>
          <t>13.01</t>
        </is>
      </c>
      <c r="H1059" s="12" t="inlineStr"/>
      <c r="I1059" s="17" t="n"/>
      <c r="J1059" s="17" t="n"/>
    </row>
    <row r="1060">
      <c r="A1060" s="12" t="inlineStr">
        <is>
          <t>AI Visualizer</t>
        </is>
      </c>
      <c r="B1060" s="12" t="inlineStr">
        <is>
          <t>VE-08</t>
        </is>
      </c>
      <c r="C1060" s="12" t="inlineStr">
        <is>
          <t>Ways in, the page and the way back</t>
        </is>
      </c>
      <c r="D1060" s="14" t="inlineStr">
        <is>
          <t>Open in AI Visualizer on a lead file</t>
        </is>
      </c>
      <c r="E1060" s="14" t="inlineStr">
        <is>
          <t>Built</t>
        </is>
      </c>
      <c r="F1060" s="12" t="inlineStr">
        <is>
          <t>2.0 builds it (Q-31): the file viewer's kebab and the Files grid's menu.</t>
        </is>
      </c>
      <c r="G1060" s="12" t="inlineStr">
        <is>
          <t>13.01, 13.15</t>
        </is>
      </c>
      <c r="H1060" s="12" t="inlineStr"/>
      <c r="I1060" s="17" t="n"/>
      <c r="J1060" s="17" t="n"/>
    </row>
    <row r="1061">
      <c r="A1061" s="12" t="inlineStr">
        <is>
          <t>AI Visualizer</t>
        </is>
      </c>
      <c r="B1061" s="12" t="inlineStr">
        <is>
          <t>VL-01</t>
        </is>
      </c>
      <c r="C1061" s="12" t="inlineStr">
        <is>
          <t>The landing (designs)</t>
        </is>
      </c>
      <c r="D1061" s="14" t="inlineStr">
        <is>
          <t>Header AI Visualizer + New design</t>
        </is>
      </c>
      <c r="E1061" s="14" t="inlineStr">
        <is>
          <t>Built</t>
        </is>
      </c>
      <c r="F1061" s="12" t="inlineStr">
        <is>
          <t>L1 header; New ▾ — Blank design · For a lead… · From a sample room…</t>
        </is>
      </c>
      <c r="G1061" s="12" t="inlineStr">
        <is>
          <t>13.25</t>
        </is>
      </c>
      <c r="H1061" s="12" t="inlineStr"/>
      <c r="I1061" s="17" t="n"/>
      <c r="J1061" s="17" t="n"/>
    </row>
    <row r="1062">
      <c r="A1062" s="12" t="inlineStr">
        <is>
          <t>AI Visualizer</t>
        </is>
      </c>
      <c r="B1062" s="12" t="inlineStr">
        <is>
          <t>VL-02</t>
        </is>
      </c>
      <c r="C1062" s="12" t="inlineStr">
        <is>
          <t>The landing (designs)</t>
        </is>
      </c>
      <c r="D1062" s="14" t="inlineStr">
        <is>
          <t>First-run hero</t>
        </is>
      </c>
      <c r="E1062" s="14" t="inlineStr">
        <is>
          <t>Built</t>
        </is>
      </c>
      <c r="F1062" s="12" t="inlineStr">
        <is>
          <t>One welcome: a before / after, Upload a room photo, Use a lead’s photos, the samples (REG-735)</t>
        </is>
      </c>
      <c r="G1062" s="12" t="inlineStr">
        <is>
          <t>13.25</t>
        </is>
      </c>
      <c r="H1062" s="12" t="inlineStr"/>
      <c r="I1062" s="17" t="n"/>
      <c r="J1062" s="17" t="n"/>
    </row>
    <row r="1063">
      <c r="A1063" s="12" t="inlineStr">
        <is>
          <t>AI Visualizer</t>
        </is>
      </c>
      <c r="B1063" s="12" t="inlineStr">
        <is>
          <t>VL-03</t>
        </is>
      </c>
      <c r="C1063" s="12" t="inlineStr">
        <is>
          <t>The landing (designs)</t>
        </is>
      </c>
      <c r="D1063" s="14" t="inlineStr">
        <is>
          <t>Start strip</t>
        </is>
      </c>
      <c r="E1063" s="14" t="inlineStr">
        <is>
          <t>Built</t>
        </is>
      </c>
      <c r="F1063" s="12" t="inlineStr">
        <is>
          <t>New ▾ carries them; a project’s design is its lead’s; sample rooms are a third way in (Q-05)</t>
        </is>
      </c>
      <c r="G1063" s="12" t="inlineStr">
        <is>
          <t>13.25</t>
        </is>
      </c>
      <c r="H1063" s="12" t="inlineStr"/>
      <c r="I1063" s="17" t="n"/>
      <c r="J1063" s="17" t="n"/>
    </row>
    <row r="1064">
      <c r="A1064" s="12" t="inlineStr">
        <is>
          <t>AI Visualizer</t>
        </is>
      </c>
      <c r="B1064" s="12" t="inlineStr">
        <is>
          <t>VL-04</t>
        </is>
      </c>
      <c r="C1064" s="12" t="inlineStr">
        <is>
          <t>The landing (designs)</t>
        </is>
      </c>
      <c r="D1064" s="14" t="inlineStr">
        <is>
          <t>View chips All · Leads · Projects · Personal</t>
        </is>
      </c>
      <c r="E1064" s="14" t="inlineStr">
        <is>
          <t>Built</t>
        </is>
      </c>
      <c r="F1064" s="12" t="inlineStr">
        <is>
          <t>The gallery's scope pill Kind: All ▾ (REG-666's grammar) — Leads · Personal.</t>
        </is>
      </c>
      <c r="G1064" s="12" t="inlineStr">
        <is>
          <t>13.25</t>
        </is>
      </c>
      <c r="H1064" s="12" t="inlineStr"/>
      <c r="I1064" s="17" t="n"/>
      <c r="J1064" s="17" t="n"/>
    </row>
    <row r="1065">
      <c r="A1065" s="12" t="inlineStr">
        <is>
          <t>AI Visualizer</t>
        </is>
      </c>
      <c r="B1065" s="12" t="inlineStr">
        <is>
          <t>VL-05</t>
        </is>
      </c>
      <c r="C1065" s="12" t="inlineStr">
        <is>
          <t>The landing (designs)</t>
        </is>
      </c>
      <c r="D1065" s="14" t="inlineStr">
        <is>
          <t>Search</t>
        </is>
      </c>
      <c r="E1065" s="14" t="inlineStr">
        <is>
          <t>Built</t>
        </is>
      </c>
      <c r="F1065" s="12" t="inlineStr">
        <is>
          <t>The gallery's search (name, lead, room names).</t>
        </is>
      </c>
      <c r="G1065" s="12" t="inlineStr">
        <is>
          <t>13.25</t>
        </is>
      </c>
      <c r="H1065" s="12" t="inlineStr"/>
      <c r="I1065" s="17" t="n"/>
      <c r="J1065" s="17" t="n"/>
    </row>
    <row r="1066">
      <c r="A1066" s="12" t="inlineStr">
        <is>
          <t>AI Visualizer</t>
        </is>
      </c>
      <c r="B1066" s="12" t="inlineStr">
        <is>
          <t>VL-06</t>
        </is>
      </c>
      <c r="C1066" s="12" t="inlineStr">
        <is>
          <t>The landing (designs)</t>
        </is>
      </c>
      <c r="D1066" s="14" t="inlineStr">
        <is>
          <t>Folders for personal designs</t>
        </is>
      </c>
      <c r="E1066" s="14" t="inlineStr">
        <is>
          <t>Built</t>
        </is>
      </c>
      <c r="F1066" s="12" t="inlineStr">
        <is>
          <t>The house folders (library visualizer), personal designs only (Q-04).</t>
        </is>
      </c>
      <c r="G1066" s="12" t="inlineStr">
        <is>
          <t>13.26</t>
        </is>
      </c>
      <c r="H1066" s="12" t="inlineStr"/>
      <c r="I1066" s="17" t="n"/>
      <c r="J1066" s="17" t="n"/>
    </row>
    <row r="1067">
      <c r="A1067" s="12" t="inlineStr">
        <is>
          <t>AI Visualizer</t>
        </is>
      </c>
      <c r="B1067" s="12" t="inlineStr">
        <is>
          <t>VL-07</t>
        </is>
      </c>
      <c r="C1067" s="12" t="inlineStr">
        <is>
          <t>The landing (designs)</t>
        </is>
      </c>
      <c r="D1067" s="14" t="inlineStr">
        <is>
          <t>Continue row</t>
        </is>
      </c>
      <c r="E1067" s="14" t="inlineStr">
        <is>
          <t>Built</t>
        </is>
      </c>
      <c r="F1067" s="12" t="inlineStr">
        <is>
          <t>The gallery sorts by last edited; the cards say Edited 2h ago — no second row.</t>
        </is>
      </c>
      <c r="G1067" s="12" t="inlineStr">
        <is>
          <t>13.25</t>
        </is>
      </c>
      <c r="H1067" s="12" t="inlineStr"/>
      <c r="I1067" s="17" t="n"/>
      <c r="J1067" s="17" t="n"/>
    </row>
    <row r="1068">
      <c r="A1068" s="12" t="inlineStr">
        <is>
          <t>AI Visualizer</t>
        </is>
      </c>
      <c r="B1068" s="12" t="inlineStr">
        <is>
          <t>VL-08</t>
        </is>
      </c>
      <c r="C1068" s="12" t="inlineStr">
        <is>
          <t>The landing (designs)</t>
        </is>
      </c>
      <c r="D1068" s="14" t="inlineStr">
        <is>
          <t>Design card + mosaic</t>
        </is>
      </c>
      <c r="E1068" s="14" t="inlineStr">
        <is>
          <t>Built</t>
        </is>
      </c>
      <c r="F1068" s="12" t="inlineStr">
        <is>
          <t>The gallery card: the cover mosaic in the thumb band, the kind chip, the counts; kebab Open · Rename · Move · Duplicate · Delete.</t>
        </is>
      </c>
      <c r="G1068" s="12" t="inlineStr">
        <is>
          <t>13.27</t>
        </is>
      </c>
      <c r="H1068" s="12" t="inlineStr"/>
      <c r="I1068" s="17" t="n"/>
      <c r="J1068" s="17" t="n"/>
    </row>
    <row r="1069">
      <c r="A1069" s="12" t="inlineStr">
        <is>
          <t>AI Visualizer</t>
        </is>
      </c>
      <c r="B1069" s="12" t="inlineStr">
        <is>
          <t>VL-09</t>
        </is>
      </c>
      <c r="C1069" s="12" t="inlineStr">
        <is>
          <t>The landing (designs)</t>
        </is>
      </c>
      <c r="D1069" s="14" t="inlineStr">
        <is>
          <t>Design detail</t>
        </is>
      </c>
      <c r="E1069" s="14" t="inlineStr">
        <is>
          <t>Built</t>
        </is>
      </c>
      <c r="F1069" s="12" t="inlineStr">
        <is>
          <t>Not a separate page: the editor's room tabs are the rooms (one press fewer).</t>
        </is>
      </c>
      <c r="G1069" s="12" t="inlineStr">
        <is>
          <t>13.06</t>
        </is>
      </c>
      <c r="H1069" s="12" t="inlineStr"/>
      <c r="I1069" s="17" t="n"/>
      <c r="J1069" s="17" t="n"/>
    </row>
    <row r="1070">
      <c r="A1070" s="12" t="inlineStr">
        <is>
          <t>AI Visualizer</t>
        </is>
      </c>
      <c r="B1070" s="12" t="inlineStr">
        <is>
          <t>VL-10</t>
        </is>
      </c>
      <c r="C1070" s="12" t="inlineStr">
        <is>
          <t>The landing (designs)</t>
        </is>
      </c>
      <c r="D1070" s="14" t="inlineStr">
        <is>
          <t>Select + Move</t>
        </is>
      </c>
      <c r="E1070" s="14" t="inlineStr">
        <is>
          <t>Built</t>
        </is>
      </c>
      <c r="F1070" s="12" t="inlineStr">
        <is>
          <t>The gallery's selection + bulk bar (Move · Delete).</t>
        </is>
      </c>
      <c r="G1070" s="12" t="inlineStr">
        <is>
          <t>13.27</t>
        </is>
      </c>
      <c r="H1070" s="12" t="inlineStr"/>
      <c r="I1070" s="17" t="n"/>
      <c r="J1070" s="17" t="n"/>
    </row>
    <row r="1071">
      <c r="A1071" s="12" t="inlineStr">
        <is>
          <t>AI Visualizer</t>
        </is>
      </c>
      <c r="B1071" s="12" t="inlineStr">
        <is>
          <t>VL-11</t>
        </is>
      </c>
      <c r="C1071" s="12" t="inlineStr">
        <is>
          <t>The landing (designs)</t>
        </is>
      </c>
      <c r="D1071" s="14" t="inlineStr">
        <is>
          <t>Delete a design</t>
        </is>
      </c>
      <c r="E1071" s="14" t="inlineStr">
        <is>
          <t>Built</t>
        </is>
      </c>
      <c r="F1071" s="12" t="inlineStr">
        <is>
          <t>Soft delete with Undo; the Deleted sheet restores or deletes for good (REG-502's rule).</t>
        </is>
      </c>
      <c r="G1071" s="12" t="inlineStr">
        <is>
          <t>13.27</t>
        </is>
      </c>
      <c r="H1071" s="12" t="inlineStr"/>
      <c r="I1071" s="17" t="n"/>
      <c r="J1071" s="17" t="n"/>
    </row>
    <row r="1072">
      <c r="A1072" s="12" t="inlineStr">
        <is>
          <t>AI Visualizer</t>
        </is>
      </c>
      <c r="B1072" s="12" t="inlineStr">
        <is>
          <t>VL-12</t>
        </is>
      </c>
      <c r="C1072" s="12" t="inlineStr">
        <is>
          <t>The landing (designs)</t>
        </is>
      </c>
      <c r="D1072" s="14" t="inlineStr">
        <is>
          <t>Hidden empty lead designs</t>
        </is>
      </c>
      <c r="E1072" s="14" t="inlineStr">
        <is>
          <t>Built</t>
        </is>
      </c>
      <c r="F1072" s="12" t="inlineStr">
        <is>
          <t>A lead's design shows once it has a room.</t>
        </is>
      </c>
      <c r="G1072" s="12" t="inlineStr">
        <is>
          <t>13.25</t>
        </is>
      </c>
      <c r="H1072" s="12" t="inlineStr"/>
      <c r="I1072" s="17" t="n"/>
      <c r="J1072" s="17" t="n"/>
    </row>
    <row r="1073">
      <c r="A1073" s="12" t="inlineStr">
        <is>
          <t>AI Visualizer</t>
        </is>
      </c>
      <c r="B1073" s="12" t="inlineStr">
        <is>
          <t>VL-13</t>
        </is>
      </c>
      <c r="C1073" s="12" t="inlineStr">
        <is>
          <t>The landing (designs)</t>
        </is>
      </c>
      <c r="D1073" s="14" t="inlineStr">
        <is>
          <t>Workspace JSON, last writer wins</t>
        </is>
      </c>
      <c r="E1073" s="14" t="inlineStr">
        <is>
          <t>Built</t>
        </is>
      </c>
      <c r="F1073" s="12" t="inlineStr">
        <is>
          <t>Rows (§4).</t>
        </is>
      </c>
      <c r="G1073" s="12" t="inlineStr">
        <is>
          <t>13.12</t>
        </is>
      </c>
      <c r="H1073" s="12" t="inlineStr"/>
      <c r="I1073" s="17" t="n"/>
      <c r="J1073" s="17" t="n"/>
    </row>
    <row r="1074">
      <c r="A1074" s="12" t="inlineStr">
        <is>
          <t>AI Visualizer</t>
        </is>
      </c>
      <c r="B1074" s="12" t="inlineStr">
        <is>
          <t>VR-01</t>
        </is>
      </c>
      <c r="C1074" s="12" t="inlineStr">
        <is>
          <t>Rooms and upload</t>
        </is>
      </c>
      <c r="D1074" s="14" t="inlineStr">
        <is>
          <t>Empty state + Upload new room + Take photo</t>
        </is>
      </c>
      <c r="E1074" s="14" t="inlineStr">
        <is>
          <t>Built</t>
        </is>
      </c>
      <c r="F1074" s="12" t="inlineStr">
        <is>
          <t>The canvas empty state: Dropzone Upload a room photo · Take a photo (touch) · Use a sample room · From the lead's files (Q-31).</t>
        </is>
      </c>
      <c r="G1074" s="12" t="inlineStr">
        <is>
          <t>13.06, 13.26</t>
        </is>
      </c>
      <c r="H1074" s="12" t="inlineStr"/>
      <c r="I1074" s="17" t="n"/>
      <c r="J1074" s="17" t="n"/>
    </row>
    <row r="1075">
      <c r="A1075" s="12" t="inlineStr">
        <is>
          <t>AI Visualizer</t>
        </is>
      </c>
      <c r="B1075" s="12" t="inlineStr">
        <is>
          <t>VR-02</t>
        </is>
      </c>
      <c r="C1075" s="12" t="inlineStr">
        <is>
          <t>Rooms and upload</t>
        </is>
      </c>
      <c r="D1075" s="14" t="inlineStr">
        <is>
          <t>Room tabs + ⋯ Rename / Delete</t>
        </is>
      </c>
      <c r="E1075" s="14" t="inlineStr">
        <is>
          <t>Built</t>
        </is>
      </c>
      <c r="F1075" s="12" t="inlineStr">
        <is>
          <t>Room tabs in the top bar (a sheet on the phone); rename in place; delete with Undo (Q-11).</t>
        </is>
      </c>
      <c r="G1075" s="12" t="inlineStr">
        <is>
          <t>13.02</t>
        </is>
      </c>
      <c r="H1075" s="12" t="inlineStr"/>
      <c r="I1075" s="17" t="n"/>
      <c r="J1075" s="17" t="n"/>
    </row>
    <row r="1076">
      <c r="A1076" s="12" t="inlineStr">
        <is>
          <t>AI Visualizer</t>
        </is>
      </c>
      <c r="B1076" s="12" t="inlineStr">
        <is>
          <t>VR-03</t>
        </is>
      </c>
      <c r="C1076" s="12" t="inlineStr">
        <is>
          <t>Rooms and upload</t>
        </is>
      </c>
      <c r="D1076" s="14" t="inlineStr">
        <is>
          <t>Accepted files, 10 MB, HEIC</t>
        </is>
      </c>
      <c r="E1076" s="14" t="inlineStr">
        <is>
          <t>Built</t>
        </is>
      </c>
      <c r="F1076" s="12" t="inlineStr">
        <is>
          <t>JPG · PNG · WebP · HEIC up to 40 MB, resized; HEIC converted in every browser (S20)</t>
        </is>
      </c>
      <c r="G1076" s="12" t="inlineStr">
        <is>
          <t>13.06</t>
        </is>
      </c>
      <c r="H1076" s="12" t="inlineStr"/>
      <c r="I1076" s="17" t="n"/>
      <c r="J1076" s="17" t="n"/>
    </row>
    <row r="1077">
      <c r="A1077" s="12" t="inlineStr">
        <is>
          <t>AI Visualizer</t>
        </is>
      </c>
      <c r="B1077" s="12" t="inlineStr">
        <is>
          <t>VR-04</t>
        </is>
      </c>
      <c r="C1077" s="12" t="inlineStr">
        <is>
          <t>Rooms and upload</t>
        </is>
      </c>
      <c r="D1077" s="14" t="inlineStr">
        <is>
          <t>Bucket crop + downscales</t>
        </is>
      </c>
      <c r="E1077" s="14" t="inlineStr">
        <is>
          <t>Platform</t>
        </is>
      </c>
      <c r="F1077" s="12" t="inlineStr">
        <is>
          <t>The photo is scaled to 1600 on its long side for the engine; the stored copy is that scaled JPEG.</t>
        </is>
      </c>
      <c r="G1077" s="12" t="inlineStr"/>
      <c r="H1077" s="12" t="inlineStr"/>
      <c r="I1077" s="17" t="n"/>
      <c r="J1077" s="17" t="n"/>
    </row>
    <row r="1078">
      <c r="A1078" s="12" t="inlineStr">
        <is>
          <t>AI Visualizer</t>
        </is>
      </c>
      <c r="B1078" s="12" t="inlineStr">
        <is>
          <t>VR-05</t>
        </is>
      </c>
      <c r="C1078" s="12" t="inlineStr">
        <is>
          <t>Rooms and upload</t>
        </is>
      </c>
      <c r="D1078" s="14" t="inlineStr">
        <is>
          <t>Change photo</t>
        </is>
      </c>
      <c r="E1078" s="14" t="inlineStr">
        <is>
          <t>Built</t>
        </is>
      </c>
      <c r="F1078" s="12" t="inlineStr">
        <is>
          <t>The same rule (renders keep their photo).</t>
        </is>
      </c>
      <c r="G1078" s="12" t="inlineStr">
        <is>
          <t>13.02</t>
        </is>
      </c>
      <c r="H1078" s="12" t="inlineStr"/>
      <c r="I1078" s="17" t="n"/>
      <c r="J1078" s="17" t="n"/>
    </row>
    <row r="1079">
      <c r="A1079" s="12" t="inlineStr">
        <is>
          <t>AI Visualizer</t>
        </is>
      </c>
      <c r="B1079" s="12" t="inlineStr">
        <is>
          <t>VR-06</t>
        </is>
      </c>
      <c r="C1079" s="12" t="inlineStr">
        <is>
          <t>Rooms and upload</t>
        </is>
      </c>
      <c r="D1079" s="14" t="inlineStr">
        <is>
          <t>Auto-load + auto-detect a stored room</t>
        </is>
      </c>
      <c r="E1079" s="14" t="inlineStr">
        <is>
          <t>Built</t>
        </is>
      </c>
      <c r="F1079" s="12" t="inlineStr">
        <is>
          <t>The room's detection is stored with it (Q-07) — nothing to re-run.</t>
        </is>
      </c>
      <c r="G1079" s="12" t="inlineStr">
        <is>
          <t>13.12</t>
        </is>
      </c>
      <c r="H1079" s="12" t="inlineStr"/>
      <c r="I1079" s="17" t="n"/>
      <c r="J1079" s="17" t="n"/>
    </row>
    <row r="1080">
      <c r="A1080" s="12" t="inlineStr">
        <is>
          <t>AI Visualizer</t>
        </is>
      </c>
      <c r="B1080" s="12" t="inlineStr">
        <is>
          <t>VD-01</t>
        </is>
      </c>
      <c r="C1080" s="12" t="inlineStr">
        <is>
          <t>Detection, markers, place and draw</t>
        </is>
      </c>
      <c r="D1080" s="14" t="inlineStr">
        <is>
          <t>The detect call</t>
        </is>
      </c>
      <c r="E1080" s="14" t="inlineStr">
        <is>
          <t>Platform</t>
        </is>
      </c>
      <c r="F1080" s="12" t="inlineStr">
        <is>
          <t>The curated reading (§5.2): sample rooms carry their surfaces and furniture; other photos get 1.0's own fallback set.</t>
        </is>
      </c>
      <c r="G1080" s="12" t="inlineStr"/>
      <c r="H1080" s="12" t="inlineStr"/>
      <c r="I1080" s="17" t="n"/>
      <c r="J1080" s="17" t="n"/>
    </row>
    <row r="1081">
      <c r="A1081" s="12" t="inlineStr">
        <is>
          <t>AI Visualizer</t>
        </is>
      </c>
      <c r="B1081" s="12" t="inlineStr">
        <is>
          <t>VD-02</t>
        </is>
      </c>
      <c r="C1081" s="12" t="inlineStr">
        <is>
          <t>Detection, markers, place and draw</t>
        </is>
      </c>
      <c r="D1081" s="14" t="inlineStr">
        <is>
          <t>Failure fallback Walls · Floor · Ceiling</t>
        </is>
      </c>
      <c r="E1081" s="14" t="inlineStr">
        <is>
          <t>Built</t>
        </is>
      </c>
      <c r="F1081" s="12" t="inlineStr">
        <is>
          <t>The fallback for every unknown photo — placed where the photo's colour regions are, not at fixed points.</t>
        </is>
      </c>
      <c r="G1081" s="12" t="inlineStr">
        <is>
          <t>13.01</t>
        </is>
      </c>
      <c r="H1081" s="12" t="inlineStr"/>
      <c r="I1081" s="17" t="n"/>
      <c r="J1081" s="17" t="n"/>
    </row>
    <row r="1082">
      <c r="A1082" s="12" t="inlineStr">
        <is>
          <t>AI Visualizer</t>
        </is>
      </c>
      <c r="B1082" s="12" t="inlineStr">
        <is>
          <t>VD-03</t>
        </is>
      </c>
      <c r="C1082" s="12" t="inlineStr">
        <is>
          <t>Detection, markers, place and draw</t>
        </is>
      </c>
      <c r="D1082" s="14" t="inlineStr">
        <is>
          <t>Markers — squares for surfaces, circles for furniture; panel-scoped</t>
        </is>
      </c>
      <c r="E1082" s="14" t="inlineStr">
        <is>
          <t>Built</t>
        </is>
      </c>
      <c r="F1082" s="12" t="inlineStr">
        <is>
          <t>The same shapes and scoping; one toggle Markers; a selected surface lights its region on the photo (2.0 only).</t>
        </is>
      </c>
      <c r="G1082" s="12" t="inlineStr">
        <is>
          <t>13.01</t>
        </is>
      </c>
      <c r="H1082" s="12" t="inlineStr"/>
      <c r="I1082" s="17" t="n"/>
      <c r="J1082" s="17" t="n"/>
    </row>
    <row r="1083">
      <c r="A1083" s="12" t="inlineStr">
        <is>
          <t>AI Visualizer</t>
        </is>
      </c>
      <c r="B1083" s="12" t="inlineStr">
        <is>
          <t>VD-04</t>
        </is>
      </c>
      <c r="C1083" s="12" t="inlineStr">
        <is>
          <t>Detection, markers, place and draw</t>
        </is>
      </c>
      <c r="D1083" s="14" t="inlineStr">
        <is>
          <t>Place mode</t>
        </is>
      </c>
      <c r="E1083" s="14" t="inlineStr">
        <is>
          <t>Built</t>
        </is>
      </c>
      <c r="F1083" s="12" t="inlineStr">
        <is>
          <t>Same, with the place banner and Cancel.</t>
        </is>
      </c>
      <c r="G1083" s="12" t="inlineStr">
        <is>
          <t>13.02</t>
        </is>
      </c>
      <c r="H1083" s="12" t="inlineStr"/>
      <c r="I1083" s="17" t="n"/>
      <c r="J1083" s="17" t="n"/>
    </row>
    <row r="1084">
      <c r="A1084" s="12" t="inlineStr">
        <is>
          <t>AI Visualizer</t>
        </is>
      </c>
      <c r="B1084" s="12" t="inlineStr">
        <is>
          <t>VD-05</t>
        </is>
      </c>
      <c r="C1084" s="12" t="inlineStr">
        <is>
          <t>Detection, markers, place and draw</t>
        </is>
      </c>
      <c r="D1084" s="14" t="inlineStr">
        <is>
          <t>Lasso re-detect</t>
        </is>
      </c>
      <c r="E1084" s="14" t="inlineStr">
        <is>
          <t>Platform</t>
        </is>
      </c>
      <c r="F1084" s="12" t="inlineStr">
        <is>
          <t>Draw a surface (2.0): the lasso draws the region itself and names it — the engine's regions need no model.</t>
        </is>
      </c>
      <c r="G1084" s="12" t="inlineStr"/>
      <c r="H1084" s="12" t="inlineStr"/>
      <c r="I1084" s="17" t="n"/>
      <c r="J1084" s="17" t="n"/>
    </row>
    <row r="1085">
      <c r="A1085" s="12" t="inlineStr">
        <is>
          <t>AI Visualizer</t>
        </is>
      </c>
      <c r="B1085" s="12" t="inlineStr">
        <is>
          <t>VD-06</t>
        </is>
      </c>
      <c r="C1085" s="12" t="inlineStr">
        <is>
          <t>Detection, markers, place and draw</t>
        </is>
      </c>
      <c r="D1085" s="14" t="inlineStr">
        <is>
          <t>Remove from the list + pick-to-remove</t>
        </is>
      </c>
      <c r="E1085" s="14" t="inlineStr">
        <is>
          <t>Built</t>
        </is>
      </c>
      <c r="F1085" s="12" t="inlineStr">
        <is>
          <t>Same words; Undo.</t>
        </is>
      </c>
      <c r="G1085" s="12" t="inlineStr">
        <is>
          <t>13.02</t>
        </is>
      </c>
      <c r="H1085" s="12" t="inlineStr"/>
      <c r="I1085" s="17" t="n"/>
      <c r="J1085" s="17" t="n"/>
    </row>
    <row r="1086">
      <c r="A1086" s="12" t="inlineStr">
        <is>
          <t>AI Visualizer</t>
        </is>
      </c>
      <c r="B1086" s="12" t="inlineStr">
        <is>
          <t>VD-07</t>
        </is>
      </c>
      <c r="C1086" s="12" t="inlineStr">
        <is>
          <t>Detection, markers, place and draw</t>
        </is>
      </c>
      <c r="D1086" s="14" t="inlineStr">
        <is>
          <t>Sketch classification</t>
        </is>
      </c>
      <c r="E1086" s="14" t="inlineStr">
        <is>
          <t>Built</t>
        </is>
      </c>
      <c r="F1086" s="12" t="inlineStr">
        <is>
          <t>The sample kitchen sketch reads as a sketch; Render from sketch is the primary; Not a sketch? Use as it is.</t>
        </is>
      </c>
      <c r="G1086" s="12" t="inlineStr">
        <is>
          <t>13.26</t>
        </is>
      </c>
      <c r="H1086" s="12" t="inlineStr"/>
      <c r="I1086" s="17" t="n"/>
      <c r="J1086" s="17" t="n"/>
    </row>
    <row r="1087">
      <c r="A1087" s="12" t="inlineStr">
        <is>
          <t>AI Visualizer</t>
        </is>
      </c>
      <c r="B1087" s="12" t="inlineStr">
        <is>
          <t>VS-01</t>
        </is>
      </c>
      <c r="C1087" s="12" t="inlineStr">
        <is>
          <t>Surfaces and materials</t>
        </is>
      </c>
      <c r="D1087" s="14" t="inlineStr">
        <is>
          <t>Two-level list — 13 structural groups, identical labels ×N, bulk per group</t>
        </is>
      </c>
      <c r="E1087" s="14" t="inlineStr">
        <is>
          <t>Built</t>
        </is>
      </c>
      <c r="F1087" s="12" t="inlineStr">
        <is>
          <t>Same model and words.</t>
        </is>
      </c>
      <c r="G1087" s="12" t="inlineStr">
        <is>
          <t>13.03, 13.09</t>
        </is>
      </c>
      <c r="H1087" s="12" t="inlineStr"/>
      <c r="I1087" s="17" t="n"/>
      <c r="J1087" s="17" t="n"/>
    </row>
    <row r="1088">
      <c r="A1088" s="12" t="inlineStr">
        <is>
          <t>AI Visualizer</t>
        </is>
      </c>
      <c r="B1088" s="12" t="inlineStr">
        <is>
          <t>VS-02</t>
        </is>
      </c>
      <c r="C1088" s="12" t="inlineStr">
        <is>
          <t>Surfaces and materials</t>
        </is>
      </c>
      <c r="D1088" s="14" t="inlineStr">
        <is>
          <t>Assign / None</t>
        </is>
      </c>
      <c r="E1088" s="14" t="inlineStr">
        <is>
          <t>Built</t>
        </is>
      </c>
      <c r="F1088" s="12" t="inlineStr">
        <is>
          <t>Same.</t>
        </is>
      </c>
      <c r="G1088" s="12" t="inlineStr">
        <is>
          <t>13.03</t>
        </is>
      </c>
      <c r="H1088" s="12" t="inlineStr"/>
      <c r="I1088" s="17" t="n"/>
      <c r="J1088" s="17" t="n"/>
    </row>
    <row r="1089">
      <c r="A1089" s="12" t="inlineStr">
        <is>
          <t>AI Visualizer</t>
        </is>
      </c>
      <c r="B1089" s="12" t="inlineStr">
        <is>
          <t>VS-03</t>
        </is>
      </c>
      <c r="C1089" s="12" t="inlineStr">
        <is>
          <t>Surfaces and materials</t>
        </is>
      </c>
      <c r="D1089" s="14" t="inlineStr">
        <is>
          <t>The picker — search, None, Suggested, category chips, Recent, Upload, library, customs, brands</t>
        </is>
      </c>
      <c r="E1089" s="14" t="inlineStr">
        <is>
          <t>Built</t>
        </is>
      </c>
      <c r="F1089" s="12" t="inlineStr">
        <is>
          <t>One picker (a rail panel; a sheet on the phone): search · None · Suggested for {surface} · {style} · Recent · Your library · categories · Gush Paints / Gush Enamel.</t>
        </is>
      </c>
      <c r="G1089" s="12" t="inlineStr">
        <is>
          <t>13.03, 13.29, 13.30</t>
        </is>
      </c>
      <c r="H1089" s="12" t="inlineStr"/>
      <c r="I1089" s="17" t="n"/>
      <c r="J1089" s="17" t="n"/>
    </row>
    <row r="1090">
      <c r="A1090" s="12" t="inlineStr">
        <is>
          <t>AI Visualizer</t>
        </is>
      </c>
      <c r="B1090" s="12" t="inlineStr">
        <is>
          <t>VS-04</t>
        </is>
      </c>
      <c r="C1090" s="12" t="inlineStr">
        <is>
          <t>Surfaces and materials</t>
        </is>
      </c>
      <c r="D1090" s="14" t="inlineStr">
        <is>
          <t>suggestMaterials + the category maps</t>
        </is>
      </c>
      <c r="E1090" s="14" t="inlineStr">
        <is>
          <t>Built</t>
        </is>
      </c>
      <c r="F1090" s="12" t="inlineStr">
        <is>
          <t>Ported as they are (lib/visualizer/catalogue.ts).</t>
        </is>
      </c>
      <c r="G1090" s="12" t="inlineStr">
        <is>
          <t>13.31</t>
        </is>
      </c>
      <c r="H1090" s="12" t="inlineStr"/>
      <c r="I1090" s="17" t="n"/>
      <c r="J1090" s="17" t="n"/>
    </row>
    <row r="1091">
      <c r="A1091" s="12" t="inlineStr">
        <is>
          <t>AI Visualizer</t>
        </is>
      </c>
      <c r="B1091" s="12" t="inlineStr">
        <is>
          <t>VS-05</t>
        </is>
      </c>
      <c r="C1091" s="12" t="inlineStr">
        <is>
          <t>Surfaces and materials</t>
        </is>
      </c>
      <c r="D1091" s="14" t="inlineStr">
        <is>
          <t>The stock catalogue — 136 generic + 310 Gush</t>
        </is>
      </c>
      <c r="E1091" s="14" t="inlineStr">
        <is>
          <t>Built</t>
        </is>
      </c>
      <c r="F1091" s="12" t="inlineStr">
        <is>
          <t>Ported whole (Q-19).</t>
        </is>
      </c>
      <c r="G1091" s="12" t="inlineStr">
        <is>
          <t>13.03</t>
        </is>
      </c>
      <c r="H1091" s="12" t="inlineStr"/>
      <c r="I1091" s="17" t="n"/>
      <c r="J1091" s="17" t="n"/>
    </row>
    <row r="1092">
      <c r="A1092" s="12" t="inlineStr">
        <is>
          <t>AI Visualizer</t>
        </is>
      </c>
      <c r="B1092" s="12" t="inlineStr">
        <is>
          <t>VS-06</t>
        </is>
      </c>
      <c r="C1092" s="12" t="inlineStr">
        <is>
          <t>Surfaces and materials</t>
        </is>
      </c>
      <c r="D1092" s="14" t="inlineStr">
        <is>
          <t>Custom material upload + Save to studio library</t>
        </is>
      </c>
      <c r="E1092" s="14" t="inlineStr">
        <is>
          <t>Built</t>
        </is>
      </c>
      <c r="F1092" s="12" t="inlineStr">
        <is>
          <t>Upload a swatch → the dialog (name, category, Save to the studio's materials) (Q-18).</t>
        </is>
      </c>
      <c r="G1092" s="12" t="inlineStr">
        <is>
          <t>13.29</t>
        </is>
      </c>
      <c r="H1092" s="12" t="inlineStr"/>
      <c r="I1092" s="17" t="n"/>
      <c r="J1092" s="17" t="n"/>
    </row>
    <row r="1093">
      <c r="A1093" s="12" t="inlineStr">
        <is>
          <t>AI Visualizer</t>
        </is>
      </c>
      <c r="B1093" s="12" t="inlineStr">
        <is>
          <t>VS-07</t>
        </is>
      </c>
      <c r="C1093" s="12" t="inlineStr">
        <is>
          <t>Surfaces and materials</t>
        </is>
      </c>
      <c r="D1093" s="14" t="inlineStr">
        <is>
          <t>Recent</t>
        </is>
      </c>
      <c r="E1093" s="14" t="inlineStr">
        <is>
          <t>Built</t>
        </is>
      </c>
      <c r="F1093" s="12" t="inlineStr">
        <is>
          <t>Same (om.viz.recent).</t>
        </is>
      </c>
      <c r="G1093" s="12" t="inlineStr">
        <is>
          <t>13.03</t>
        </is>
      </c>
      <c r="H1093" s="12" t="inlineStr"/>
      <c r="I1093" s="17" t="n"/>
      <c r="J1093" s="17" t="n"/>
    </row>
    <row r="1094">
      <c r="A1094" s="12" t="inlineStr">
        <is>
          <t>AI Visualizer</t>
        </is>
      </c>
      <c r="B1094" s="12" t="inlineStr">
        <is>
          <t>VS-08</t>
        </is>
      </c>
      <c r="C1094" s="12" t="inlineStr">
        <is>
          <t>Surfaces and materials</t>
        </is>
      </c>
      <c r="D1094" s="14" t="inlineStr">
        <is>
          <t>Masked composite for surface-only renders</t>
        </is>
      </c>
      <c r="E1094" s="14" t="inlineStr">
        <is>
          <t>Platform</t>
        </is>
      </c>
      <c r="F1094" s="12" t="inlineStr">
        <is>
          <t>The engine only ever changes a surface's region (§5.3).</t>
        </is>
      </c>
      <c r="G1094" s="12" t="inlineStr"/>
      <c r="H1094" s="12" t="inlineStr"/>
      <c r="I1094" s="17" t="n"/>
      <c r="J1094" s="17" t="n"/>
    </row>
    <row r="1095">
      <c r="A1095" s="12" t="inlineStr">
        <is>
          <t>AI Visualizer</t>
        </is>
      </c>
      <c r="B1095" s="12" t="inlineStr">
        <is>
          <t>VF-01</t>
        </is>
      </c>
      <c r="C1095" s="12" t="inlineStr">
        <is>
          <t>Furniture</t>
        </is>
      </c>
      <c r="D1095" s="14" t="inlineStr">
        <is>
          <t>Rows per group ×N, remove · replace · customize</t>
        </is>
      </c>
      <c r="E1095" s="14" t="inlineStr">
        <is>
          <t>Built</t>
        </is>
      </c>
      <c r="F1095" s="12" t="inlineStr">
        <is>
          <t>Same.</t>
        </is>
      </c>
      <c r="G1095" s="12" t="inlineStr">
        <is>
          <t>13.07</t>
        </is>
      </c>
      <c r="H1095" s="12" t="inlineStr"/>
      <c r="I1095" s="17" t="n"/>
      <c r="J1095" s="17" t="n"/>
    </row>
    <row r="1096">
      <c r="A1096" s="12" t="inlineStr">
        <is>
          <t>AI Visualizer</t>
        </is>
      </c>
      <c r="B1096" s="12" t="inlineStr">
        <is>
          <t>VF-02</t>
        </is>
      </c>
      <c r="C1096" s="12" t="inlineStr">
        <is>
          <t>Furniture</t>
        </is>
      </c>
      <c r="D1096" s="14" t="inlineStr">
        <is>
          <t>Replace — Quick pick presets, describe, reference photo</t>
        </is>
      </c>
      <c r="E1096" s="14" t="inlineStr">
        <is>
          <t>Built</t>
        </is>
      </c>
      <c r="F1096" s="12" t="inlineStr">
        <is>
          <t>Same picker; the engine answers Replace honestly (Q-21).</t>
        </is>
      </c>
      <c r="G1096" s="12" t="inlineStr">
        <is>
          <t>13.07</t>
        </is>
      </c>
      <c r="H1096" s="12" t="inlineStr"/>
      <c r="I1096" s="17" t="n"/>
      <c r="J1096" s="17" t="n"/>
    </row>
    <row r="1097">
      <c r="A1097" s="12" t="inlineStr">
        <is>
          <t>AI Visualizer</t>
        </is>
      </c>
      <c r="B1097" s="12" t="inlineStr">
        <is>
          <t>VF-03</t>
        </is>
      </c>
      <c r="C1097" s="12" t="inlineStr">
        <is>
          <t>Furniture</t>
        </is>
      </c>
      <c r="D1097" s="14" t="inlineStr">
        <is>
          <t>Customize — finish tables by label, 12 colours, describe</t>
        </is>
      </c>
      <c r="E1097" s="14" t="inlineStr">
        <is>
          <t>Built</t>
        </is>
      </c>
      <c r="F1097" s="12" t="inlineStr">
        <is>
          <t>Same chips; the engine recolours the piece (§5.3).</t>
        </is>
      </c>
      <c r="G1097" s="12" t="inlineStr">
        <is>
          <t>13.07</t>
        </is>
      </c>
      <c r="H1097" s="12" t="inlineStr"/>
      <c r="I1097" s="17" t="n"/>
      <c r="J1097" s="17" t="n"/>
    </row>
    <row r="1098">
      <c r="A1098" s="12" t="inlineStr">
        <is>
          <t>AI Visualizer</t>
        </is>
      </c>
      <c r="B1098" s="12" t="inlineStr">
        <is>
          <t>VF-04</t>
        </is>
      </c>
      <c r="C1098" s="12" t="inlineStr">
        <is>
          <t>Furniture</t>
        </is>
      </c>
      <c r="D1098" s="14" t="inlineStr">
        <is>
          <t>Add furniture with a category</t>
        </is>
      </c>
      <c r="E1098" s="14" t="inlineStr">
        <is>
          <t>Built</t>
        </is>
      </c>
      <c r="F1098" s="12" t="inlineStr">
        <is>
          <t>Same.</t>
        </is>
      </c>
      <c r="G1098" s="12" t="inlineStr">
        <is>
          <t>13.02</t>
        </is>
      </c>
      <c r="H1098" s="12" t="inlineStr"/>
      <c r="I1098" s="17" t="n"/>
      <c r="J1098" s="17" t="n"/>
    </row>
    <row r="1099">
      <c r="A1099" s="12" t="inlineStr">
        <is>
          <t>AI Visualizer</t>
        </is>
      </c>
      <c r="B1099" s="12" t="inlineStr">
        <is>
          <t>VT-01</t>
        </is>
      </c>
      <c r="C1099" s="12" t="inlineStr">
        <is>
          <t>Style</t>
        </is>
      </c>
      <c r="D1099" s="14" t="inlineStr">
        <is>
          <t>None + 25 styles with palettes</t>
        </is>
      </c>
      <c r="E1099" s="14" t="inlineStr">
        <is>
          <t>Built</t>
        </is>
      </c>
      <c r="F1099" s="12" t="inlineStr">
        <is>
          <t>Same list and words.</t>
        </is>
      </c>
      <c r="G1099" s="12" t="inlineStr">
        <is>
          <t>13.08</t>
        </is>
      </c>
      <c r="H1099" s="12" t="inlineStr"/>
      <c r="I1099" s="17" t="n"/>
      <c r="J1099" s="17" t="n"/>
    </row>
    <row r="1100">
      <c r="A1100" s="12" t="inlineStr">
        <is>
          <t>AI Visualizer</t>
        </is>
      </c>
      <c r="B1100" s="12" t="inlineStr">
        <is>
          <t>VT-02</t>
        </is>
      </c>
      <c r="C1100" s="12" t="inlineStr">
        <is>
          <t>Style</t>
        </is>
      </c>
      <c r="D1100" s="14" t="inlineStr">
        <is>
          <t>Style resets on a fresh photo / the Original</t>
        </is>
      </c>
      <c r="E1100" s="14" t="inlineStr">
        <is>
          <t>Built</t>
        </is>
      </c>
      <c r="F1100" s="12" t="inlineStr">
        <is>
          <t>Same.</t>
        </is>
      </c>
      <c r="G1100" s="12" t="inlineStr">
        <is>
          <t>13.08</t>
        </is>
      </c>
      <c r="H1100" s="12" t="inlineStr"/>
      <c r="I1100" s="17" t="n"/>
      <c r="J1100" s="17" t="n"/>
    </row>
    <row r="1101">
      <c r="A1101" s="12" t="inlineStr">
        <is>
          <t>AI Visualizer</t>
        </is>
      </c>
      <c r="B1101" s="12" t="inlineStr">
        <is>
          <t>VT-03</t>
        </is>
      </c>
      <c r="C1101" s="12" t="inlineStr">
        <is>
          <t>Style</t>
        </is>
      </c>
      <c r="D1101" s="14" t="inlineStr">
        <is>
          <t>Homeowner palette preference</t>
        </is>
      </c>
      <c r="E1101" s="14" t="inlineStr">
        <is>
          <t>Built</t>
        </is>
      </c>
      <c r="F1101" s="12" t="inlineStr">
        <is>
          <t>The lead's style leads the list: Kevin's style: Contemporary → Modern (Q-32).</t>
        </is>
      </c>
      <c r="G1101" s="12" t="inlineStr">
        <is>
          <t>13.31</t>
        </is>
      </c>
      <c r="H1101" s="12" t="inlineStr"/>
      <c r="I1101" s="17" t="n"/>
      <c r="J1101" s="17" t="n"/>
    </row>
    <row r="1102">
      <c r="A1102" s="12" t="inlineStr">
        <is>
          <t>AI Visualizer</t>
        </is>
      </c>
      <c r="B1102" s="12" t="inlineStr">
        <is>
          <t>VT-04</t>
        </is>
      </c>
      <c r="C1102" s="12" t="inlineStr">
        <is>
          <t>Style</t>
        </is>
      </c>
      <c r="D1102" s="14" t="inlineStr">
        <is>
          <t>Style Transfer</t>
        </is>
      </c>
      <c r="E1102" s="14" t="inlineStr">
        <is>
          <t>Built</t>
        </is>
      </c>
      <c r="F1102" s="12" t="inlineStr">
        <is>
          <t>Same controls; the engine reads each reference's palette (§5.4).</t>
        </is>
      </c>
      <c r="G1102" s="12" t="inlineStr">
        <is>
          <t>13.11</t>
        </is>
      </c>
      <c r="H1102" s="12" t="inlineStr"/>
      <c r="I1102" s="17" t="n"/>
      <c r="J1102" s="17" t="n"/>
    </row>
    <row r="1103">
      <c r="A1103" s="12" t="inlineStr">
        <is>
          <t>AI Visualizer</t>
        </is>
      </c>
      <c r="B1103" s="12" t="inlineStr">
        <is>
          <t>VG-01</t>
        </is>
      </c>
      <c r="C1103" s="12" t="inlineStr">
        <is>
          <t>Lighting</t>
        </is>
      </c>
      <c r="D1103" s="14" t="inlineStr">
        <is>
          <t>Six presets with photos</t>
        </is>
      </c>
      <c r="E1103" s="14" t="inlineStr">
        <is>
          <t>Built</t>
        </is>
      </c>
      <c r="F1103" s="12" t="inlineStr">
        <is>
          <t>Same, with 1.0's photos.</t>
        </is>
      </c>
      <c r="G1103" s="12" t="inlineStr">
        <is>
          <t>13.08</t>
        </is>
      </c>
      <c r="H1103" s="12" t="inlineStr"/>
      <c r="I1103" s="17" t="n"/>
      <c r="J1103" s="17" t="n"/>
    </row>
    <row r="1104">
      <c r="A1104" s="12" t="inlineStr">
        <is>
          <t>AI Visualizer</t>
        </is>
      </c>
      <c r="B1104" s="12" t="inlineStr">
        <is>
          <t>VG-02</t>
        </is>
      </c>
      <c r="C1104" s="12" t="inlineStr">
        <is>
          <t>Lighting</t>
        </is>
      </c>
      <c r="D1104" s="14" t="inlineStr">
        <is>
          <t>Advanced sliders + word labels, fixtures, instruction</t>
        </is>
      </c>
      <c r="E1104" s="14" t="inlineStr">
        <is>
          <t>Built</t>
        </is>
      </c>
      <c r="F1104" s="12" t="inlineStr">
        <is>
          <t>Same.</t>
        </is>
      </c>
      <c r="G1104" s="12" t="inlineStr">
        <is>
          <t>13.08</t>
        </is>
      </c>
      <c r="H1104" s="12" t="inlineStr"/>
      <c r="I1104" s="17" t="n"/>
      <c r="J1104" s="17" t="n"/>
    </row>
    <row r="1105">
      <c r="A1105" s="12" t="inlineStr">
        <is>
          <t>AI Visualizer</t>
        </is>
      </c>
      <c r="B1105" s="12" t="inlineStr">
        <is>
          <t>VG-03</t>
        </is>
      </c>
      <c r="C1105" s="12" t="inlineStr">
        <is>
          <t>Lighting</t>
        </is>
      </c>
      <c r="D1105" s="14" t="inlineStr">
        <is>
          <t>Relight pass + the live result panel</t>
        </is>
      </c>
      <c r="E1105" s="14" t="inlineStr">
        <is>
          <t>Built</t>
        </is>
      </c>
      <c r="F1105" s="12" t="inlineStr">
        <is>
          <t>One step (Q-22): the canvas previews the lighting live as the sliders move; Generate keeps it as a version.</t>
        </is>
      </c>
      <c r="G1105" s="12" t="inlineStr">
        <is>
          <t>13.08</t>
        </is>
      </c>
      <c r="H1105" s="12" t="inlineStr"/>
      <c r="I1105" s="17" t="n"/>
      <c r="J1105" s="17" t="n"/>
    </row>
    <row r="1106">
      <c r="A1106" s="12" t="inlineStr">
        <is>
          <t>AI Visualizer</t>
        </is>
      </c>
      <c r="B1106" s="12" t="inlineStr">
        <is>
          <t>VO-01</t>
        </is>
      </c>
      <c r="C1106" s="12" t="inlineStr">
        <is>
          <t>Tools</t>
        </is>
      </c>
      <c r="D1106" s="14" t="inlineStr">
        <is>
          <t>Empty the room — Keep built-ins / Strip to shell, extra items</t>
        </is>
      </c>
      <c r="E1106" s="14" t="inlineStr">
        <is>
          <t>Built</t>
        </is>
      </c>
      <c r="F1106" s="12" t="inlineStr">
        <is>
          <t>Same words; the engine where an empty plate exists (Q-23).</t>
        </is>
      </c>
      <c r="G1106" s="12" t="inlineStr">
        <is>
          <t>13.10</t>
        </is>
      </c>
      <c r="H1106" s="12" t="inlineStr"/>
      <c r="I1106" s="17" t="n"/>
      <c r="J1106" s="17" t="n"/>
    </row>
    <row r="1107">
      <c r="A1107" s="12" t="inlineStr">
        <is>
          <t>AI Visualizer</t>
        </is>
      </c>
      <c r="B1107" s="12" t="inlineStr">
        <is>
          <t>VO-02</t>
        </is>
      </c>
      <c r="C1107" s="12" t="inlineStr">
        <is>
          <t>Tools</t>
        </is>
      </c>
      <c r="D1107" s="14" t="inlineStr">
        <is>
          <t>Auto Furnish — room programs, density, leave out, direction, the scan note</t>
        </is>
      </c>
      <c r="E1107" s="14" t="inlineStr">
        <is>
          <t>Built</t>
        </is>
      </c>
      <c r="F1107" s="12" t="inlineStr">
        <is>
          <t>Same controls on every width.</t>
        </is>
      </c>
      <c r="G1107" s="12" t="inlineStr">
        <is>
          <t>13.10</t>
        </is>
      </c>
      <c r="H1107" s="12" t="inlineStr"/>
      <c r="I1107" s="17" t="n"/>
      <c r="J1107" s="17" t="n"/>
    </row>
    <row r="1108">
      <c r="A1108" s="12" t="inlineStr">
        <is>
          <t>AI Visualizer</t>
        </is>
      </c>
      <c r="B1108" s="12" t="inlineStr">
        <is>
          <t>VO-03</t>
        </is>
      </c>
      <c r="C1108" s="12" t="inlineStr">
        <is>
          <t>Tools</t>
        </is>
      </c>
      <c r="D1108" s="14" t="inlineStr">
        <is>
          <t>Sketch to photo — quality, use as-is</t>
        </is>
      </c>
      <c r="E1108" s="14" t="inlineStr">
        <is>
          <t>Built</t>
        </is>
      </c>
      <c r="F1108" s="12" t="inlineStr">
        <is>
          <t>On every width.</t>
        </is>
      </c>
      <c r="G1108" s="12" t="inlineStr">
        <is>
          <t>13.26</t>
        </is>
      </c>
      <c r="H1108" s="12" t="inlineStr"/>
      <c r="I1108" s="17" t="n"/>
      <c r="J1108" s="17" t="n"/>
    </row>
    <row r="1109">
      <c r="A1109" s="12" t="inlineStr">
        <is>
          <t>AI Visualizer</t>
        </is>
      </c>
      <c r="B1109" s="12" t="inlineStr">
        <is>
          <t>VO-04</t>
        </is>
      </c>
      <c r="C1109" s="12" t="inlineStr">
        <is>
          <t>Tools</t>
        </is>
      </c>
      <c r="D1109" s="14" t="inlineStr">
        <is>
          <t>The prompt / Finishing note</t>
        </is>
      </c>
      <c r="E1109" s="14" t="inlineStr">
        <is>
          <t>Built</t>
        </is>
      </c>
      <c r="F1109" s="12" t="inlineStr">
        <is>
          <t>Note for the render — the engine reads colours, styles and moods from it and says when it can't (§5.5).</t>
        </is>
      </c>
      <c r="G1109" s="12" t="inlineStr">
        <is>
          <t>13.05</t>
        </is>
      </c>
      <c r="H1109" s="12" t="inlineStr"/>
      <c r="I1109" s="17" t="n"/>
      <c r="J1109" s="17" t="n"/>
    </row>
    <row r="1110">
      <c r="A1110" s="12" t="inlineStr">
        <is>
          <t>AI Visualizer</t>
        </is>
      </c>
      <c r="B1110" s="12" t="inlineStr">
        <is>
          <t>VO-05</t>
        </is>
      </c>
      <c r="C1110" s="12" t="inlineStr">
        <is>
          <t>Tools</t>
        </is>
      </c>
      <c r="D1110" s="14" t="inlineStr">
        <is>
          <t>Fast / High quality</t>
        </is>
      </c>
      <c r="E1110" s="14" t="inlineStr">
        <is>
          <t>Platform</t>
        </is>
      </c>
      <c r="F1110" s="12" t="inlineStr">
        <is>
          <t>Kept: High quality renders at full size and takes a little longer.</t>
        </is>
      </c>
      <c r="G1110" s="12" t="inlineStr"/>
      <c r="H1110" s="12" t="inlineStr"/>
      <c r="I1110" s="17" t="n"/>
      <c r="J1110" s="17" t="n"/>
    </row>
    <row r="1111">
      <c r="A1111" s="12" t="inlineStr">
        <is>
          <t>AI Visualizer</t>
        </is>
      </c>
      <c r="B1111" s="12" t="inlineStr">
        <is>
          <t>VO-06</t>
        </is>
      </c>
      <c r="C1111" s="12" t="inlineStr">
        <is>
          <t>Tools</t>
        </is>
      </c>
      <c r="D1111" s="14" t="inlineStr">
        <is>
          <t>Drift guard</t>
        </is>
      </c>
      <c r="E1111" s="14" t="inlineStr">
        <is>
          <t>Built</t>
        </is>
      </c>
      <c r="F1111" s="12" t="inlineStr">
        <is>
          <t>Framing checked after each pass; a repair costs 2 AI credits, said first (S20)</t>
        </is>
      </c>
      <c r="G1111" s="12" t="inlineStr"/>
      <c r="H1111" s="28" t="inlineStr">
        <is>
          <t>Team check</t>
        </is>
      </c>
      <c r="I1111" s="17" t="n"/>
      <c r="J1111" s="17" t="n"/>
    </row>
    <row r="1112">
      <c r="A1112" s="12" t="inlineStr">
        <is>
          <t>AI Visualizer</t>
        </is>
      </c>
      <c r="B1112" s="12" t="inlineStr">
        <is>
          <t>VO-07</t>
        </is>
      </c>
      <c r="C1112" s="12" t="inlineStr">
        <is>
          <t>Tools</t>
        </is>
      </c>
      <c r="D1112" s="14" t="inlineStr">
        <is>
          <t>Outpaint · Reangle · Orbit video · Depth</t>
        </is>
      </c>
      <c r="E1112" s="14" t="inlineStr">
        <is>
          <t>Dead</t>
        </is>
      </c>
      <c r="F1112" s="12" t="inlineStr">
        <is>
          <t>Sandbox-only in 1.0; built by rule on the developers’ bench only (S41)</t>
        </is>
      </c>
      <c r="G1112" s="12" t="inlineStr"/>
      <c r="H1112" s="12" t="inlineStr"/>
      <c r="I1112" s="17" t="n"/>
      <c r="J1112" s="17" t="n"/>
    </row>
    <row r="1113">
      <c r="A1113" s="12" t="inlineStr">
        <is>
          <t>AI Visualizer</t>
        </is>
      </c>
      <c r="B1113" s="12" t="inlineStr">
        <is>
          <t>VO-08</t>
        </is>
      </c>
      <c r="C1113" s="12" t="inlineStr">
        <is>
          <t>Tools</t>
        </is>
      </c>
      <c r="D1113" s="14" t="inlineStr">
        <is>
          <t>The sandboxes</t>
        </is>
      </c>
      <c r="E1113" s="14" t="inlineStr">
        <is>
          <t>Dead</t>
        </is>
      </c>
      <c r="F1113" s="12" t="inlineStr">
        <is>
          <t>Each mapped to its 2.0 job; four experiments on a developers’ bench (S41)</t>
        </is>
      </c>
      <c r="G1113" s="12" t="inlineStr"/>
      <c r="H1113" s="12" t="inlineStr"/>
      <c r="I1113" s="17" t="n"/>
      <c r="J1113" s="17" t="n"/>
    </row>
    <row r="1114">
      <c r="A1114" s="12" t="inlineStr">
        <is>
          <t>AI Visualizer</t>
        </is>
      </c>
      <c r="B1114" s="12" t="inlineStr">
        <is>
          <t>VN-01</t>
        </is>
      </c>
      <c r="C1114" s="12" t="inlineStr">
        <is>
          <t>Generate, versions and compare</t>
        </is>
      </c>
      <c r="D1114" s="14" t="inlineStr">
        <is>
          <t>One primary button, the label follows the intent</t>
        </is>
      </c>
      <c r="E1114" s="14" t="inlineStr">
        <is>
          <t>Built</t>
        </is>
      </c>
      <c r="F1114" s="12" t="inlineStr">
        <is>
          <t>Same matrix (§5.6), with the changes it will apply listed above it.</t>
        </is>
      </c>
      <c r="G1114" s="12" t="inlineStr">
        <is>
          <t>13.03, 13.05, 13.07, 13.10, 13.11</t>
        </is>
      </c>
      <c r="H1114" s="12" t="inlineStr"/>
      <c r="I1114" s="17" t="n"/>
      <c r="J1114" s="17" t="n"/>
    </row>
    <row r="1115">
      <c r="A1115" s="12" t="inlineStr">
        <is>
          <t>AI Visualizer</t>
        </is>
      </c>
      <c r="B1115" s="12" t="inlineStr">
        <is>
          <t>VN-02</t>
        </is>
      </c>
      <c r="C1115" s="12" t="inlineStr">
        <is>
          <t>Generate, versions and compare</t>
        </is>
      </c>
      <c r="D1115" s="14" t="inlineStr">
        <is>
          <t>Variants 1 · 2 · 3</t>
        </is>
      </c>
      <c r="E1115" s="14" t="inlineStr">
        <is>
          <t>Built</t>
        </is>
      </c>
      <c r="F1115" s="12" t="inlineStr">
        <is>
          <t>Beside Generate at every width (Q-09).</t>
        </is>
      </c>
      <c r="G1115" s="12" t="inlineStr">
        <is>
          <t>13.09</t>
        </is>
      </c>
      <c r="H1115" s="12" t="inlineStr"/>
      <c r="I1115" s="17" t="n"/>
      <c r="J1115" s="17" t="n"/>
    </row>
    <row r="1116">
      <c r="A1116" s="12" t="inlineStr">
        <is>
          <t>AI Visualizer</t>
        </is>
      </c>
      <c r="B1116" s="12" t="inlineStr">
        <is>
          <t>VN-03</t>
        </is>
      </c>
      <c r="C1116" s="12" t="inlineStr">
        <is>
          <t>Generate, versions and compare</t>
        </is>
      </c>
      <c r="D1116" s="14" t="inlineStr">
        <is>
          <t>Loading per slot, Cancel, wake lock, tab-hidden abort</t>
        </is>
      </c>
      <c r="E1116" s="14" t="inlineStr">
        <is>
          <t>Built</t>
        </is>
      </c>
      <c r="F1116" s="12" t="inlineStr">
        <is>
          <t>Placeholder tiles in the strip, the progress card on the canvas, Stop (S42).</t>
        </is>
      </c>
      <c r="G1116" s="12" t="inlineStr">
        <is>
          <t>13.04</t>
        </is>
      </c>
      <c r="H1116" s="12" t="inlineStr"/>
      <c r="I1116" s="17" t="n"/>
      <c r="J1116" s="17" t="n"/>
    </row>
    <row r="1117">
      <c r="A1117" s="12" t="inlineStr">
        <is>
          <t>AI Visualizer</t>
        </is>
      </c>
      <c r="B1117" s="12" t="inlineStr">
        <is>
          <t>VN-04</t>
        </is>
      </c>
      <c r="C1117" s="12" t="inlineStr">
        <is>
          <t>Generate, versions and compare</t>
        </is>
      </c>
      <c r="D1117" s="14" t="inlineStr">
        <is>
          <t>Errors per pass</t>
        </is>
      </c>
      <c r="E1117" s="14" t="inlineStr">
        <is>
          <t>Built</t>
        </is>
      </c>
      <c r="F1117" s="12" t="inlineStr">
        <is>
          <t>The house Couldn't … words (§5.7).</t>
        </is>
      </c>
      <c r="G1117" s="12" t="inlineStr">
        <is>
          <t>13.05</t>
        </is>
      </c>
      <c r="H1117" s="12" t="inlineStr"/>
      <c r="I1117" s="17" t="n"/>
      <c r="J1117" s="17" t="n"/>
    </row>
    <row r="1118">
      <c r="A1118" s="12" t="inlineStr">
        <is>
          <t>AI Visualizer</t>
        </is>
      </c>
      <c r="B1118" s="12" t="inlineStr">
        <is>
          <t>VN-05</t>
        </is>
      </c>
      <c r="C1118" s="12" t="inlineStr">
        <is>
          <t>Generate, versions and compare</t>
        </is>
      </c>
      <c r="D1118" s="14" t="inlineStr">
        <is>
          <t>Gallery strip: Original + V1…Vn, labels</t>
        </is>
      </c>
      <c r="E1118" s="14" t="inlineStr">
        <is>
          <t>Built</t>
        </is>
      </c>
      <c r="F1118" s="12" t="inlineStr">
        <is>
          <t>The versions strip; each version keeps its label and parent.</t>
        </is>
      </c>
      <c r="G1118" s="12" t="inlineStr">
        <is>
          <t>13.04, 13.31</t>
        </is>
      </c>
      <c r="H1118" s="12" t="inlineStr"/>
      <c r="I1118" s="17" t="n"/>
      <c r="J1118" s="17" t="n"/>
    </row>
    <row r="1119">
      <c r="A1119" s="12" t="inlineStr">
        <is>
          <t>AI Visualizer</t>
        </is>
      </c>
      <c r="B1119" s="12" t="inlineStr">
        <is>
          <t>VN-06</t>
        </is>
      </c>
      <c r="C1119" s="12" t="inlineStr">
        <is>
          <t>Generate, versions and compare</t>
        </is>
      </c>
      <c r="D1119" s="14" t="inlineStr">
        <is>
          <t>Delete a version</t>
        </is>
      </c>
      <c r="E1119" s="14" t="inlineStr">
        <is>
          <t>Built</t>
        </is>
      </c>
      <c r="F1119" s="12" t="inlineStr">
        <is>
          <t>Undo (Q-11).</t>
        </is>
      </c>
      <c r="G1119" s="12" t="inlineStr">
        <is>
          <t>13.12</t>
        </is>
      </c>
      <c r="H1119" s="12" t="inlineStr"/>
      <c r="I1119" s="17" t="n"/>
      <c r="J1119" s="17" t="n"/>
    </row>
    <row r="1120">
      <c r="A1120" s="12" t="inlineStr">
        <is>
          <t>AI Visualizer</t>
        </is>
      </c>
      <c r="B1120" s="12" t="inlineStr">
        <is>
          <t>VN-07</t>
        </is>
      </c>
      <c r="C1120" s="12" t="inlineStr">
        <is>
          <t>Generate, versions and compare</t>
        </is>
      </c>
      <c r="D1120" s="14" t="inlineStr">
        <is>
          <t>View dialog: compare any two, Changes list, actions</t>
        </is>
      </c>
      <c r="E1120" s="14" t="inlineStr">
        <is>
          <t>Built</t>
        </is>
      </c>
      <c r="F1120" s="12" t="inlineStr">
        <is>
          <t>Compare on the canvas + Present (xxl dialog) (Q-12); Changes lists surfaces and furniture.</t>
        </is>
      </c>
      <c r="G1120" s="12" t="inlineStr">
        <is>
          <t>13.04, 13.14</t>
        </is>
      </c>
      <c r="H1120" s="12" t="inlineStr"/>
      <c r="I1120" s="17" t="n"/>
      <c r="J1120" s="17" t="n"/>
    </row>
    <row r="1121">
      <c r="A1121" s="12" t="inlineStr">
        <is>
          <t>AI Visualizer</t>
        </is>
      </c>
      <c r="B1121" s="12" t="inlineStr">
        <is>
          <t>VN-08</t>
        </is>
      </c>
      <c r="C1121" s="12" t="inlineStr">
        <is>
          <t>Generate, versions and compare</t>
        </is>
      </c>
      <c r="D1121" s="14" t="inlineStr">
        <is>
          <t>Download</t>
        </is>
      </c>
      <c r="E1121" s="14" t="inlineStr">
        <is>
          <t>Built</t>
        </is>
      </c>
      <c r="F1121" s="12" t="inlineStr">
        <is>
          <t>The version at full size (Q-33).</t>
        </is>
      </c>
      <c r="G1121" s="12" t="inlineStr">
        <is>
          <t>13.14</t>
        </is>
      </c>
      <c r="H1121" s="12" t="inlineStr"/>
      <c r="I1121" s="17" t="n"/>
      <c r="J1121" s="17" t="n"/>
    </row>
    <row r="1122">
      <c r="A1122" s="12" t="inlineStr">
        <is>
          <t>AI Visualizer</t>
        </is>
      </c>
      <c r="B1122" s="12" t="inlineStr">
        <is>
          <t>VN-09</t>
        </is>
      </c>
      <c r="C1122" s="12" t="inlineStr">
        <is>
          <t>Generate, versions and compare</t>
        </is>
      </c>
      <c r="D1122" s="14" t="inlineStr">
        <is>
          <t>Temp mode</t>
        </is>
      </c>
      <c r="E1122" s="14" t="inlineStr">
        <is>
          <t>Not in 2.0</t>
        </is>
      </c>
      <c r="F1122" s="12" t="inlineStr">
        <is>
          <t>Personal designs cover it (Q-10).</t>
        </is>
      </c>
      <c r="G1122" s="12" t="inlineStr"/>
      <c r="H1122" s="12" t="inlineStr"/>
      <c r="I1122" s="17" t="n"/>
      <c r="J1122" s="17" t="n"/>
    </row>
    <row r="1123">
      <c r="A1123" s="12" t="inlineStr">
        <is>
          <t>AI Visualizer</t>
        </is>
      </c>
      <c r="B1123" s="12" t="inlineStr">
        <is>
          <t>VN-10</t>
        </is>
      </c>
      <c r="C1123" s="12" t="inlineStr">
        <is>
          <t>Generate, versions and compare</t>
        </is>
      </c>
      <c r="D1123" s="14" t="inlineStr">
        <is>
          <t>No undo, no unsaved guard</t>
        </is>
      </c>
      <c r="E1123" s="14" t="inlineStr">
        <is>
          <t>Built</t>
        </is>
      </c>
      <c r="F1123" s="12" t="inlineStr">
        <is>
          <t>⌘Z / ⇧⌘Z on the picks; Undo on removes; nothing to lose (autosave).</t>
        </is>
      </c>
      <c r="G1123" s="12" t="inlineStr">
        <is>
          <t>13.02, 13.07</t>
        </is>
      </c>
      <c r="H1123" s="12" t="inlineStr"/>
      <c r="I1123" s="17" t="n"/>
      <c r="J1123" s="17" t="n"/>
    </row>
    <row r="1124">
      <c r="A1124" s="12" t="inlineStr">
        <is>
          <t>AI Visualizer</t>
        </is>
      </c>
      <c r="B1124" s="12" t="inlineStr">
        <is>
          <t>VX-01</t>
        </is>
      </c>
      <c r="C1124" s="12" t="inlineStr">
        <is>
          <t>Out to the client and into the lead</t>
        </is>
      </c>
      <c r="D1124" s="14" t="inlineStr">
        <is>
          <t>Share → public link, 7 days, share dialog (QR placeholder, WhatsApp, copy)</t>
        </is>
      </c>
      <c r="E1124" s="14" t="inlineStr">
        <is>
          <t>Built</t>
        </is>
      </c>
      <c r="F1124" s="12" t="inlineStr">
        <is>
          <t>Share with client (Q-14): pick up to 6 versions, one link per share, 7 days, renew / stop; the WhatsApp draft to the lead's number (X-Ray's dialog).</t>
        </is>
      </c>
      <c r="G1124" s="12" t="inlineStr">
        <is>
          <t>13.17, 13.24</t>
        </is>
      </c>
      <c r="H1124" s="12" t="inlineStr"/>
      <c r="I1124" s="17" t="n"/>
      <c r="J1124" s="17" t="n"/>
    </row>
    <row r="1125">
      <c r="A1125" s="12" t="inlineStr">
        <is>
          <t>AI Visualizer</t>
        </is>
      </c>
      <c r="B1125" s="12" t="inlineStr">
        <is>
          <t>VX-02</t>
        </is>
      </c>
      <c r="C1125" s="12" t="inlineStr">
        <is>
          <t>Out to the client and into the lead</t>
        </is>
      </c>
      <c r="D1125" s="14" t="inlineStr">
        <is>
          <t>The public page</t>
        </is>
      </c>
      <c r="E1125" s="14" t="inlineStr">
        <is>
          <t>Built</t>
        </is>
      </c>
      <c r="F1125" s="12" t="inlineStr">
        <is>
          <t>/renders/[token] on the brand kit: each version with before / after, the materials, the studio's pins.</t>
        </is>
      </c>
      <c r="G1125" s="12" t="inlineStr">
        <is>
          <t>13.18, 13.33</t>
        </is>
      </c>
      <c r="H1125" s="12" t="inlineStr"/>
      <c r="I1125" s="17" t="n"/>
      <c r="J1125" s="17" t="n"/>
    </row>
    <row r="1126">
      <c r="A1126" s="12" t="inlineStr">
        <is>
          <t>AI Visualizer</t>
        </is>
      </c>
      <c r="B1126" s="12" t="inlineStr">
        <is>
          <t>VX-03</t>
        </is>
      </c>
      <c r="C1126" s="12" t="inlineStr">
        <is>
          <t>Out to the client and into the lead</t>
        </is>
      </c>
      <c r="D1126" s="14" t="inlineStr">
        <is>
          <t>Request a Consultation</t>
        </is>
      </c>
      <c r="E1126" s="14" t="inlineStr">
        <is>
          <t>Built</t>
        </is>
      </c>
      <c r="F1126" s="12" t="inlineStr">
        <is>
          <t>Ask for a call back → a Follow-up task for the lead's members + a notification (Q-16).</t>
        </is>
      </c>
      <c r="G1126" s="12" t="inlineStr">
        <is>
          <t>13.20, 13.21</t>
        </is>
      </c>
      <c r="H1126" s="12" t="inlineStr"/>
      <c r="I1126" s="17" t="n"/>
      <c r="J1126" s="17" t="n"/>
    </row>
    <row r="1127">
      <c r="A1127" s="12" t="inlineStr">
        <is>
          <t>AI Visualizer</t>
        </is>
      </c>
      <c r="B1127" s="12" t="inlineStr">
        <is>
          <t>VX-04</t>
        </is>
      </c>
      <c r="C1127" s="12" t="inlineStr">
        <is>
          <t>Out to the client and into the lead</t>
        </is>
      </c>
      <c r="D1127" s="14" t="inlineStr">
        <is>
          <t>Portal likes / comments / pins</t>
        </is>
      </c>
      <c r="E1127" s="14" t="inlineStr">
        <is>
          <t>Built</t>
        </is>
      </c>
      <c r="F1127" s="12" t="inlineStr">
        <is>
          <t>Favourite, note and pins on the share page; the portal’s Designs shows them (Q-15)</t>
        </is>
      </c>
      <c r="G1127" s="12" t="inlineStr">
        <is>
          <t>13.19, 13.21, 13.31</t>
        </is>
      </c>
      <c r="H1127" s="12" t="inlineStr"/>
      <c r="I1127" s="17" t="n"/>
      <c r="J1127" s="17" t="n"/>
    </row>
    <row r="1128">
      <c r="A1128" s="12" t="inlineStr">
        <is>
          <t>AI Visualizer</t>
        </is>
      </c>
      <c r="B1128" s="12" t="inlineStr">
        <is>
          <t>VX-05</t>
        </is>
      </c>
      <c r="C1128" s="12" t="inlineStr">
        <is>
          <t>Out to the client and into the lead</t>
        </is>
      </c>
      <c r="D1128" s="14" t="inlineStr">
        <is>
          <t>Studio annotator</t>
        </is>
      </c>
      <c r="E1128" s="14" t="inlineStr">
        <is>
          <t>Built</t>
        </is>
      </c>
      <c r="F1128" s="12" t="inlineStr">
        <is>
          <t>Pins on any version in the editor (Q-15).</t>
        </is>
      </c>
      <c r="G1128" s="12" t="inlineStr">
        <is>
          <t>13.13, 13.31</t>
        </is>
      </c>
      <c r="H1128" s="12" t="inlineStr"/>
      <c r="I1128" s="17" t="n"/>
      <c r="J1128" s="17" t="n"/>
    </row>
    <row r="1129">
      <c r="A1129" s="12" t="inlineStr">
        <is>
          <t>AI Visualizer</t>
        </is>
      </c>
      <c r="B1129" s="12" t="inlineStr">
        <is>
          <t>VX-06</t>
        </is>
      </c>
      <c r="C1129" s="12" t="inlineStr">
        <is>
          <t>Out to the client and into the lead</t>
        </is>
      </c>
      <c r="D1129" s="14" t="inlineStr">
        <is>
          <t>Send to Chat</t>
        </is>
      </c>
      <c r="E1129" s="14" t="inlineStr">
        <is>
          <t>Built</t>
        </is>
      </c>
      <c r="F1129" s="12" t="inlineStr">
        <is>
          <t>“Send to Messages” on a project’s design: Client or Team (parity map)</t>
        </is>
      </c>
      <c r="G1129" s="12" t="inlineStr"/>
      <c r="H1129" s="28" t="inlineStr">
        <is>
          <t>Team check</t>
        </is>
      </c>
      <c r="I1129" s="17" t="n"/>
      <c r="J1129" s="17" t="n"/>
    </row>
    <row r="1130">
      <c r="A1130" s="12" t="inlineStr">
        <is>
          <t>AI Visualizer</t>
        </is>
      </c>
      <c r="B1130" s="12" t="inlineStr">
        <is>
          <t>VX-07</t>
        </is>
      </c>
      <c r="C1130" s="12" t="inlineStr">
        <is>
          <t>Out to the client and into the lead</t>
        </is>
      </c>
      <c r="D1130" s="14" t="inlineStr">
        <is>
          <t>Share to Portal</t>
        </is>
      </c>
      <c r="E1130" s="14" t="inlineStr">
        <is>
          <t>Built</t>
        </is>
      </c>
      <c r="F1130" s="12" t="inlineStr">
        <is>
          <t>Shared designs show on the client portal’s Designs, kept for good</t>
        </is>
      </c>
      <c r="G1130" s="12" t="inlineStr"/>
      <c r="H1130" s="28" t="inlineStr">
        <is>
          <t>Team check</t>
        </is>
      </c>
      <c r="I1130" s="17" t="n"/>
      <c r="J1130" s="17" t="n"/>
    </row>
    <row r="1131">
      <c r="A1131" s="12" t="inlineStr">
        <is>
          <t>AI Visualizer</t>
        </is>
      </c>
      <c r="B1131" s="12" t="inlineStr">
        <is>
          <t>VX-08</t>
        </is>
      </c>
      <c r="C1131" s="12" t="inlineStr">
        <is>
          <t>Out to the client and into the lead</t>
        </is>
      </c>
      <c r="D1131" s="14" t="inlineStr">
        <is>
          <t>Save to the lead (MM-01)</t>
        </is>
      </c>
      <c r="E1131" s="14" t="inlineStr">
        <is>
          <t>Built</t>
        </is>
      </c>
      <c r="F1131" s="12" t="inlineStr">
        <is>
          <t>Save to Files — the lead's Files › Renders (Q-13).</t>
        </is>
      </c>
      <c r="G1131" s="12" t="inlineStr">
        <is>
          <t>13.15</t>
        </is>
      </c>
      <c r="H1131" s="12" t="inlineStr"/>
      <c r="I1131" s="17" t="n"/>
      <c r="J1131" s="17" t="n"/>
    </row>
    <row r="1132">
      <c r="A1132" s="12" t="inlineStr">
        <is>
          <t>AI Visualizer</t>
        </is>
      </c>
      <c r="B1132" s="12" t="inlineStr">
        <is>
          <t>VX-09</t>
        </is>
      </c>
      <c r="C1132" s="12" t="inlineStr">
        <is>
          <t>Out to the client and into the lead</t>
        </is>
      </c>
      <c r="D1132" s="14" t="inlineStr">
        <is>
          <t>Material list for quoting (MM-09)</t>
        </is>
      </c>
      <c r="E1132" s="14" t="inlineStr">
        <is>
          <t>Built</t>
        </is>
      </c>
      <c r="F1132" s="12" t="inlineStr">
        <is>
          <t>Add to quote (Q-17).</t>
        </is>
      </c>
      <c r="G1132" s="12" t="inlineStr">
        <is>
          <t>13.16, 13.30</t>
        </is>
      </c>
      <c r="H1132" s="12" t="inlineStr"/>
      <c r="I1132" s="17" t="n"/>
      <c r="J1132" s="17" t="n"/>
    </row>
    <row r="1133">
      <c r="A1133" s="12" t="inlineStr">
        <is>
          <t>AI Visualizer</t>
        </is>
      </c>
      <c r="B1133" s="12" t="inlineStr">
        <is>
          <t>VX-10</t>
        </is>
      </c>
      <c r="C1133" s="12" t="inlineStr">
        <is>
          <t>Out to the client and into the lead</t>
        </is>
      </c>
      <c r="D1133" s="14" t="inlineStr">
        <is>
          <t>Activity, notifications</t>
        </is>
      </c>
      <c r="E1133" s="14" t="inlineStr">
        <is>
          <t>Built</t>
        </is>
      </c>
      <c r="F1133" s="12" t="inlineStr">
        <is>
          <t>Activity lines and the render_feedback event (Q-34).</t>
        </is>
      </c>
      <c r="G1133" s="12" t="inlineStr">
        <is>
          <t>13.21, 13.23</t>
        </is>
      </c>
      <c r="H1133" s="12" t="inlineStr"/>
      <c r="I1133" s="17" t="n"/>
      <c r="J1133" s="17" t="n"/>
    </row>
    <row r="1134">
      <c r="A1134" s="12" t="inlineStr">
        <is>
          <t>AI Visualizer</t>
        </is>
      </c>
      <c r="B1134" s="12" t="inlineStr">
        <is>
          <t>VX-11</t>
        </is>
      </c>
      <c r="C1134" s="12" t="inlineStr">
        <is>
          <t>Out to the client and into the lead</t>
        </is>
      </c>
      <c r="D1134" s="14" t="inlineStr">
        <is>
          <t>mAIson tools + page context (A F-01…F-11, A-16)</t>
        </is>
      </c>
      <c r="E1134" s="14" t="inlineStr">
        <is>
          <t>Built</t>
        </is>
      </c>
      <c r="F1134" s="12" t="inlineStr">
        <is>
          <t>The editor’s Maison AI suggestions answer from the design and act (S10, S20)</t>
        </is>
      </c>
      <c r="G1134" s="12" t="inlineStr"/>
      <c r="H1134" s="28" t="inlineStr">
        <is>
          <t>Team check</t>
        </is>
      </c>
      <c r="I1134" s="17" t="n"/>
      <c r="J1134" s="17" t="n"/>
    </row>
    <row r="1135">
      <c r="A1135" s="12" t="inlineStr">
        <is>
          <t>AI Visualizer</t>
        </is>
      </c>
      <c r="B1135" s="12" t="inlineStr">
        <is>
          <t>VM-01</t>
        </is>
      </c>
      <c r="C1135" s="12" t="inlineStr">
        <is>
          <t>Materials library, phone, who may</t>
        </is>
      </c>
      <c r="D1135" s="14" t="inlineStr">
        <is>
          <t>studio_materials library</t>
        </is>
      </c>
      <c r="E1135" s="14" t="inlineStr">
        <is>
          <t>Built</t>
        </is>
      </c>
      <c r="F1135" s="12" t="inlineStr">
        <is>
          <t>Company › Materials (Q-18).</t>
        </is>
      </c>
      <c r="G1135" s="12" t="inlineStr">
        <is>
          <t>13.28, 13.30</t>
        </is>
      </c>
      <c r="H1135" s="12" t="inlineStr"/>
      <c r="I1135" s="17" t="n"/>
      <c r="J1135" s="17" t="n"/>
    </row>
    <row r="1136">
      <c r="A1136" s="12" t="inlineStr">
        <is>
          <t>AI Visualizer</t>
        </is>
      </c>
      <c r="B1136" s="12" t="inlineStr">
        <is>
          <t>VP-01</t>
        </is>
      </c>
      <c r="C1136" s="12" t="inlineStr">
        <is>
          <t>Materials library, phone, who may</t>
        </is>
      </c>
      <c r="D1136" s="14" t="inlineStr">
        <is>
          <t>Camera-app shell below lg (D; B-113…B-115)</t>
        </is>
      </c>
      <c r="E1136" s="14" t="inlineStr">
        <is>
          <t>Built</t>
        </is>
      </c>
      <c r="F1136" s="12" t="inlineStr">
        <is>
          <t>The same model ≤1024 on 2.0 pieces (Q-25).</t>
        </is>
      </c>
      <c r="G1136" s="12" t="inlineStr">
        <is>
          <t>13.32</t>
        </is>
      </c>
      <c r="H1136" s="12" t="inlineStr"/>
      <c r="I1136" s="17" t="n"/>
      <c r="J1136" s="17" t="n"/>
    </row>
    <row r="1137">
      <c r="A1137" s="12" t="inlineStr">
        <is>
          <t>AI Visualizer</t>
        </is>
      </c>
      <c r="B1137" s="12" t="inlineStr">
        <is>
          <t>VP-02</t>
        </is>
      </c>
      <c r="C1137" s="12" t="inlineStr">
        <is>
          <t>Materials library, phone, who may</t>
        </is>
      </c>
      <c r="D1137" s="14" t="inlineStr">
        <is>
          <t>Touch rules</t>
        </is>
      </c>
      <c r="E1137" s="14" t="inlineStr">
        <is>
          <t>Built</t>
        </is>
      </c>
      <c r="F1137" s="12" t="inlineStr">
        <is>
          <t>The house (hover: none) arms; pointer events on the canvas.</t>
        </is>
      </c>
      <c r="G1137" s="12" t="inlineStr">
        <is>
          <t>13.32, 13.33</t>
        </is>
      </c>
      <c r="H1137" s="12" t="inlineStr"/>
      <c r="I1137" s="17" t="n"/>
      <c r="J1137" s="17" t="n"/>
    </row>
    <row r="1138">
      <c r="A1138" s="12" t="inlineStr">
        <is>
          <t>AI Visualizer</t>
        </is>
      </c>
      <c r="B1138" s="12" t="inlineStr">
        <is>
          <t>VW-01</t>
        </is>
      </c>
      <c r="C1138" s="12" t="inlineStr">
        <is>
          <t>Materials library, phone, who may</t>
        </is>
      </c>
      <c r="D1138" s="14" t="inlineStr">
        <is>
          <t>Who may</t>
        </is>
      </c>
      <c r="E1138" s="14" t="inlineStr">
        <is>
          <t>Built</t>
        </is>
      </c>
      <c r="F1138" s="12" t="inlineStr">
        <is>
          <t>Every role but Accounting; Who sees leads on lead designs; delete by maker, Owner or Admin</t>
        </is>
      </c>
      <c r="G1138" s="12" t="inlineStr">
        <is>
          <t>13.21, 13.22</t>
        </is>
      </c>
      <c r="H1138" s="12" t="inlineStr"/>
      <c r="I1138" s="17" t="n"/>
      <c r="J1138" s="17" t="n"/>
    </row>
    <row r="1139">
      <c r="A1139" s="12" t="inlineStr">
        <is>
          <t>AI Visualizer</t>
        </is>
      </c>
      <c r="B1139" s="12" t="inlineStr">
        <is>
          <t>VW-02</t>
        </is>
      </c>
      <c r="C1139" s="12" t="inlineStr">
        <is>
          <t>Materials library, phone, who may</t>
        </is>
      </c>
      <c r="D1139" s="14" t="inlineStr">
        <is>
          <t>Usage funnel</t>
        </is>
      </c>
      <c r="E1139" s="14" t="inlineStr">
        <is>
          <t>Platform</t>
        </is>
      </c>
      <c r="F1139" s="12" t="inlineStr">
        <is>
          <t>Not built.</t>
        </is>
      </c>
      <c r="G1139" s="12" t="inlineStr"/>
      <c r="H1139" s="12" t="inlineStr"/>
      <c r="I1139" s="17" t="n"/>
      <c r="J1139" s="17" t="n"/>
    </row>
    <row r="1140">
      <c r="A1140" s="12" t="inlineStr">
        <is>
          <t>AI Visualizer</t>
        </is>
      </c>
      <c r="B1140" s="12" t="inlineStr">
        <is>
          <t>VW-03</t>
        </is>
      </c>
      <c r="C1140" s="12" t="inlineStr">
        <is>
          <t>Materials library, phone, who may</t>
        </is>
      </c>
      <c r="D1140" s="14" t="inlineStr">
        <is>
          <t>Trial + demo (A G-01…G-14)</t>
        </is>
      </c>
      <c r="E1140" s="14" t="inlineStr">
        <is>
          <t>Built</t>
        </is>
      </c>
      <c r="F1140" s="12" t="inlineStr">
        <is>
          <t>The website’s trial at /site/try: three renders a browser, marked (S36)</t>
        </is>
      </c>
      <c r="G1140" s="12" t="inlineStr"/>
      <c r="H1140" s="28" t="inlineStr">
        <is>
          <t>Team check</t>
        </is>
      </c>
      <c r="I1140" s="17" t="n"/>
      <c r="J1140" s="17" t="n"/>
    </row>
    <row r="1141">
      <c r="A1141" s="12" t="inlineStr">
        <is>
          <t>AI credits &amp; plans</t>
        </is>
      </c>
      <c r="B1141" s="12" t="inlineStr">
        <is>
          <t>CR-01</t>
        </is>
      </c>
      <c r="C1141" s="12" t="inlineStr">
        <is>
          <t>Plans and prices</t>
        </is>
      </c>
      <c r="D1141" s="14" t="inlineStr">
        <is>
          <t>The four plans, prices, allowances, seats, annual = 11 × monthly, the 14-day Pro trial</t>
        </is>
      </c>
      <c r="E1141" s="14" t="inlineStr">
        <is>
          <t>Built</t>
        </is>
      </c>
      <c r="F1141" s="12" t="inlineStr"/>
      <c r="G1141" s="12" t="inlineStr">
        <is>
          <t>14.02</t>
        </is>
      </c>
      <c r="H1141" s="12" t="inlineStr"/>
      <c r="I1141" s="17" t="n"/>
      <c r="J1141" s="17" t="n"/>
    </row>
    <row r="1142">
      <c r="A1142" s="12" t="inlineStr">
        <is>
          <t>AI credits &amp; plans</t>
        </is>
      </c>
      <c r="B1142" s="12" t="inlineStr">
        <is>
          <t>CR-02</t>
        </is>
      </c>
      <c r="C1142" s="12" t="inlineStr">
        <is>
          <t>Plans and prices</t>
        </is>
      </c>
      <c r="D1142" s="14" t="inlineStr">
        <is>
          <t>Two buckets: plan credits first, top-ups never expire, refunds into top-ups</t>
        </is>
      </c>
      <c r="E1142" s="14" t="inlineStr">
        <is>
          <t>Built</t>
        </is>
      </c>
      <c r="F1142" s="12" t="inlineStr"/>
      <c r="G1142" s="12" t="inlineStr">
        <is>
          <t>14.01</t>
        </is>
      </c>
      <c r="H1142" s="12" t="inlineStr"/>
      <c r="I1142" s="17" t="n"/>
      <c r="J1142" s="17" t="n"/>
    </row>
    <row r="1143">
      <c r="A1143" s="12" t="inlineStr">
        <is>
          <t>AI credits &amp; plans</t>
        </is>
      </c>
      <c r="B1143" s="12" t="inlineStr">
        <is>
          <t>CR-03</t>
        </is>
      </c>
      <c r="C1143" s="12" t="inlineStr">
        <is>
          <t>Plans and prices</t>
        </is>
      </c>
      <c r="D1143" s="14" t="inlineStr">
        <is>
          <t>The price list (render 10 · pro render 20 · defurnish 10 · digitize 5 …)</t>
        </is>
      </c>
      <c r="E1143" s="14" t="inlineStr">
        <is>
          <t>Built</t>
        </is>
      </c>
      <c r="F1143" s="12" t="inlineStr"/>
      <c r="G1143" s="12" t="inlineStr">
        <is>
          <t>14.05</t>
        </is>
      </c>
      <c r="H1143" s="12" t="inlineStr"/>
      <c r="I1143" s="17" t="n"/>
      <c r="J1143" s="17" t="n"/>
    </row>
    <row r="1144">
      <c r="A1144" s="12" t="inlineStr">
        <is>
          <t>AI credits &amp; plans</t>
        </is>
      </c>
      <c r="B1144" s="12" t="inlineStr">
        <is>
          <t>CR-04</t>
        </is>
      </c>
      <c r="C1144" s="12" t="inlineStr">
        <is>
          <t>Plans and prices</t>
        </is>
      </c>
      <c r="D1144" s="14" t="inlineStr">
        <is>
          <t>Variants × price in one charge</t>
        </is>
      </c>
      <c r="E1144" s="14" t="inlineStr">
        <is>
          <t>Built</t>
        </is>
      </c>
      <c r="F1144" s="12" t="inlineStr"/>
      <c r="G1144" s="12" t="inlineStr">
        <is>
          <t>14.05</t>
        </is>
      </c>
      <c r="H1144" s="12" t="inlineStr"/>
      <c r="I1144" s="17" t="n"/>
      <c r="J1144" s="17" t="n"/>
    </row>
    <row r="1145">
      <c r="A1145" s="12" t="inlineStr">
        <is>
          <t>AI credits &amp; plans</t>
        </is>
      </c>
      <c r="B1145" s="12" t="inlineStr">
        <is>
          <t>CR-05</t>
        </is>
      </c>
      <c r="C1145" s="12" t="inlineStr">
        <is>
          <t>Plans and prices</t>
        </is>
      </c>
      <c r="D1145" s="14" t="inlineStr">
        <is>
          <t>Charge first, refund on every failure</t>
        </is>
      </c>
      <c r="E1145" s="14" t="inlineStr">
        <is>
          <t>Built</t>
        </is>
      </c>
      <c r="F1145" s="12" t="inlineStr"/>
      <c r="G1145" s="12" t="inlineStr">
        <is>
          <t>14.06</t>
        </is>
      </c>
      <c r="H1145" s="12" t="inlineStr"/>
      <c r="I1145" s="17" t="n"/>
      <c r="J1145" s="17" t="n"/>
    </row>
    <row r="1146">
      <c r="A1146" s="12" t="inlineStr">
        <is>
          <t>AI credits &amp; plans</t>
        </is>
      </c>
      <c r="B1146" s="12" t="inlineStr">
        <is>
          <t>CR-06</t>
        </is>
      </c>
      <c r="C1146" s="12" t="inlineStr">
        <is>
          <t>Plans and prices</t>
        </is>
      </c>
      <c r="D1146" s="14" t="inlineStr">
        <is>
          <t>Top-up 1,000 for S$20</t>
        </is>
      </c>
      <c r="E1146" s="14" t="inlineStr">
        <is>
          <t>Built</t>
        </is>
      </c>
      <c r="F1146" s="12" t="inlineStr">
        <is>
          <t>Any amount 100–5,000 in fifties at S$2 per 100, as 1.0 now sells (S19)</t>
        </is>
      </c>
      <c r="G1146" s="12" t="inlineStr">
        <is>
          <t>14.07</t>
        </is>
      </c>
      <c r="H1146" s="12" t="inlineStr"/>
      <c r="I1146" s="17" t="n"/>
      <c r="J1146" s="17" t="n"/>
    </row>
    <row r="1147">
      <c r="A1147" s="12" t="inlineStr">
        <is>
          <t>AI credits &amp; plans</t>
        </is>
      </c>
      <c r="B1147" s="12" t="inlineStr">
        <is>
          <t>CR-07</t>
        </is>
      </c>
      <c r="C1147" s="12" t="inlineStr">
        <is>
          <t>Plans and prices</t>
        </is>
      </c>
      <c r="D1147" s="14" t="inlineStr">
        <is>
          <t>Tax (Dodo as merchant of record)</t>
        </is>
      </c>
      <c r="E1147" s="14" t="inlineStr">
        <is>
          <t>Built</t>
        </is>
      </c>
      <c r="F1147" s="12" t="inlineStr">
        <is>
          <t>The studio's own GST line under every price (Q-15); finance to confirm the words.</t>
        </is>
      </c>
      <c r="G1147" s="12" t="inlineStr">
        <is>
          <t>14.02</t>
        </is>
      </c>
      <c r="H1147" s="12" t="inlineStr"/>
      <c r="I1147" s="17" t="n"/>
      <c r="J1147" s="17" t="n"/>
    </row>
    <row r="1148">
      <c r="A1148" s="12" t="inlineStr">
        <is>
          <t>AI credits &amp; plans</t>
        </is>
      </c>
      <c r="B1148" s="12" t="inlineStr">
        <is>
          <t>RL-01</t>
        </is>
      </c>
      <c r="C1148" s="12" t="inlineStr">
        <is>
          <t>The rail and the card</t>
        </is>
      </c>
      <c r="D1148" s="14" t="inlineStr">
        <is>
          <t>Upgrade in the rail</t>
        </is>
      </c>
      <c r="E1148" s="14" t="inlineStr">
        <is>
          <t>Built</t>
        </is>
      </c>
      <c r="F1148" s="12" t="inlineStr"/>
      <c r="G1148" s="12" t="inlineStr">
        <is>
          <t>14.01, 14.03</t>
        </is>
      </c>
      <c r="H1148" s="12" t="inlineStr"/>
      <c r="I1148" s="17" t="n"/>
      <c r="J1148" s="17" t="n"/>
    </row>
    <row r="1149">
      <c r="A1149" s="12" t="inlineStr">
        <is>
          <t>AI credits &amp; plans</t>
        </is>
      </c>
      <c r="B1149" s="12" t="inlineStr">
        <is>
          <t>RL-02</t>
        </is>
      </c>
      <c r="C1149" s="12" t="inlineStr">
        <is>
          <t>The rail and the card</t>
        </is>
      </c>
      <c r="D1149" s="14" t="inlineStr">
        <is>
          <t>The credits pill and its states</t>
        </is>
      </c>
      <c r="E1149" s="14" t="inlineStr">
        <is>
          <t>Built</t>
        </is>
      </c>
      <c r="F1149" s="12" t="inlineStr"/>
      <c r="G1149" s="12" t="inlineStr">
        <is>
          <t>14.01</t>
        </is>
      </c>
      <c r="H1149" s="12" t="inlineStr"/>
      <c r="I1149" s="17" t="n"/>
      <c r="J1149" s="17" t="n"/>
    </row>
    <row r="1150">
      <c r="A1150" s="12" t="inlineStr">
        <is>
          <t>AI credits &amp; plans</t>
        </is>
      </c>
      <c r="B1150" s="12" t="inlineStr">
        <is>
          <t>RL-03</t>
        </is>
      </c>
      <c r="C1150" s="12" t="inlineStr">
        <is>
          <t>The rail and the card</t>
        </is>
      </c>
      <c r="D1150" s="14" t="inlineStr">
        <is>
          <t>The collapsed tile</t>
        </is>
      </c>
      <c r="E1150" s="14" t="inlineStr">
        <is>
          <t>Built</t>
        </is>
      </c>
      <c r="F1150" s="12" t="inlineStr"/>
      <c r="G1150" s="12" t="inlineStr">
        <is>
          <t>14.01</t>
        </is>
      </c>
      <c r="H1150" s="12" t="inlineStr"/>
      <c r="I1150" s="17" t="n"/>
      <c r="J1150" s="17" t="n"/>
    </row>
    <row r="1151">
      <c r="A1151" s="12" t="inlineStr">
        <is>
          <t>AI credits &amp; plans</t>
        </is>
      </c>
      <c r="B1151" s="12" t="inlineStr">
        <is>
          <t>RL-04</t>
        </is>
      </c>
      <c r="C1151" s="12" t="inlineStr">
        <is>
          <t>The rail and the card</t>
        </is>
      </c>
      <c r="D1151" s="14" t="inlineStr">
        <is>
          <t>The hover popover</t>
        </is>
      </c>
      <c r="E1151" s="14" t="inlineStr">
        <is>
          <t>Built</t>
        </is>
      </c>
      <c r="F1151" s="12" t="inlineStr">
        <is>
          <t>A press opens the card; hover gives the tooltip (Q-07).</t>
        </is>
      </c>
      <c r="G1151" s="12" t="inlineStr">
        <is>
          <t>14.01</t>
        </is>
      </c>
      <c r="H1151" s="12" t="inlineStr"/>
      <c r="I1151" s="17" t="n"/>
      <c r="J1151" s="17" t="n"/>
    </row>
    <row r="1152">
      <c r="A1152" s="12" t="inlineStr">
        <is>
          <t>AI credits &amp; plans</t>
        </is>
      </c>
      <c r="B1152" s="12" t="inlineStr">
        <is>
          <t>RL-05</t>
        </is>
      </c>
      <c r="C1152" s="12" t="inlineStr">
        <is>
          <t>The rail and the card</t>
        </is>
      </c>
      <c r="D1152" s="14" t="inlineStr">
        <is>
          <t>The popover's lines and buy block</t>
        </is>
      </c>
      <c r="E1152" s="14" t="inlineStr">
        <is>
          <t>Built</t>
        </is>
      </c>
      <c r="F1152" s="12" t="inlineStr"/>
      <c r="G1152" s="12" t="inlineStr">
        <is>
          <t>14.01</t>
        </is>
      </c>
      <c r="H1152" s="12" t="inlineStr"/>
      <c r="I1152" s="17" t="n"/>
      <c r="J1152" s="17" t="n"/>
    </row>
    <row r="1153">
      <c r="A1153" s="12" t="inlineStr">
        <is>
          <t>AI credits &amp; plans</t>
        </is>
      </c>
      <c r="B1153" s="12" t="inlineStr">
        <is>
          <t>RL-06</t>
        </is>
      </c>
      <c r="C1153" s="12" t="inlineStr">
        <is>
          <t>The rail and the card</t>
        </is>
      </c>
      <c r="D1153" s="14" t="inlineStr">
        <is>
          <t>The balance in the rail-less AI Visualizer</t>
        </is>
      </c>
      <c r="E1153" s="14" t="inlineStr">
        <is>
          <t>2.0 only</t>
        </is>
      </c>
      <c r="F1153" s="12" t="inlineStr"/>
      <c r="G1153" s="12" t="inlineStr">
        <is>
          <t>14.05</t>
        </is>
      </c>
      <c r="H1153" s="12" t="inlineStr"/>
      <c r="I1153" s="17" t="n"/>
      <c r="J1153" s="17" t="n"/>
    </row>
    <row r="1154">
      <c r="A1154" s="12" t="inlineStr">
        <is>
          <t>AI credits &amp; plans</t>
        </is>
      </c>
      <c r="B1154" s="12" t="inlineStr">
        <is>
          <t>PL-01</t>
        </is>
      </c>
      <c r="C1154" s="12" t="inlineStr">
        <is>
          <t>Plans in the app</t>
        </is>
      </c>
      <c r="D1154" s="14" t="inlineStr">
        <is>
          <t>/pricing and /upgrade</t>
        </is>
      </c>
      <c r="E1154" s="14" t="inlineStr">
        <is>
          <t>Built</t>
        </is>
      </c>
      <c r="F1154" s="12" t="inlineStr">
        <is>
          <t>Plans opens inside the app (Q-10).</t>
        </is>
      </c>
      <c r="G1154" s="12" t="inlineStr">
        <is>
          <t>14.02</t>
        </is>
      </c>
      <c r="H1154" s="12" t="inlineStr"/>
      <c r="I1154" s="17" t="n"/>
      <c r="J1154" s="17" t="n"/>
    </row>
    <row r="1155">
      <c r="A1155" s="12" t="inlineStr">
        <is>
          <t>AI credits &amp; plans</t>
        </is>
      </c>
      <c r="B1155" s="12" t="inlineStr">
        <is>
          <t>PL-02</t>
        </is>
      </c>
      <c r="C1155" s="12" t="inlineStr">
        <is>
          <t>Plans in the app</t>
        </is>
      </c>
      <c r="D1155" s="14" t="inlineStr">
        <is>
          <t>Cards, toggles, allowance table, comparison, FAQ</t>
        </is>
      </c>
      <c r="E1155" s="14" t="inlineStr">
        <is>
          <t>Built</t>
        </is>
      </c>
      <c r="F1155" s="12" t="inlineStr"/>
      <c r="G1155" s="12" t="inlineStr">
        <is>
          <t>14.02</t>
        </is>
      </c>
      <c r="H1155" s="12" t="inlineStr"/>
      <c r="I1155" s="17" t="n"/>
      <c r="J1155" s="17" t="n"/>
    </row>
    <row r="1156">
      <c r="A1156" s="12" t="inlineStr">
        <is>
          <t>AI credits &amp; plans</t>
        </is>
      </c>
      <c r="B1156" s="12" t="inlineStr">
        <is>
          <t>PL-03</t>
        </is>
      </c>
      <c r="C1156" s="12" t="inlineStr">
        <is>
          <t>Plans in the app</t>
        </is>
      </c>
      <c r="D1156" s="14" t="inlineStr">
        <is>
          <t>Current plan, seats, the suggested plan</t>
        </is>
      </c>
      <c r="E1156" s="14" t="inlineStr">
        <is>
          <t>Built</t>
        </is>
      </c>
      <c r="F1156" s="12" t="inlineStr"/>
      <c r="G1156" s="12" t="inlineStr">
        <is>
          <t>14.02</t>
        </is>
      </c>
      <c r="H1156" s="12" t="inlineStr"/>
      <c r="I1156" s="17" t="n"/>
      <c r="J1156" s="17" t="n"/>
    </row>
    <row r="1157">
      <c r="A1157" s="12" t="inlineStr">
        <is>
          <t>AI credits &amp; plans</t>
        </is>
      </c>
      <c r="B1157" s="12" t="inlineStr">
        <is>
          <t>PL-04</t>
        </is>
      </c>
      <c r="C1157" s="12" t="inlineStr">
        <is>
          <t>Plans in the app</t>
        </is>
      </c>
      <c r="D1157" s="14" t="inlineStr">
        <is>
          <t>The Dodo overlay checkout</t>
        </is>
      </c>
      <c r="E1157" s="14" t="inlineStr">
        <is>
          <t>Built</t>
        </is>
      </c>
      <c r="F1157" s="12" t="inlineStr">
        <is>
          <t>A labelled demo stand-in in the prototype (Q-14).</t>
        </is>
      </c>
      <c r="G1157" s="12" t="inlineStr">
        <is>
          <t>14.04</t>
        </is>
      </c>
      <c r="H1157" s="12" t="inlineStr"/>
      <c r="I1157" s="17" t="n"/>
      <c r="J1157" s="17" t="n"/>
    </row>
    <row r="1158">
      <c r="A1158" s="12" t="inlineStr">
        <is>
          <t>AI credits &amp; plans</t>
        </is>
      </c>
      <c r="B1158" s="12" t="inlineStr">
        <is>
          <t>PL-05</t>
        </is>
      </c>
      <c r="C1158" s="12" t="inlineStr">
        <is>
          <t>Plans in the app</t>
        </is>
      </c>
      <c r="D1158" s="14" t="inlineStr">
        <is>
          <t>The checkout's status line</t>
        </is>
      </c>
      <c r="E1158" s="14" t="inlineStr">
        <is>
          <t>Built</t>
        </is>
      </c>
      <c r="F1158" s="12" t="inlineStr"/>
      <c r="G1158" s="12" t="inlineStr">
        <is>
          <t>14.04</t>
        </is>
      </c>
      <c r="H1158" s="12" t="inlineStr"/>
      <c r="I1158" s="17" t="n"/>
      <c r="J1158" s="17" t="n"/>
    </row>
    <row r="1159">
      <c r="A1159" s="12" t="inlineStr">
        <is>
          <t>AI credits &amp; plans</t>
        </is>
      </c>
      <c r="B1159" s="12" t="inlineStr">
        <is>
          <t>PL-06</t>
        </is>
      </c>
      <c r="C1159" s="12" t="inlineStr">
        <is>
          <t>Plans in the app</t>
        </is>
      </c>
      <c r="D1159" s="14" t="inlineStr">
        <is>
          <t>Success: the credits count in; the rail's upgrade moment</t>
        </is>
      </c>
      <c r="E1159" s="14" t="inlineStr">
        <is>
          <t>2.0 only</t>
        </is>
      </c>
      <c r="F1159" s="12" t="inlineStr"/>
      <c r="G1159" s="12" t="inlineStr">
        <is>
          <t>14.04</t>
        </is>
      </c>
      <c r="H1159" s="12" t="inlineStr"/>
      <c r="I1159" s="17" t="n"/>
      <c r="J1159" s="17" t="n"/>
    </row>
    <row r="1160">
      <c r="A1160" s="12" t="inlineStr">
        <is>
          <t>AI credits &amp; plans</t>
        </is>
      </c>
      <c r="B1160" s="12" t="inlineStr">
        <is>
          <t>PL-07</t>
        </is>
      </c>
      <c r="C1160" s="12" t="inlineStr">
        <is>
          <t>Plans in the app</t>
        </is>
      </c>
      <c r="D1160" s="14" t="inlineStr">
        <is>
          <t>The 14-day Pro trial</t>
        </is>
      </c>
      <c r="E1160" s="14" t="inlineStr">
        <is>
          <t>Built</t>
        </is>
      </c>
      <c r="F1160" s="12" t="inlineStr"/>
      <c r="G1160" s="12" t="inlineStr">
        <is>
          <t>14.04</t>
        </is>
      </c>
      <c r="H1160" s="12" t="inlineStr"/>
      <c r="I1160" s="17" t="n"/>
      <c r="J1160" s="17" t="n"/>
    </row>
    <row r="1161">
      <c r="A1161" s="12" t="inlineStr">
        <is>
          <t>AI credits &amp; plans</t>
        </is>
      </c>
      <c r="B1161" s="12" t="inlineStr">
        <is>
          <t>PL-08</t>
        </is>
      </c>
      <c r="C1161" s="12" t="inlineStr">
        <is>
          <t>Plans in the app</t>
        </is>
      </c>
      <c r="D1161" s="14" t="inlineStr">
        <is>
          <t>Max: Talk to us</t>
        </is>
      </c>
      <c r="E1161" s="14" t="inlineStr">
        <is>
          <t>Built</t>
        </is>
      </c>
      <c r="F1161" s="12" t="inlineStr"/>
      <c r="G1161" s="12" t="inlineStr">
        <is>
          <t>14.15</t>
        </is>
      </c>
      <c r="H1161" s="12" t="inlineStr"/>
      <c r="I1161" s="17" t="n"/>
      <c r="J1161" s="17" t="n"/>
    </row>
    <row r="1162">
      <c r="A1162" s="12" t="inlineStr">
        <is>
          <t>AI credits &amp; plans</t>
        </is>
      </c>
      <c r="B1162" s="12" t="inlineStr">
        <is>
          <t>PL-09</t>
        </is>
      </c>
      <c r="C1162" s="12" t="inlineStr">
        <is>
          <t>Plans in the app</t>
        </is>
      </c>
      <c r="D1162" s="14" t="inlineStr">
        <is>
          <t>Change plan, cancel</t>
        </is>
      </c>
      <c r="E1162" s="14" t="inlineStr">
        <is>
          <t>Built</t>
        </is>
      </c>
      <c r="F1162" s="12" t="inlineStr">
        <is>
          <t>Through Manage billing (Dodo's portal in the live app, Q-19).</t>
        </is>
      </c>
      <c r="G1162" s="12" t="inlineStr">
        <is>
          <t>14.13</t>
        </is>
      </c>
      <c r="H1162" s="12" t="inlineStr"/>
      <c r="I1162" s="17" t="n"/>
      <c r="J1162" s="17" t="n"/>
    </row>
    <row r="1163">
      <c r="A1163" s="12" t="inlineStr">
        <is>
          <t>AI credits &amp; plans</t>
        </is>
      </c>
      <c r="B1163" s="12" t="inlineStr">
        <is>
          <t>PM-01</t>
        </is>
      </c>
      <c r="C1163" s="12" t="inlineStr">
        <is>
          <t>Costs and moments</t>
        </is>
      </c>
      <c r="D1163" s="14" t="inlineStr">
        <is>
          <t>The cost on metered buttons</t>
        </is>
      </c>
      <c r="E1163" s="14" t="inlineStr">
        <is>
          <t>Built</t>
        </is>
      </c>
      <c r="F1163" s="12" t="inlineStr"/>
      <c r="G1163" s="12" t="inlineStr">
        <is>
          <t>14.05, 14.08</t>
        </is>
      </c>
      <c r="H1163" s="12" t="inlineStr"/>
      <c r="I1163" s="17" t="n"/>
      <c r="J1163" s="17" t="n"/>
    </row>
    <row r="1164">
      <c r="A1164" s="12" t="inlineStr">
        <is>
          <t>AI credits &amp; plans</t>
        </is>
      </c>
      <c r="B1164" s="12" t="inlineStr">
        <is>
          <t>PM-02</t>
        </is>
      </c>
      <c r="C1164" s="12" t="inlineStr">
        <is>
          <t>Costs and moments</t>
        </is>
      </c>
      <c r="D1164" s="14" t="inlineStr">
        <is>
          <t>Out of credits: buy and carry on</t>
        </is>
      </c>
      <c r="E1164" s="14" t="inlineStr">
        <is>
          <t>Built</t>
        </is>
      </c>
      <c r="F1164" s="12" t="inlineStr"/>
      <c r="G1164" s="12" t="inlineStr">
        <is>
          <t>14.07</t>
        </is>
      </c>
      <c r="H1164" s="12" t="inlineStr"/>
      <c r="I1164" s="17" t="n"/>
      <c r="J1164" s="17" t="n"/>
    </row>
    <row r="1165">
      <c r="A1165" s="12" t="inlineStr">
        <is>
          <t>AI credits &amp; plans</t>
        </is>
      </c>
      <c r="B1165" s="12" t="inlineStr">
        <is>
          <t>PM-03</t>
        </is>
      </c>
      <c r="C1165" s="12" t="inlineStr">
        <is>
          <t>Costs and moments</t>
        </is>
      </c>
      <c r="D1165" s="14" t="inlineStr">
        <is>
          <t>A member's amount reached: Request more</t>
        </is>
      </c>
      <c r="E1165" s="14" t="inlineStr">
        <is>
          <t>Built</t>
        </is>
      </c>
      <c r="F1165" s="12" t="inlineStr"/>
      <c r="G1165" s="12" t="inlineStr">
        <is>
          <t>14.11, 14.12</t>
        </is>
      </c>
      <c r="H1165" s="12" t="inlineStr"/>
      <c r="I1165" s="17" t="n"/>
      <c r="J1165" s="17" t="n"/>
    </row>
    <row r="1166">
      <c r="A1166" s="12" t="inlineStr">
        <is>
          <t>AI credits &amp; plans</t>
        </is>
      </c>
      <c r="B1166" s="12" t="inlineStr">
        <is>
          <t>PM-04</t>
        </is>
      </c>
      <c r="C1166" s="12" t="inlineStr">
        <is>
          <t>Costs and moments</t>
        </is>
      </c>
      <c r="D1166" s="14" t="inlineStr">
        <is>
          <t>Plan-locked features</t>
        </is>
      </c>
      <c r="E1166" s="14" t="inlineStr">
        <is>
          <t>Built</t>
        </is>
      </c>
      <c r="F1166" s="12" t="inlineStr">
        <is>
          <t>1.0’s Pro locks on Free (S19); one upgrade ask while it waits (S42)</t>
        </is>
      </c>
      <c r="G1166" s="12" t="inlineStr"/>
      <c r="H1166" s="28" t="inlineStr">
        <is>
          <t>Team check</t>
        </is>
      </c>
      <c r="I1166" s="17" t="n"/>
      <c r="J1166" s="17" t="n"/>
    </row>
    <row r="1167">
      <c r="A1167" s="12" t="inlineStr">
        <is>
          <t>AI credits &amp; plans</t>
        </is>
      </c>
      <c r="B1167" s="12" t="inlineStr">
        <is>
          <t>PM-05</t>
        </is>
      </c>
      <c r="C1167" s="12" t="inlineStr">
        <is>
          <t>Costs and moments</t>
        </is>
      </c>
      <c r="D1167" s="14" t="inlineStr">
        <is>
          <t>Refunds said at the failure</t>
        </is>
      </c>
      <c r="E1167" s="14" t="inlineStr">
        <is>
          <t>Built</t>
        </is>
      </c>
      <c r="F1167" s="12" t="inlineStr"/>
      <c r="G1167" s="12" t="inlineStr">
        <is>
          <t>14.06</t>
        </is>
      </c>
      <c r="H1167" s="12" t="inlineStr"/>
      <c r="I1167" s="17" t="n"/>
      <c r="J1167" s="17" t="n"/>
    </row>
    <row r="1168">
      <c r="A1168" s="12" t="inlineStr">
        <is>
          <t>AI credits &amp; plans</t>
        </is>
      </c>
      <c r="B1168" s="12" t="inlineStr">
        <is>
          <t>PM-06</t>
        </is>
      </c>
      <c r="C1168" s="12" t="inlineStr">
        <is>
          <t>Costs and moments</t>
        </is>
      </c>
      <c r="D1168" s="14" t="inlineStr">
        <is>
          <t>Low-balance warning</t>
        </is>
      </c>
      <c r="E1168" s="14" t="inlineStr">
        <is>
          <t>Built</t>
        </is>
      </c>
      <c r="F1168" s="12" t="inlineStr"/>
      <c r="G1168" s="12" t="inlineStr"/>
      <c r="H1168" s="28" t="inlineStr">
        <is>
          <t>Team check</t>
        </is>
      </c>
      <c r="I1168" s="17" t="n"/>
      <c r="J1168" s="17" t="n"/>
    </row>
    <row r="1169">
      <c r="A1169" s="12" t="inlineStr">
        <is>
          <t>AI credits &amp; plans</t>
        </is>
      </c>
      <c r="B1169" s="12" t="inlineStr">
        <is>
          <t>PM-07</t>
        </is>
      </c>
      <c r="C1169" s="12" t="inlineStr">
        <is>
          <t>Costs and moments</t>
        </is>
      </c>
      <c r="D1169" s="14" t="inlineStr">
        <is>
          <t>Payment failed</t>
        </is>
      </c>
      <c r="E1169" s="14" t="inlineStr">
        <is>
          <t>Built</t>
        </is>
      </c>
      <c r="F1169" s="12" t="inlineStr"/>
      <c r="G1169" s="12" t="inlineStr">
        <is>
          <t>14.14</t>
        </is>
      </c>
      <c r="H1169" s="12" t="inlineStr"/>
      <c r="I1169" s="17" t="n"/>
      <c r="J1169" s="17" t="n"/>
    </row>
    <row r="1170">
      <c r="A1170" s="12" t="inlineStr">
        <is>
          <t>AI credits &amp; plans</t>
        </is>
      </c>
      <c r="B1170" s="12" t="inlineStr">
        <is>
          <t>PM-08</t>
        </is>
      </c>
      <c r="C1170" s="12" t="inlineStr">
        <is>
          <t>Costs and moments</t>
        </is>
      </c>
      <c r="D1170" s="14" t="inlineStr">
        <is>
          <t>Auto top-up</t>
        </is>
      </c>
      <c r="E1170" s="14" t="inlineStr">
        <is>
          <t>Built</t>
        </is>
      </c>
      <c r="F1170" s="12" t="inlineStr">
        <is>
          <t>The Owner’s switch on Plan &amp; billing: line, amount, a monthly ceiling (S19)</t>
        </is>
      </c>
      <c r="G1170" s="12" t="inlineStr"/>
      <c r="H1170" s="28" t="inlineStr">
        <is>
          <t>Team check</t>
        </is>
      </c>
      <c r="I1170" s="17" t="n"/>
      <c r="J1170" s="17" t="n"/>
    </row>
    <row r="1171">
      <c r="A1171" s="12" t="inlineStr">
        <is>
          <t>AI credits &amp; plans</t>
        </is>
      </c>
      <c r="B1171" s="12" t="inlineStr">
        <is>
          <t>US-01</t>
        </is>
      </c>
      <c r="C1171" s="12" t="inlineStr">
        <is>
          <t>Usage and billing</t>
        </is>
      </c>
      <c r="D1171" s="14" t="inlineStr">
        <is>
          <t>Settings › Usage &amp; credits</t>
        </is>
      </c>
      <c r="E1171" s="14" t="inlineStr">
        <is>
          <t>Built</t>
        </is>
      </c>
      <c r="F1171" s="12" t="inlineStr">
        <is>
          <t>Company › Plan &amp; AI credits (Q-22).</t>
        </is>
      </c>
      <c r="G1171" s="12" t="inlineStr">
        <is>
          <t>14.09</t>
        </is>
      </c>
      <c r="H1171" s="12" t="inlineStr"/>
      <c r="I1171" s="17" t="n"/>
      <c r="J1171" s="17" t="n"/>
    </row>
    <row r="1172">
      <c r="A1172" s="12" t="inlineStr">
        <is>
          <t>AI credits &amp; plans</t>
        </is>
      </c>
      <c r="B1172" s="12" t="inlineStr">
        <is>
          <t>US-02</t>
        </is>
      </c>
      <c r="C1172" s="12" t="inlineStr">
        <is>
          <t>Usage and billing</t>
        </is>
      </c>
      <c r="D1172" s="14" t="inlineStr">
        <is>
          <t>Period chips</t>
        </is>
      </c>
      <c r="E1172" s="14" t="inlineStr">
        <is>
          <t>Built</t>
        </is>
      </c>
      <c r="F1172" s="12" t="inlineStr"/>
      <c r="G1172" s="12" t="inlineStr">
        <is>
          <t>14.09</t>
        </is>
      </c>
      <c r="H1172" s="12" t="inlineStr"/>
      <c r="I1172" s="17" t="n"/>
      <c r="J1172" s="17" t="n"/>
    </row>
    <row r="1173">
      <c r="A1173" s="12" t="inlineStr">
        <is>
          <t>AI credits &amp; plans</t>
        </is>
      </c>
      <c r="B1173" s="12" t="inlineStr">
        <is>
          <t>US-03</t>
        </is>
      </c>
      <c r="C1173" s="12" t="inlineStr">
        <is>
          <t>Usage and billing</t>
        </is>
      </c>
      <c r="D1173" s="14" t="inlineStr">
        <is>
          <t>The headline card</t>
        </is>
      </c>
      <c r="E1173" s="14" t="inlineStr">
        <is>
          <t>Built</t>
        </is>
      </c>
      <c r="F1173" s="12" t="inlineStr"/>
      <c r="G1173" s="12" t="inlineStr">
        <is>
          <t>14.09</t>
        </is>
      </c>
      <c r="H1173" s="12" t="inlineStr"/>
      <c r="I1173" s="17" t="n"/>
      <c r="J1173" s="17" t="n"/>
    </row>
    <row r="1174">
      <c r="A1174" s="12" t="inlineStr">
        <is>
          <t>AI credits &amp; plans</t>
        </is>
      </c>
      <c r="B1174" s="12" t="inlineStr">
        <is>
          <t>US-04</t>
        </is>
      </c>
      <c r="C1174" s="12" t="inlineStr">
        <is>
          <t>Usage and billing</t>
        </is>
      </c>
      <c r="D1174" s="14" t="inlineStr">
        <is>
          <t>By member with caps</t>
        </is>
      </c>
      <c r="E1174" s="14" t="inlineStr">
        <is>
          <t>Built</t>
        </is>
      </c>
      <c r="F1174" s="12" t="inlineStr"/>
      <c r="G1174" s="12" t="inlineStr">
        <is>
          <t>14.10</t>
        </is>
      </c>
      <c r="H1174" s="12" t="inlineStr"/>
      <c r="I1174" s="17" t="n"/>
      <c r="J1174" s="17" t="n"/>
    </row>
    <row r="1175">
      <c r="A1175" s="12" t="inlineStr">
        <is>
          <t>AI credits &amp; plans</t>
        </is>
      </c>
      <c r="B1175" s="12" t="inlineStr">
        <is>
          <t>US-05</t>
        </is>
      </c>
      <c r="C1175" s="12" t="inlineStr">
        <is>
          <t>Usage and billing</t>
        </is>
      </c>
      <c r="D1175" s="14" t="inlineStr">
        <is>
          <t>Recent activity</t>
        </is>
      </c>
      <c r="E1175" s="14" t="inlineStr">
        <is>
          <t>Built</t>
        </is>
      </c>
      <c r="F1175" s="12" t="inlineStr"/>
      <c r="G1175" s="12" t="inlineStr">
        <is>
          <t>14.09</t>
        </is>
      </c>
      <c r="H1175" s="12" t="inlineStr"/>
      <c r="I1175" s="17" t="n"/>
      <c r="J1175" s="17" t="n"/>
    </row>
    <row r="1176">
      <c r="A1176" s="12" t="inlineStr">
        <is>
          <t>AI credits &amp; plans</t>
        </is>
      </c>
      <c r="B1176" s="12" t="inlineStr">
        <is>
          <t>US-06</t>
        </is>
      </c>
      <c r="C1176" s="12" t="inlineStr">
        <is>
          <t>Usage and billing</t>
        </is>
      </c>
      <c r="D1176" s="14" t="inlineStr">
        <is>
          <t>Where your credits went (without the US$ cost)</t>
        </is>
      </c>
      <c r="E1176" s="14" t="inlineStr">
        <is>
          <t>Built</t>
        </is>
      </c>
      <c r="F1176" s="12" t="inlineStr"/>
      <c r="G1176" s="12" t="inlineStr">
        <is>
          <t>14.09</t>
        </is>
      </c>
      <c r="H1176" s="12" t="inlineStr"/>
      <c r="I1176" s="17" t="n"/>
      <c r="J1176" s="17" t="n"/>
    </row>
    <row r="1177">
      <c r="A1177" s="12" t="inlineStr">
        <is>
          <t>AI credits &amp; plans</t>
        </is>
      </c>
      <c r="B1177" s="12" t="inlineStr">
        <is>
          <t>US-07</t>
        </is>
      </c>
      <c r="C1177" s="12" t="inlineStr">
        <is>
          <t>Usage and billing</t>
        </is>
      </c>
      <c r="D1177" s="14" t="inlineStr">
        <is>
          <t>By lead, won vs lost</t>
        </is>
      </c>
      <c r="E1177" s="14" t="inlineStr">
        <is>
          <t>2.0 only</t>
        </is>
      </c>
      <c r="F1177" s="12" t="inlineStr"/>
      <c r="G1177" s="12" t="inlineStr">
        <is>
          <t>14.09</t>
        </is>
      </c>
      <c r="H1177" s="12" t="inlineStr"/>
      <c r="I1177" s="17" t="n"/>
      <c r="J1177" s="17" t="n"/>
    </row>
    <row r="1178">
      <c r="A1178" s="12" t="inlineStr">
        <is>
          <t>AI credits &amp; plans</t>
        </is>
      </c>
      <c r="B1178" s="12" t="inlineStr">
        <is>
          <t>US-08</t>
        </is>
      </c>
      <c r="C1178" s="12" t="inlineStr">
        <is>
          <t>Usage and billing</t>
        </is>
      </c>
      <c r="D1178" s="14" t="inlineStr">
        <is>
          <t>Export</t>
        </is>
      </c>
      <c r="E1178" s="14" t="inlineStr">
        <is>
          <t>Built</t>
        </is>
      </c>
      <c r="F1178" s="12" t="inlineStr"/>
      <c r="G1178" s="12" t="inlineStr">
        <is>
          <t>14.09</t>
        </is>
      </c>
      <c r="H1178" s="12" t="inlineStr"/>
      <c r="I1178" s="17" t="n"/>
      <c r="J1178" s="17" t="n"/>
    </row>
    <row r="1179">
      <c r="A1179" s="12" t="inlineStr">
        <is>
          <t>AI credits &amp; plans</t>
        </is>
      </c>
      <c r="B1179" s="12" t="inlineStr">
        <is>
          <t>US-09</t>
        </is>
      </c>
      <c r="C1179" s="12" t="inlineStr">
        <is>
          <t>Usage and billing</t>
        </is>
      </c>
      <c r="D1179" s="14" t="inlineStr">
        <is>
          <t>Plan &amp; billing: plan, seats, card, details, invoices</t>
        </is>
      </c>
      <c r="E1179" s="14" t="inlineStr">
        <is>
          <t>Built</t>
        </is>
      </c>
      <c r="F1179" s="12" t="inlineStr">
        <is>
          <t>Change seats and auto top-up added on Plan &amp; billing (S19)</t>
        </is>
      </c>
      <c r="G1179" s="12" t="inlineStr">
        <is>
          <t>14.13</t>
        </is>
      </c>
      <c r="H1179" s="12" t="inlineStr"/>
      <c r="I1179" s="17" t="n"/>
      <c r="J1179" s="17" t="n"/>
    </row>
    <row r="1180">
      <c r="A1180" s="12" t="inlineStr">
        <is>
          <t>AI credits &amp; plans</t>
        </is>
      </c>
      <c r="B1180" s="12" t="inlineStr">
        <is>
          <t>RO-01</t>
        </is>
      </c>
      <c r="C1180" s="12" t="inlineStr">
        <is>
          <t>Rules, bell, phone, data</t>
        </is>
      </c>
      <c r="D1180" s="14" t="inlineStr">
        <is>
          <t>Owner-only buying, caps and plan; pool for Owner and Admins</t>
        </is>
      </c>
      <c r="E1180" s="14" t="inlineStr">
        <is>
          <t>Built</t>
        </is>
      </c>
      <c r="F1180" s="12" t="inlineStr"/>
      <c r="G1180" s="12" t="inlineStr">
        <is>
          <t>14.11, 14.15</t>
        </is>
      </c>
      <c r="H1180" s="12" t="inlineStr"/>
      <c r="I1180" s="17" t="n"/>
      <c r="J1180" s="17" t="n"/>
    </row>
    <row r="1181">
      <c r="A1181" s="12" t="inlineStr">
        <is>
          <t>AI credits &amp; plans</t>
        </is>
      </c>
      <c r="B1181" s="12" t="inlineStr">
        <is>
          <t>NT-01</t>
        </is>
      </c>
      <c r="C1181" s="12" t="inlineStr">
        <is>
          <t>Rules, bell, phone, data</t>
        </is>
      </c>
      <c r="D1181" s="14" t="inlineStr">
        <is>
          <t>Credit notifications</t>
        </is>
      </c>
      <c r="E1181" s="14" t="inlineStr">
        <is>
          <t>Built</t>
        </is>
      </c>
      <c r="F1181" s="12" t="inlineStr"/>
      <c r="G1181" s="12" t="inlineStr">
        <is>
          <t>14.12, 14.15</t>
        </is>
      </c>
      <c r="H1181" s="12" t="inlineStr"/>
      <c r="I1181" s="17" t="n"/>
      <c r="J1181" s="17" t="n"/>
    </row>
    <row r="1182">
      <c r="A1182" s="12" t="inlineStr">
        <is>
          <t>AI credits &amp; plans</t>
        </is>
      </c>
      <c r="B1182" s="12" t="inlineStr">
        <is>
          <t>PH-01</t>
        </is>
      </c>
      <c r="C1182" s="12" t="inlineStr">
        <is>
          <t>Rules, bell, phone, data</t>
        </is>
      </c>
      <c r="D1182" s="14" t="inlineStr">
        <is>
          <t>Credits on a phone</t>
        </is>
      </c>
      <c r="E1182" s="14" t="inlineStr">
        <is>
          <t>Built</t>
        </is>
      </c>
      <c r="F1182" s="12" t="inlineStr"/>
      <c r="G1182" s="12" t="inlineStr">
        <is>
          <t>14.16</t>
        </is>
      </c>
      <c r="H1182" s="12" t="inlineStr"/>
      <c r="I1182" s="17" t="n"/>
      <c r="J1182" s="17" t="n"/>
    </row>
    <row r="1183">
      <c r="A1183" s="12" t="inlineStr">
        <is>
          <t>AI credits &amp; plans</t>
        </is>
      </c>
      <c r="B1183" s="12" t="inlineStr">
        <is>
          <t>DA-01</t>
        </is>
      </c>
      <c r="C1183" s="12" t="inlineStr">
        <is>
          <t>Rules, bell, phone, data</t>
        </is>
      </c>
      <c r="D1183" s="14" t="inlineStr">
        <is>
          <t>The tables under 1.0's names</t>
        </is>
      </c>
      <c r="E1183" s="14" t="inlineStr">
        <is>
          <t>Built</t>
        </is>
      </c>
      <c r="F1183" s="12" t="inlineStr"/>
      <c r="G1183" s="12" t="inlineStr"/>
      <c r="H1183" s="28" t="inlineStr">
        <is>
          <t>Team check</t>
        </is>
      </c>
      <c r="I1183" s="17" t="n"/>
      <c r="J1183" s="17" t="n"/>
    </row>
    <row r="1184">
      <c r="A1184" s="12" t="inlineStr">
        <is>
          <t>AI credits &amp; plans</t>
        </is>
      </c>
      <c r="B1184" s="12" t="inlineStr">
        <is>
          <t>EX-01</t>
        </is>
      </c>
      <c r="C1184" s="12" t="inlineStr">
        <is>
          <t>Rules, bell, phone, data</t>
        </is>
      </c>
      <c r="D1184" s="14" t="inlineStr">
        <is>
          <t>/admin/plans, the visitor trial, sign-up gates</t>
        </is>
      </c>
      <c r="E1184" s="14" t="inlineStr">
        <is>
          <t>Excluded</t>
        </is>
      </c>
      <c r="F1184" s="12" t="inlineStr">
        <is>
          <t>/admin/plans stays out; sign-up (S31) and the website trials (S36, S41b-3) built</t>
        </is>
      </c>
      <c r="G1184" s="12" t="inlineStr"/>
      <c r="H1184" s="12" t="inlineStr"/>
      <c r="I1184" s="17" t="n"/>
      <c r="J1184" s="17" t="n"/>
    </row>
  </sheetData>
  <autoFilter ref="A3:J1184"/>
  <mergeCells count="1">
    <mergeCell ref="A2:J2"/>
  </mergeCells>
  <conditionalFormatting sqref="I4:I1184">
    <cfRule type="expression" priority="1" dxfId="0">
      <formula>$I4="✅ Works"</formula>
    </cfRule>
    <cfRule type="expression" priority="2" dxfId="1">
      <formula>$I4="🟡 Works, but…"</formula>
    </cfRule>
    <cfRule type="expression" priority="3" dxfId="2">
      <formula>$I4="❌ Doesn’t work"</formula>
    </cfRule>
    <cfRule type="expression" priority="4" dxfId="3">
      <formula>$I4="🔍 Couldn’t find it"</formula>
    </cfRule>
  </conditionalFormatting>
  <dataValidations count="1">
    <dataValidation sqref="I4:I1184" showDropDown="0" showInputMessage="0" showErrorMessage="1" allowBlank="1" errorTitle="Pick from the list" error="Pick one of the answers in the list." type="list">
      <formula1>='UAT · Lists'!$A$2:$A$6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sheetData>
    <row r="1">
      <c r="A1" s="22" t="inlineStr">
        <is>
          <t>Result</t>
        </is>
      </c>
      <c r="B1" s="22" t="inlineStr">
        <is>
          <t>Status</t>
        </is>
      </c>
      <c r="C1" s="22" t="inlineStr">
        <is>
          <t>Re-tested</t>
        </is>
      </c>
      <c r="D1" s="22" t="inlineStr">
        <is>
          <t>Type</t>
        </is>
      </c>
      <c r="E1" s="22" t="inlineStr">
        <is>
          <t>Tester</t>
        </is>
      </c>
      <c r="F1" s="22" t="inlineStr">
        <is>
          <t>Module</t>
        </is>
      </c>
    </row>
    <row r="2">
      <c r="A2" s="24" t="inlineStr">
        <is>
          <t>✅ Works</t>
        </is>
      </c>
      <c r="B2" s="24" t="inlineStr">
        <is>
          <t>New</t>
        </is>
      </c>
      <c r="C2" s="24" t="inlineStr">
        <is>
          <t>✅ Fixed now</t>
        </is>
      </c>
      <c r="D2" s="24" t="inlineStr">
        <is>
          <t>I did this in 1.0 and can’t find it</t>
        </is>
      </c>
      <c r="E2" s="24" t="inlineStr">
        <is>
          <t>Dane</t>
        </is>
      </c>
      <c r="F2" s="24" t="inlineStr">
        <is>
          <t>Shell</t>
        </is>
      </c>
    </row>
    <row r="3">
      <c r="A3" s="24" t="inlineStr">
        <is>
          <t>🟡 Works, but…</t>
        </is>
      </c>
      <c r="B3" s="24" t="inlineStr">
        <is>
          <t>Fixing</t>
        </is>
      </c>
      <c r="C3" s="24" t="inlineStr">
        <is>
          <t>❌ Still not right</t>
        </is>
      </c>
      <c r="D3" s="24" t="inlineStr">
        <is>
          <t>Confusing</t>
        </is>
      </c>
      <c r="E3" s="24" t="inlineStr">
        <is>
          <t>Oliva</t>
        </is>
      </c>
      <c r="F3" s="24" t="inlineStr">
        <is>
          <t>Company</t>
        </is>
      </c>
    </row>
    <row r="4">
      <c r="A4" s="24" t="inlineStr">
        <is>
          <t>❌ Doesn’t work</t>
        </is>
      </c>
      <c r="B4" s="24" t="inlineStr">
        <is>
          <t>Fixed – please re-test</t>
        </is>
      </c>
      <c r="D4" s="24" t="inlineStr">
        <is>
          <t>Bug (not in the story)</t>
        </is>
      </c>
      <c r="E4" s="24" t="inlineStr">
        <is>
          <t>Swati</t>
        </is>
      </c>
      <c r="F4" s="24" t="inlineStr">
        <is>
          <t>Settings</t>
        </is>
      </c>
    </row>
    <row r="5">
      <c r="A5" s="24" t="inlineStr">
        <is>
          <t>🔍 Couldn’t find it</t>
        </is>
      </c>
      <c r="B5" s="24" t="inlineStr">
        <is>
          <t>Won’t change</t>
        </is>
      </c>
      <c r="D5" s="24" t="inlineStr">
        <is>
          <t>Idea</t>
        </is>
      </c>
      <c r="F5" s="24" t="inlineStr">
        <is>
          <t>Price book</t>
        </is>
      </c>
    </row>
    <row r="6">
      <c r="A6" s="24" t="inlineStr">
        <is>
          <t>⏭️ Skipped</t>
        </is>
      </c>
      <c r="B6" s="24" t="inlineStr">
        <is>
          <t>Talk to Dane</t>
        </is>
      </c>
      <c r="F6" s="24" t="inlineStr">
        <is>
          <t>Templates</t>
        </is>
      </c>
    </row>
    <row r="7">
      <c r="F7" s="24" t="inlineStr">
        <is>
          <t>Leads</t>
        </is>
      </c>
    </row>
    <row r="8">
      <c r="F8" s="24" t="inlineStr">
        <is>
          <t>Lead details</t>
        </is>
      </c>
    </row>
    <row r="9">
      <c r="F9" s="24" t="inlineStr">
        <is>
          <t>Tasks</t>
        </is>
      </c>
    </row>
    <row r="10">
      <c r="F10" s="24" t="inlineStr">
        <is>
          <t>Quotes</t>
        </is>
      </c>
    </row>
    <row r="11">
      <c r="F11" s="24" t="inlineStr">
        <is>
          <t>Quote X-Ray</t>
        </is>
      </c>
    </row>
    <row r="12">
      <c r="F12" s="24" t="inlineStr">
        <is>
          <t>Contracts</t>
        </is>
      </c>
    </row>
    <row r="13">
      <c r="F13" s="24" t="inlineStr">
        <is>
          <t>Notifications</t>
        </is>
      </c>
    </row>
    <row r="14">
      <c r="F14" s="24" t="inlineStr">
        <is>
          <t>Insights</t>
        </is>
      </c>
    </row>
    <row r="15">
      <c r="F15" s="24" t="inlineStr">
        <is>
          <t>AI Visualizer</t>
        </is>
      </c>
    </row>
    <row r="16">
      <c r="F16" s="24" t="inlineStr">
        <is>
          <t>AI credits</t>
        </is>
      </c>
    </row>
    <row r="17">
      <c r="F17" s="24" t="inlineStr">
        <is>
          <t>Projects</t>
        </is>
      </c>
    </row>
    <row r="18">
      <c r="F18" s="24" t="inlineStr">
        <is>
          <t>Money</t>
        </is>
      </c>
    </row>
    <row r="19">
      <c r="F19" s="24" t="inlineStr">
        <is>
          <t>Client portal</t>
        </is>
      </c>
    </row>
    <row r="20">
      <c r="F20" s="24" t="inlineStr">
        <is>
          <t>Meetings</t>
        </is>
      </c>
    </row>
    <row r="21">
      <c r="F21" s="24" t="inlineStr">
        <is>
          <t>Messages</t>
        </is>
      </c>
    </row>
    <row r="22">
      <c r="F22" s="24" t="inlineStr">
        <is>
          <t>3D Space Planner</t>
        </is>
      </c>
    </row>
    <row r="23">
      <c r="F23" s="24" t="inlineStr">
        <is>
          <t>Market Insights</t>
        </is>
      </c>
    </row>
    <row r="24">
      <c r="F24" s="24" t="inlineStr">
        <is>
          <t>Qanvast Ops</t>
        </is>
      </c>
    </row>
    <row r="25">
      <c r="F25" s="24" t="inlineStr">
        <is>
          <t>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2026-10-23T17:38:45Z</dcterms:created>
  <dcterms:modified xsi:type="dcterms:W3CDTF">2026-10-23T17:38:48Z</dcterms:modified>
</cp:coreProperties>
</file>