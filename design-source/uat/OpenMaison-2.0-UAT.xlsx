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checklist'!$A$3:$J$1184</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1"/>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58" customHeight="1">
      <c r="B5" s="4" t="inlineStr">
        <is>
          <t>Demo Studio has just moved from OpenMaison 1.0 to 2.0. Its team, leads and quotes came across with it. You are Dane, the studio owner, logging in for the first time. Over fourteen chapters you set up the studio, receive leads, and take one new client — Sophia Wong, 9765 4321, a 4-room HDB in Tampines — from first call to signed contract. Then you look at the studio as a designer would, review the week, do it all again on your phone, design Sophia’s living room in the AI Visualizer, and finally look after the studio’s plan and AI credits.</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t>
        </is>
      </c>
    </row>
    <row r="26" ht="30" customHeight="1">
      <c r="B26" s="5" t="inlineStr">
        <is>
          <t>Your phone</t>
        </is>
      </c>
      <c r="C26" s="4" t="inlineStr">
        <is>
          <t>Chapter 12: when npm run dev starts, Terminal shows a “Network” address (like http://192.168.1.5:3000). Open it on a phone on the same Wi-Fi.</t>
        </is>
      </c>
    </row>
    <row r="27" ht="18" customHeight="1">
      <c r="B27" s="5" t="inlineStr">
        <is>
          <t>Sample files</t>
        </is>
      </c>
      <c r="C27" s="4" t="inlineStr">
        <is>
          <t>Steps that need a file name it — open http://localhost:3000/uat-files/ plus the file name to download it.</t>
        </is>
      </c>
    </row>
    <row r="28" ht="44" customHeight="1">
      <c r="B28" s="5" t="inlineStr">
        <is>
          <t>Not in 2.0 on purpose</t>
        </is>
      </c>
      <c r="C28" s="4" t="inlineStr">
        <is>
          <t>Journey mode (2.0 moves leads stage by stage), Archive (2.0 uses Delete with a Deleted list), Meetings, Dashboard, Projects, Marketplace and Chat. Their buttons answer “Coming soon in OpenMaison 2.0” — that is expected, not a bug.</t>
        </is>
      </c>
    </row>
    <row r="29" ht="30" customHeight="1">
      <c r="B29" s="5" t="inlineStr">
        <is>
          <t>Something else?</t>
        </is>
      </c>
      <c r="C29" s="4" t="inlineStr">
        <is>
          <t>Anything the story does not cover — especially something you did in 1.0 and cannot find here — goes in “UAT · Missing or other”.</t>
        </is>
      </c>
    </row>
    <row r="30" ht="18" customHeight="1">
      <c r="B30" s="5" t="inlineStr">
        <is>
          <t>Questions</t>
        </is>
      </c>
      <c r="C30" s="4" t="inlineStr">
        <is>
          <t>Ask Vicky or Dane.</t>
        </is>
      </c>
    </row>
    <row r="32">
      <c r="B32" s="3" t="inlineStr">
        <is>
          <t>Example of a filled row</t>
        </is>
      </c>
    </row>
    <row r="33">
      <c r="B33" s="5" t="inlineStr">
        <is>
          <t>Step</t>
        </is>
      </c>
      <c r="C33" s="4" t="inlineStr">
        <is>
          <t>4.03</t>
        </is>
      </c>
    </row>
    <row r="34">
      <c r="B34" s="5" t="inlineStr">
        <is>
          <t>Try this</t>
        </is>
      </c>
      <c r="C34" s="4" t="inlineStr">
        <is>
          <t>Add a lead with a phone number that already exists</t>
        </is>
      </c>
    </row>
    <row r="35">
      <c r="B35" s="5" t="inlineStr">
        <is>
          <t>Result</t>
        </is>
      </c>
      <c r="C35" s="4" t="inlineStr">
        <is>
          <t>🟡 Works, but…</t>
        </is>
      </c>
    </row>
    <row r="36">
      <c r="B36" s="5" t="inlineStr">
        <is>
          <t>What happened</t>
        </is>
      </c>
      <c r="C36" s="4" t="inlineStr">
        <is>
          <t>The warning came up, but I expected it to also show the lead’s stage.</t>
        </is>
      </c>
    </row>
    <row r="38">
      <c r="B38" s="3" t="inlineStr">
        <is>
          <t>Sample files</t>
        </is>
      </c>
    </row>
    <row r="39" ht="30" customHeight="1">
      <c r="B39" s="5" t="inlineStr">
        <is>
          <t>paynow-qr.png</t>
        </is>
      </c>
      <c r="C39" s="4" t="inlineStr">
        <is>
          <t>http://localhost:3000/uat-files/paynow-qr.png — Stands in for the PayNow QR a bank gives the studio (step 2.03). Any picture works — the prototype shows its own sample QR once one is picked.</t>
        </is>
      </c>
    </row>
    <row r="40" ht="30" customHeight="1">
      <c r="B40" s="5" t="inlineStr">
        <is>
          <t>fluted-panel.jpg</t>
        </is>
      </c>
      <c r="C40" s="4" t="inlineStr">
        <is>
          <t>http://localhost:3000/uat-files/fluted-panel.jpg — The photo for the tester's own price-book item, Fluted feature wall panel (step 3.05).</t>
        </is>
      </c>
    </row>
    <row r="41" ht="30" customHeight="1">
      <c r="B41" s="5" t="inlineStr">
        <is>
          <t>supplier-price-list.csv</t>
        </is>
      </c>
      <c r="C41" s="4" t="inlineStr">
        <is>
          <t>http://localhost:3000/uat-files/supplier-price-list.csv — A supplier's price list imported into My Items (steps 3.12–3.13): two new items, one match on an existing item (name + vendor), one repeated row, one new trade.</t>
        </is>
      </c>
    </row>
    <row r="42" ht="30" customHeight="1">
      <c r="B42" s="5" t="inlineStr">
        <is>
          <t>new-leads.xlsx</t>
        </is>
      </c>
      <c r="C42" s="4" t="inlineStr">
        <is>
          <t>http://localhost:3000/uat-files/new-leads.xlsx — 4.06–4.08 and 4.11: the spreadsheet import — 3 clean leads (one from Qanvast), 1 repeat of the seeded Gerald Tan (same phone) to exercise Review › merge, 1 row with no name that the import skips.</t>
        </is>
      </c>
    </row>
    <row r="43" ht="30" customHeight="1">
      <c r="B43" s="5" t="inlineStr">
        <is>
          <t>homematch-lead-sheet.pdf</t>
        </is>
      </c>
      <c r="C43" s="4" t="inlineStr">
        <is>
          <t>http://localhost:3000/uat-files/homematch-lead-sheet.pdf — 4.09: a portal's PDF lead sheet (two leads) read by the import's PDF reader (labelled 'Label: value' lines).</t>
        </is>
      </c>
    </row>
    <row r="44" ht="30" customHeight="1">
      <c r="B44" s="5" t="inlineStr">
        <is>
          <t>sophia-floor-plan.pdf</t>
        </is>
      </c>
      <c r="C44" s="4" t="inlineStr">
        <is>
          <t>http://localhost:3000/uat-files/sophia-floor-plan.pdf — 4.05: attached to Sophia Wong's lead when she is created; 5.14 finds it in her Files tab.</t>
        </is>
      </c>
    </row>
    <row r="45" ht="30" customHeight="1">
      <c r="B45" s="5" t="inlineStr">
        <is>
          <t>sophia-living-room.jpg</t>
        </is>
      </c>
      <c r="C45" s="4" t="inlineStr">
        <is>
          <t>http://localhost:3000/uat-files/sophia-living-room.jpg — 5.15: uploaded into the 'Site photos' folder on Sophia Wong's Files tab (5.16 comments on it; 13.01 opens it in the AI Visualizer).</t>
        </is>
      </c>
    </row>
    <row r="46" ht="30" customHeight="1">
      <c r="B46" s="5" t="inlineStr">
        <is>
          <t>sophia-items-to-paste.xlsx</t>
        </is>
      </c>
      <c r="C46" s="4" t="inlineStr">
        <is>
          <t>http://localhost:3000/uat-files/sophia-items-to-paste.xlsx — Chapter 6 (6.07): a block of quote lines the tester copies in Excel / Numbers / Google Sheets and pastes into Sophia’s Items table. Chapter 7 (7.10) reuses it as “Your quote” in Upload two quotes.</t>
        </is>
      </c>
    </row>
    <row r="47" ht="30" customHeight="1">
      <c r="B47" s="5" t="inlineStr">
        <is>
          <t>kitchen-moodboard.jpg</t>
        </is>
      </c>
      <c r="C47" s="4" t="inlineStr">
        <is>
          <t>http://localhost:3000/uat-files/kitchen-moodboard.jpg — Chapter 6 (6.22) the file attached to Sophia’s quote; 6.41 and chapter 7 (7.10) use it as a file the readers must refuse (a photo that is not a quote).</t>
        </is>
      </c>
    </row>
    <row r="48" ht="30" customHeight="1">
      <c r="B48" s="5" t="inlineStr">
        <is>
          <t>gerald-tan-old-quote.xlsx</t>
        </is>
      </c>
      <c r="C48" s="4" t="inlineStr">
        <is>
          <t>http://localhost:3000/uat-files/gerald-tan-old-quote.xlsx — Chapter 6 (6.41): an old 1.0-era quote as a spreadsheet, uploaded with “Upload a quote” for the seeded lead Gerald Tan.</t>
        </is>
      </c>
    </row>
    <row r="49" ht="30" customHeight="1">
      <c r="B49" s="5" t="inlineStr">
        <is>
          <t>rival-quote-urban-nest.xlsx</t>
        </is>
      </c>
      <c r="C49" s="4" t="inlineStr">
        <is>
          <t>http://localhost:3000/uat-files/rival-quote-urban-nest.xlsx — Chapter 7 (7.02): the rival studio’s quote Sophia shows you — Quote X-Ray reads spreadsheets for real. The tester types the studio name “Urban Nest Interiors”.</t>
        </is>
      </c>
    </row>
    <row r="50" ht="30" customHeight="1">
      <c r="B50" s="5" t="inlineStr">
        <is>
          <t>cove-interior-quotation.pdf</t>
        </is>
      </c>
      <c r="C50" s="4" t="inlineStr">
        <is>
          <t>http://localhost:3000/uat-files/cove-interior-quotation.pdf — Chapter 7 (7.10): a PDF quote from another studio. The prototype recognises the owner’s three sample quotes by FILE NAME (reading any PDF is the platform’s job), so the name must contain the word “cove”.</t>
        </is>
      </c>
    </row>
    <row r="51" ht="30" customHeight="1">
      <c r="B51" s="5" t="inlineStr">
        <is>
          <t>gerald-tan-signed-contract.pdf</t>
        </is>
      </c>
      <c r="C51" s="4" t="inlineStr">
        <is>
          <t>http://localhost:3000/uat-files/gerald-tan-signed-contract.pdf — Step 8.19 — a paper contract the client already signed, imported as a Signed contract (the app only keeps its name; any one-page PDF works).</t>
        </is>
      </c>
    </row>
  </sheetData>
  <mergeCells count="9">
    <mergeCell ref="B13:C13"/>
    <mergeCell ref="B38:C38"/>
    <mergeCell ref="B2:C2"/>
    <mergeCell ref="B7:C7"/>
    <mergeCell ref="B5:C5"/>
    <mergeCell ref="B22:C22"/>
    <mergeCell ref="B32:C3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"Room options" (⋯ by the room chip),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"Room options" (⋯ by the room chip),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"Room options" (⋯ by the room chip),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Lists'!$F$2:$F$17</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4" t="inlineStr">
        <is>
          <t>13 · Design her room</t>
        </is>
      </c>
      <c r="B19" s="24">
        <f>COUNTIF('UAT · Dane'!$A:$A,13)</f>
        <v/>
      </c>
      <c r="C19" s="25">
        <f>COUNTIFS('UAT · Dane'!$A:$A,13,'UAT · Dane'!$J:$J,"&lt;&gt;")</f>
        <v/>
      </c>
      <c r="D19" s="25">
        <f>COUNTIFS('UAT · Dane'!$A:$A,13,'UAT · Dane'!$J:$J,"✅ Works")</f>
        <v/>
      </c>
      <c r="E19" s="25">
        <f>COUNTIFS('UAT · Dane'!$A:$A,13,'UAT · Dane'!$J:$J,"🟡 Works, but…")</f>
        <v/>
      </c>
      <c r="F19" s="25">
        <f>COUNTIFS('UAT · Dane'!$A:$A,13,'UAT · Dane'!$J:$J,"❌ Doesn’t work")</f>
        <v/>
      </c>
      <c r="G19" s="25">
        <f>COUNTIFS('UAT · Dane'!$A:$A,13,'UAT · Dane'!$J:$J,"🔍 Couldn’t find it")</f>
        <v/>
      </c>
      <c r="H19" s="25">
        <f>COUNTIFS('UAT · Dane'!$A:$A,13,'UAT · Dane'!$J:$J,"❌ Doesn’t work",'UAT · Dane'!$O:$O,"&lt;&gt;Fixed – please re-test",'UAT · Dane'!$O:$O,"&lt;&gt;Won’t change")+COUNTIFS('UAT · Dane'!$A:$A,13,'UAT · Dane'!$J:$J,"🔍 Couldn’t find it",'UAT · Dane'!$O:$O,"&lt;&gt;Fixed – please re-test",'UAT · Dane'!$O:$O,"&lt;&gt;Won’t change")</f>
        <v/>
      </c>
      <c r="I19" s="25">
        <f>COUNTIFS('UAT · Oliva'!$A:$A,13,'UAT · Oliva'!$J:$J,"&lt;&gt;")</f>
        <v/>
      </c>
      <c r="J19" s="25">
        <f>COUNTIFS('UAT · Oliva'!$A:$A,13,'UAT · Oliva'!$J:$J,"✅ Works")</f>
        <v/>
      </c>
      <c r="K19" s="25">
        <f>COUNTIFS('UAT · Oliva'!$A:$A,13,'UAT · Oliva'!$J:$J,"🟡 Works, but…")</f>
        <v/>
      </c>
      <c r="L19" s="25">
        <f>COUNTIFS('UAT · Oliva'!$A:$A,13,'UAT · Oliva'!$J:$J,"❌ Doesn’t work")</f>
        <v/>
      </c>
      <c r="M19" s="25">
        <f>COUNTIFS('UAT · Oliva'!$A:$A,13,'UAT · Oliva'!$J:$J,"🔍 Couldn’t find it")</f>
        <v/>
      </c>
      <c r="N19" s="25">
        <f>COUNTIFS('UAT · Oliva'!$A:$A,13,'UAT · Oliva'!$J:$J,"❌ Doesn’t work",'UAT · Oliva'!$O:$O,"&lt;&gt;Fixed – please re-test",'UAT · Oliva'!$O:$O,"&lt;&gt;Won’t change")+COUNTIFS('UAT · Oliva'!$A:$A,13,'UAT · Oliva'!$J:$J,"🔍 Couldn’t find it",'UAT · Oliva'!$O:$O,"&lt;&gt;Fixed – please re-test",'UAT · Oliva'!$O:$O,"&lt;&gt;Won’t change")</f>
        <v/>
      </c>
      <c r="O19" s="25">
        <f>COUNTIFS('UAT · Swati'!$A:$A,13,'UAT · Swati'!$J:$J,"&lt;&gt;")</f>
        <v/>
      </c>
      <c r="P19" s="25">
        <f>COUNTIFS('UAT · Swati'!$A:$A,13,'UAT · Swati'!$J:$J,"✅ Works")</f>
        <v/>
      </c>
      <c r="Q19" s="25">
        <f>COUNTIFS('UAT · Swati'!$A:$A,13,'UAT · Swati'!$J:$J,"🟡 Works, but…")</f>
        <v/>
      </c>
      <c r="R19" s="25">
        <f>COUNTIFS('UAT · Swati'!$A:$A,13,'UAT · Swati'!$J:$J,"❌ Doesn’t work")</f>
        <v/>
      </c>
      <c r="S19" s="25">
        <f>COUNTIFS('UAT · Swati'!$A:$A,13,'UAT · Swati'!$J:$J,"🔍 Couldn’t find it")</f>
        <v/>
      </c>
      <c r="T19" s="25">
        <f>COUNTIFS('UAT · Swati'!$A:$A,13,'UAT · Swati'!$J:$J,"❌ Doesn’t work",'UAT · Swati'!$O:$O,"&lt;&gt;Fixed – please re-test",'UAT · Swati'!$O:$O,"&lt;&gt;Won’t change")+COUNTIFS('UAT · Swati'!$A:$A,13,'UAT · Swati'!$J:$J,"🔍 Couldn’t find it",'UAT · Swati'!$O:$O,"&lt;&gt;Fixed – please re-test",'UAT · Swati'!$O:$O,"&lt;&gt;Won’t change")</f>
        <v/>
      </c>
    </row>
    <row r="20">
      <c r="A20" s="24" t="inlineStr">
        <is>
          <t>14 · Plans and AI credits</t>
        </is>
      </c>
      <c r="B20" s="24">
        <f>COUNTIF('UAT · Dane'!$A:$A,14)</f>
        <v/>
      </c>
      <c r="C20" s="25">
        <f>COUNTIFS('UAT · Dane'!$A:$A,14,'UAT · Dane'!$J:$J,"&lt;&gt;")</f>
        <v/>
      </c>
      <c r="D20" s="25">
        <f>COUNTIFS('UAT · Dane'!$A:$A,14,'UAT · Dane'!$J:$J,"✅ Works")</f>
        <v/>
      </c>
      <c r="E20" s="25">
        <f>COUNTIFS('UAT · Dane'!$A:$A,14,'UAT · Dane'!$J:$J,"🟡 Works, but…")</f>
        <v/>
      </c>
      <c r="F20" s="25">
        <f>COUNTIFS('UAT · Dane'!$A:$A,14,'UAT · Dane'!$J:$J,"❌ Doesn’t work")</f>
        <v/>
      </c>
      <c r="G20" s="25">
        <f>COUNTIFS('UAT · Dane'!$A:$A,14,'UAT · Dane'!$J:$J,"🔍 Couldn’t find it")</f>
        <v/>
      </c>
      <c r="H20" s="25">
        <f>COUNTIFS('UAT · Dane'!$A:$A,14,'UAT · Dane'!$J:$J,"❌ Doesn’t work",'UAT · Dane'!$O:$O,"&lt;&gt;Fixed – please re-test",'UAT · Dane'!$O:$O,"&lt;&gt;Won’t change")+COUNTIFS('UAT · Dane'!$A:$A,14,'UAT · Dane'!$J:$J,"🔍 Couldn’t find it",'UAT · Dane'!$O:$O,"&lt;&gt;Fixed – please re-test",'UAT · Dane'!$O:$O,"&lt;&gt;Won’t change")</f>
        <v/>
      </c>
      <c r="I20" s="25">
        <f>COUNTIFS('UAT · Oliva'!$A:$A,14,'UAT · Oliva'!$J:$J,"&lt;&gt;")</f>
        <v/>
      </c>
      <c r="J20" s="25">
        <f>COUNTIFS('UAT · Oliva'!$A:$A,14,'UAT · Oliva'!$J:$J,"✅ Works")</f>
        <v/>
      </c>
      <c r="K20" s="25">
        <f>COUNTIFS('UAT · Oliva'!$A:$A,14,'UAT · Oliva'!$J:$J,"🟡 Works, but…")</f>
        <v/>
      </c>
      <c r="L20" s="25">
        <f>COUNTIFS('UAT · Oliva'!$A:$A,14,'UAT · Oliva'!$J:$J,"❌ Doesn’t work")</f>
        <v/>
      </c>
      <c r="M20" s="25">
        <f>COUNTIFS('UAT · Oliva'!$A:$A,14,'UAT · Oliva'!$J:$J,"🔍 Couldn’t find it")</f>
        <v/>
      </c>
      <c r="N20" s="25">
        <f>COUNTIFS('UAT · Oliva'!$A:$A,14,'UAT · Oliva'!$J:$J,"❌ Doesn’t work",'UAT · Oliva'!$O:$O,"&lt;&gt;Fixed – please re-test",'UAT · Oliva'!$O:$O,"&lt;&gt;Won’t change")+COUNTIFS('UAT · Oliva'!$A:$A,14,'UAT · Oliva'!$J:$J,"🔍 Couldn’t find it",'UAT · Oliva'!$O:$O,"&lt;&gt;Fixed – please re-test",'UAT · Oliva'!$O:$O,"&lt;&gt;Won’t change")</f>
        <v/>
      </c>
      <c r="O20" s="25">
        <f>COUNTIFS('UAT · Swati'!$A:$A,14,'UAT · Swati'!$J:$J,"&lt;&gt;")</f>
        <v/>
      </c>
      <c r="P20" s="25">
        <f>COUNTIFS('UAT · Swati'!$A:$A,14,'UAT · Swati'!$J:$J,"✅ Works")</f>
        <v/>
      </c>
      <c r="Q20" s="25">
        <f>COUNTIFS('UAT · Swati'!$A:$A,14,'UAT · Swati'!$J:$J,"🟡 Works, but…")</f>
        <v/>
      </c>
      <c r="R20" s="25">
        <f>COUNTIFS('UAT · Swati'!$A:$A,14,'UAT · Swati'!$J:$J,"❌ Doesn’t work")</f>
        <v/>
      </c>
      <c r="S20" s="25">
        <f>COUNTIFS('UAT · Swati'!$A:$A,14,'UAT · Swati'!$J:$J,"🔍 Couldn’t find it")</f>
        <v/>
      </c>
      <c r="T20" s="25">
        <f>COUNTIFS('UAT · Swati'!$A:$A,14,'UAT · Swati'!$J:$J,"❌ Doesn’t work",'UAT · Swati'!$O:$O,"&lt;&gt;Fixed – please re-test",'UAT · Swati'!$O:$O,"&lt;&gt;Won’t change")+COUNTIFS('UAT · Swati'!$A:$A,14,'UAT · Swati'!$J:$J,"🔍 Couldn’t find it",'UAT · Swati'!$O:$O,"&lt;&gt;Fixed – please re-test",'UAT · Swati'!$O:$O,"&lt;&gt;Won’t change")</f>
        <v/>
      </c>
    </row>
    <row r="21">
      <c r="A21" s="24" t="inlineStr">
        <is>
          <t>15 · Find anything</t>
        </is>
      </c>
      <c r="B21" s="24">
        <f>COUNTIF('UAT · Dane'!$A:$A,15)</f>
        <v/>
      </c>
      <c r="C21" s="25">
        <f>COUNTIFS('UAT · Dane'!$A:$A,15,'UAT · Dane'!$J:$J,"&lt;&gt;")</f>
        <v/>
      </c>
      <c r="D21" s="25">
        <f>COUNTIFS('UAT · Dane'!$A:$A,15,'UAT · Dane'!$J:$J,"✅ Works")</f>
        <v/>
      </c>
      <c r="E21" s="25">
        <f>COUNTIFS('UAT · Dane'!$A:$A,15,'UAT · Dane'!$J:$J,"🟡 Works, but…")</f>
        <v/>
      </c>
      <c r="F21" s="25">
        <f>COUNTIFS('UAT · Dane'!$A:$A,15,'UAT · Dane'!$J:$J,"❌ Doesn’t work")</f>
        <v/>
      </c>
      <c r="G21" s="25">
        <f>COUNTIFS('UAT · Dane'!$A:$A,15,'UAT · Dane'!$J:$J,"🔍 Couldn’t find it")</f>
        <v/>
      </c>
      <c r="H21" s="25">
        <f>COUNTIFS('UAT · Dane'!$A:$A,15,'UAT · Dane'!$J:$J,"❌ Doesn’t work",'UAT · Dane'!$O:$O,"&lt;&gt;Fixed – please re-test",'UAT · Dane'!$O:$O,"&lt;&gt;Won’t change")+COUNTIFS('UAT · Dane'!$A:$A,15,'UAT · Dane'!$J:$J,"🔍 Couldn’t find it",'UAT · Dane'!$O:$O,"&lt;&gt;Fixed – please re-test",'UAT · Dane'!$O:$O,"&lt;&gt;Won’t change")</f>
        <v/>
      </c>
      <c r="I21" s="25">
        <f>COUNTIFS('UAT · Oliva'!$A:$A,15,'UAT · Oliva'!$J:$J,"&lt;&gt;")</f>
        <v/>
      </c>
      <c r="J21" s="25">
        <f>COUNTIFS('UAT · Oliva'!$A:$A,15,'UAT · Oliva'!$J:$J,"✅ Works")</f>
        <v/>
      </c>
      <c r="K21" s="25">
        <f>COUNTIFS('UAT · Oliva'!$A:$A,15,'UAT · Oliva'!$J:$J,"🟡 Works, but…")</f>
        <v/>
      </c>
      <c r="L21" s="25">
        <f>COUNTIFS('UAT · Oliva'!$A:$A,15,'UAT · Oliva'!$J:$J,"❌ Doesn’t work")</f>
        <v/>
      </c>
      <c r="M21" s="25">
        <f>COUNTIFS('UAT · Oliva'!$A:$A,15,'UAT · Oliva'!$J:$J,"🔍 Couldn’t find it")</f>
        <v/>
      </c>
      <c r="N21" s="25">
        <f>COUNTIFS('UAT · Oliva'!$A:$A,15,'UAT · Oliva'!$J:$J,"❌ Doesn’t work",'UAT · Oliva'!$O:$O,"&lt;&gt;Fixed – please re-test",'UAT · Oliva'!$O:$O,"&lt;&gt;Won’t change")+COUNTIFS('UAT · Oliva'!$A:$A,15,'UAT · Oliva'!$J:$J,"🔍 Couldn’t find it",'UAT · Oliva'!$O:$O,"&lt;&gt;Fixed – please re-test",'UAT · Oliva'!$O:$O,"&lt;&gt;Won’t change")</f>
        <v/>
      </c>
      <c r="O21" s="25">
        <f>COUNTIFS('UAT · Swati'!$A:$A,15,'UAT · Swati'!$J:$J,"&lt;&gt;")</f>
        <v/>
      </c>
      <c r="P21" s="25">
        <f>COUNTIFS('UAT · Swati'!$A:$A,15,'UAT · Swati'!$J:$J,"✅ Works")</f>
        <v/>
      </c>
      <c r="Q21" s="25">
        <f>COUNTIFS('UAT · Swati'!$A:$A,15,'UAT · Swati'!$J:$J,"🟡 Works, but…")</f>
        <v/>
      </c>
      <c r="R21" s="25">
        <f>COUNTIFS('UAT · Swati'!$A:$A,15,'UAT · Swati'!$J:$J,"❌ Doesn’t work")</f>
        <v/>
      </c>
      <c r="S21" s="25">
        <f>COUNTIFS('UAT · Swati'!$A:$A,15,'UAT · Swati'!$J:$J,"🔍 Couldn’t find it")</f>
        <v/>
      </c>
      <c r="T21" s="25">
        <f>COUNTIFS('UAT · Swati'!$A:$A,15,'UAT · Swati'!$J:$J,"❌ Doesn’t work",'UAT · Swati'!$O:$O,"&lt;&gt;Fixed – please re-test",'UAT · Swati'!$O:$O,"&lt;&gt;Won’t change")+COUNTIFS('UAT · Swati'!$A:$A,15,'UAT · Swati'!$J:$J,"🔍 Couldn’t find it",'UAT · Swati'!$O:$O,"&lt;&gt;Fixed – please re-test",'UAT · Swati'!$O:$O,"&lt;&gt;Won’t change")</f>
        <v/>
      </c>
    </row>
    <row r="22">
      <c r="A22" s="24" t="inlineStr">
        <is>
          <t>16 · Keys</t>
        </is>
      </c>
      <c r="B22" s="24">
        <f>COUNTIF('UAT · Dane'!$A:$A,16)</f>
        <v/>
      </c>
      <c r="C22" s="25">
        <f>COUNTIFS('UAT · Dane'!$A:$A,16,'UAT · Dane'!$J:$J,"&lt;&gt;")</f>
        <v/>
      </c>
      <c r="D22" s="25">
        <f>COUNTIFS('UAT · Dane'!$A:$A,16,'UAT · Dane'!$J:$J,"✅ Works")</f>
        <v/>
      </c>
      <c r="E22" s="25">
        <f>COUNTIFS('UAT · Dane'!$A:$A,16,'UAT · Dane'!$J:$J,"🟡 Works, but…")</f>
        <v/>
      </c>
      <c r="F22" s="25">
        <f>COUNTIFS('UAT · Dane'!$A:$A,16,'UAT · Dane'!$J:$J,"❌ Doesn’t work")</f>
        <v/>
      </c>
      <c r="G22" s="25">
        <f>COUNTIFS('UAT · Dane'!$A:$A,16,'UAT · Dane'!$J:$J,"🔍 Couldn’t find it")</f>
        <v/>
      </c>
      <c r="H22" s="25">
        <f>COUNTIFS('UAT · Dane'!$A:$A,16,'UAT · Dane'!$J:$J,"❌ Doesn’t work",'UAT · Dane'!$O:$O,"&lt;&gt;Fixed – please re-test",'UAT · Dane'!$O:$O,"&lt;&gt;Won’t change")+COUNTIFS('UAT · Dane'!$A:$A,16,'UAT · Dane'!$J:$J,"🔍 Couldn’t find it",'UAT · Dane'!$O:$O,"&lt;&gt;Fixed – please re-test",'UAT · Dane'!$O:$O,"&lt;&gt;Won’t change")</f>
        <v/>
      </c>
      <c r="I22" s="25">
        <f>COUNTIFS('UAT · Oliva'!$A:$A,16,'UAT · Oliva'!$J:$J,"&lt;&gt;")</f>
        <v/>
      </c>
      <c r="J22" s="25">
        <f>COUNTIFS('UAT · Oliva'!$A:$A,16,'UAT · Oliva'!$J:$J,"✅ Works")</f>
        <v/>
      </c>
      <c r="K22" s="25">
        <f>COUNTIFS('UAT · Oliva'!$A:$A,16,'UAT · Oliva'!$J:$J,"🟡 Works, but…")</f>
        <v/>
      </c>
      <c r="L22" s="25">
        <f>COUNTIFS('UAT · Oliva'!$A:$A,16,'UAT · Oliva'!$J:$J,"❌ Doesn’t work")</f>
        <v/>
      </c>
      <c r="M22" s="25">
        <f>COUNTIFS('UAT · Oliva'!$A:$A,16,'UAT · Oliva'!$J:$J,"🔍 Couldn’t find it")</f>
        <v/>
      </c>
      <c r="N22" s="25">
        <f>COUNTIFS('UAT · Oliva'!$A:$A,16,'UAT · Oliva'!$J:$J,"❌ Doesn’t work",'UAT · Oliva'!$O:$O,"&lt;&gt;Fixed – please re-test",'UAT · Oliva'!$O:$O,"&lt;&gt;Won’t change")+COUNTIFS('UAT · Oliva'!$A:$A,16,'UAT · Oliva'!$J:$J,"🔍 Couldn’t find it",'UAT · Oliva'!$O:$O,"&lt;&gt;Fixed – please re-test",'UAT · Oliva'!$O:$O,"&lt;&gt;Won’t change")</f>
        <v/>
      </c>
      <c r="O22" s="25">
        <f>COUNTIFS('UAT · Swati'!$A:$A,16,'UAT · Swati'!$J:$J,"&lt;&gt;")</f>
        <v/>
      </c>
      <c r="P22" s="25">
        <f>COUNTIFS('UAT · Swati'!$A:$A,16,'UAT · Swati'!$J:$J,"✅ Works")</f>
        <v/>
      </c>
      <c r="Q22" s="25">
        <f>COUNTIFS('UAT · Swati'!$A:$A,16,'UAT · Swati'!$J:$J,"🟡 Works, but…")</f>
        <v/>
      </c>
      <c r="R22" s="25">
        <f>COUNTIFS('UAT · Swati'!$A:$A,16,'UAT · Swati'!$J:$J,"❌ Doesn’t work")</f>
        <v/>
      </c>
      <c r="S22" s="25">
        <f>COUNTIFS('UAT · Swati'!$A:$A,16,'UAT · Swati'!$J:$J,"🔍 Couldn’t find it")</f>
        <v/>
      </c>
      <c r="T22" s="25">
        <f>COUNTIFS('UAT · Swati'!$A:$A,16,'UAT · Swati'!$J:$J,"❌ Doesn’t work",'UAT · Swati'!$O:$O,"&lt;&gt;Fixed – please re-test",'UAT · Swati'!$O:$O,"&lt;&gt;Won’t change")+COUNTIFS('UAT · Swati'!$A:$A,16,'UAT · Swati'!$J:$J,"🔍 Couldn’t find it",'UAT · Swati'!$O:$O,"&lt;&gt;Fixed – please re-test",'UAT · Swati'!$O:$O,"&lt;&gt;Won’t change")</f>
        <v/>
      </c>
    </row>
    <row r="23">
      <c r="A23" s="22" t="inlineStr">
        <is>
          <t>Total</t>
        </is>
      </c>
      <c r="B23" s="26">
        <f>SUM(B7:B22)</f>
        <v/>
      </c>
      <c r="C23" s="26">
        <f>SUM(C7:C22)</f>
        <v/>
      </c>
      <c r="D23" s="26">
        <f>SUM(D7:D22)</f>
        <v/>
      </c>
      <c r="E23" s="26">
        <f>SUM(E7:E22)</f>
        <v/>
      </c>
      <c r="F23" s="26">
        <f>SUM(F7:F22)</f>
        <v/>
      </c>
      <c r="G23" s="26">
        <f>SUM(G7:G22)</f>
        <v/>
      </c>
      <c r="H23" s="26">
        <f>SUM(H7:H22)</f>
        <v/>
      </c>
      <c r="I23" s="26">
        <f>SUM(I7:I22)</f>
        <v/>
      </c>
      <c r="J23" s="26">
        <f>SUM(J7:J22)</f>
        <v/>
      </c>
      <c r="K23" s="26">
        <f>SUM(K7:K22)</f>
        <v/>
      </c>
      <c r="L23" s="26">
        <f>SUM(L7:L22)</f>
        <v/>
      </c>
      <c r="M23" s="26">
        <f>SUM(M7:M22)</f>
        <v/>
      </c>
      <c r="N23" s="26">
        <f>SUM(N7:N22)</f>
        <v/>
      </c>
      <c r="O23" s="26">
        <f>SUM(O7:O22)</f>
        <v/>
      </c>
      <c r="P23" s="26">
        <f>SUM(P7:P22)</f>
        <v/>
      </c>
      <c r="Q23" s="26">
        <f>SUM(Q7:Q22)</f>
        <v/>
      </c>
      <c r="R23" s="26">
        <f>SUM(R7:R22)</f>
        <v/>
      </c>
      <c r="S23" s="26">
        <f>SUM(S7:S22)</f>
        <v/>
      </c>
      <c r="T23" s="26">
        <f>SUM(T7:T22)</f>
        <v/>
      </c>
    </row>
    <row r="25">
      <c r="A25" s="20" t="inlineStr">
        <is>
          <t>By module</t>
        </is>
      </c>
    </row>
    <row r="26">
      <c r="C26" s="21" t="inlineStr">
        <is>
          <t>Dane</t>
        </is>
      </c>
      <c r="I26" s="21" t="inlineStr">
        <is>
          <t>Oliva</t>
        </is>
      </c>
      <c r="O26" s="21" t="inlineStr">
        <is>
          <t>Swati</t>
        </is>
      </c>
    </row>
    <row r="27">
      <c r="A27" s="22" t="inlineStr">
        <is>
          <t>Module</t>
        </is>
      </c>
      <c r="B27" s="22" t="inlineStr">
        <is>
          <t>Steps</t>
        </is>
      </c>
      <c r="C27" s="23" t="inlineStr">
        <is>
          <t>Done</t>
        </is>
      </c>
      <c r="D27" s="23" t="inlineStr">
        <is>
          <t>✅</t>
        </is>
      </c>
      <c r="E27" s="23" t="inlineStr">
        <is>
          <t>🟡</t>
        </is>
      </c>
      <c r="F27" s="23" t="inlineStr">
        <is>
          <t>❌</t>
        </is>
      </c>
      <c r="G27" s="23" t="inlineStr">
        <is>
          <t>🔍</t>
        </is>
      </c>
      <c r="H27" s="23" t="inlineStr">
        <is>
          <t>Open</t>
        </is>
      </c>
      <c r="I27" s="23" t="inlineStr">
        <is>
          <t>Done</t>
        </is>
      </c>
      <c r="J27" s="23" t="inlineStr">
        <is>
          <t>✅</t>
        </is>
      </c>
      <c r="K27" s="23" t="inlineStr">
        <is>
          <t>🟡</t>
        </is>
      </c>
      <c r="L27" s="23" t="inlineStr">
        <is>
          <t>❌</t>
        </is>
      </c>
      <c r="M27" s="23" t="inlineStr">
        <is>
          <t>🔍</t>
        </is>
      </c>
      <c r="N27" s="23" t="inlineStr">
        <is>
          <t>Open</t>
        </is>
      </c>
      <c r="O27" s="23" t="inlineStr">
        <is>
          <t>Done</t>
        </is>
      </c>
      <c r="P27" s="23" t="inlineStr">
        <is>
          <t>✅</t>
        </is>
      </c>
      <c r="Q27" s="23" t="inlineStr">
        <is>
          <t>🟡</t>
        </is>
      </c>
      <c r="R27" s="23" t="inlineStr">
        <is>
          <t>❌</t>
        </is>
      </c>
      <c r="S27" s="23" t="inlineStr">
        <is>
          <t>🔍</t>
        </is>
      </c>
      <c r="T27" s="23" t="inlineStr">
        <is>
          <t>Open</t>
        </is>
      </c>
    </row>
    <row r="28">
      <c r="A28" s="24" t="inlineStr">
        <is>
          <t>Shell</t>
        </is>
      </c>
      <c r="B28" s="24">
        <f>COUNTIF('UAT · Dane'!$D:$D,"Shell")</f>
        <v/>
      </c>
      <c r="C28" s="25">
        <f>COUNTIFS('UAT · Dane'!$D:$D,"Shell",'UAT · Dane'!$J:$J,"&lt;&gt;")</f>
        <v/>
      </c>
      <c r="D28" s="25">
        <f>COUNTIFS('UAT · Dane'!$D:$D,"Shell",'UAT · Dane'!$J:$J,"✅ Works")</f>
        <v/>
      </c>
      <c r="E28" s="25">
        <f>COUNTIFS('UAT · Dane'!$D:$D,"Shell",'UAT · Dane'!$J:$J,"🟡 Works, but…")</f>
        <v/>
      </c>
      <c r="F28" s="25">
        <f>COUNTIFS('UAT · Dane'!$D:$D,"Shell",'UAT · Dane'!$J:$J,"❌ Doesn’t work")</f>
        <v/>
      </c>
      <c r="G28" s="25">
        <f>COUNTIFS('UAT · Dane'!$D:$D,"Shell",'UAT · Dane'!$J:$J,"🔍 Couldn’t find it")</f>
        <v/>
      </c>
      <c r="H28" s="25">
        <f>COUNTIFS('UAT · Dane'!$D:$D,"Shell",'UAT · Dane'!$J:$J,"❌ Doesn’t work",'UAT · Dane'!$O:$O,"&lt;&gt;Fixed – please re-test",'UAT · Dane'!$O:$O,"&lt;&gt;Won’t change")+COUNTIFS('UAT · Dane'!$D:$D,"Shell",'UAT · Dane'!$J:$J,"🔍 Couldn’t find it",'UAT · Dane'!$O:$O,"&lt;&gt;Fixed – please re-test",'UAT · Dane'!$O:$O,"&lt;&gt;Won’t change")</f>
        <v/>
      </c>
      <c r="I28" s="25">
        <f>COUNTIFS('UAT · Oliva'!$D:$D,"Shell",'UAT · Oliva'!$J:$J,"&lt;&gt;")</f>
        <v/>
      </c>
      <c r="J28" s="25">
        <f>COUNTIFS('UAT · Oliva'!$D:$D,"Shell",'UAT · Oliva'!$J:$J,"✅ Works")</f>
        <v/>
      </c>
      <c r="K28" s="25">
        <f>COUNTIFS('UAT · Oliva'!$D:$D,"Shell",'UAT · Oliva'!$J:$J,"🟡 Works, but…")</f>
        <v/>
      </c>
      <c r="L28" s="25">
        <f>COUNTIFS('UAT · Oliva'!$D:$D,"Shell",'UAT · Oliva'!$J:$J,"❌ Doesn’t work")</f>
        <v/>
      </c>
      <c r="M28" s="25">
        <f>COUNTIFS('UAT · Oliva'!$D:$D,"Shell",'UAT · Oliva'!$J:$J,"🔍 Couldn’t find it")</f>
        <v/>
      </c>
      <c r="N28" s="25">
        <f>COUNTIFS('UAT · Oliva'!$D:$D,"Shell",'UAT · Oliva'!$J:$J,"❌ Doesn’t work",'UAT · Oliva'!$O:$O,"&lt;&gt;Fixed – please re-test",'UAT · Oliva'!$O:$O,"&lt;&gt;Won’t change")+COUNTIFS('UAT · Oliva'!$D:$D,"Shell",'UAT · Oliva'!$J:$J,"🔍 Couldn’t find it",'UAT · Oliva'!$O:$O,"&lt;&gt;Fixed – please re-test",'UAT · Oliva'!$O:$O,"&lt;&gt;Won’t change")</f>
        <v/>
      </c>
      <c r="O28" s="25">
        <f>COUNTIFS('UAT · Swati'!$D:$D,"Shell",'UAT · Swati'!$J:$J,"&lt;&gt;")</f>
        <v/>
      </c>
      <c r="P28" s="25">
        <f>COUNTIFS('UAT · Swati'!$D:$D,"Shell",'UAT · Swati'!$J:$J,"✅ Works")</f>
        <v/>
      </c>
      <c r="Q28" s="25">
        <f>COUNTIFS('UAT · Swati'!$D:$D,"Shell",'UAT · Swati'!$J:$J,"🟡 Works, but…")</f>
        <v/>
      </c>
      <c r="R28" s="25">
        <f>COUNTIFS('UAT · Swati'!$D:$D,"Shell",'UAT · Swati'!$J:$J,"❌ Doesn’t work")</f>
        <v/>
      </c>
      <c r="S28" s="25">
        <f>COUNTIFS('UAT · Swati'!$D:$D,"Shell",'UAT · Swati'!$J:$J,"🔍 Couldn’t find it")</f>
        <v/>
      </c>
      <c r="T28" s="25">
        <f>COUNTIFS('UAT · Swati'!$D:$D,"Shell",'UAT · Swati'!$J:$J,"❌ Doesn’t work",'UAT · Swati'!$O:$O,"&lt;&gt;Fixed – please re-test",'UAT · Swati'!$O:$O,"&lt;&gt;Won’t change")+COUNTIFS('UAT · Swati'!$D:$D,"Shell",'UAT · Swati'!$J:$J,"🔍 Couldn’t find it",'UAT · Swati'!$O:$O,"&lt;&gt;Fixed – please re-test",'UAT · Swati'!$O:$O,"&lt;&gt;Won’t change")</f>
        <v/>
      </c>
    </row>
    <row r="29">
      <c r="A29" s="24" t="inlineStr">
        <is>
          <t>Company</t>
        </is>
      </c>
      <c r="B29" s="24">
        <f>COUNTIF('UAT · Dane'!$D:$D,"Company")</f>
        <v/>
      </c>
      <c r="C29" s="25">
        <f>COUNTIFS('UAT · Dane'!$D:$D,"Company",'UAT · Dane'!$J:$J,"&lt;&gt;")</f>
        <v/>
      </c>
      <c r="D29" s="25">
        <f>COUNTIFS('UAT · Dane'!$D:$D,"Company",'UAT · Dane'!$J:$J,"✅ Works")</f>
        <v/>
      </c>
      <c r="E29" s="25">
        <f>COUNTIFS('UAT · Dane'!$D:$D,"Company",'UAT · Dane'!$J:$J,"🟡 Works, but…")</f>
        <v/>
      </c>
      <c r="F29" s="25">
        <f>COUNTIFS('UAT · Dane'!$D:$D,"Company",'UAT · Dane'!$J:$J,"❌ Doesn’t work")</f>
        <v/>
      </c>
      <c r="G29" s="25">
        <f>COUNTIFS('UAT · Dane'!$D:$D,"Company",'UAT · Dane'!$J:$J,"🔍 Couldn’t find it")</f>
        <v/>
      </c>
      <c r="H29" s="25">
        <f>COUNTIFS('UAT · Dane'!$D:$D,"Company",'UAT · Dane'!$J:$J,"❌ Doesn’t work",'UAT · Dane'!$O:$O,"&lt;&gt;Fixed – please re-test",'UAT · Dane'!$O:$O,"&lt;&gt;Won’t change")+COUNTIFS('UAT · Dane'!$D:$D,"Company",'UAT · Dane'!$J:$J,"🔍 Couldn’t find it",'UAT · Dane'!$O:$O,"&lt;&gt;Fixed – please re-test",'UAT · Dane'!$O:$O,"&lt;&gt;Won’t change")</f>
        <v/>
      </c>
      <c r="I29" s="25">
        <f>COUNTIFS('UAT · Oliva'!$D:$D,"Company",'UAT · Oliva'!$J:$J,"&lt;&gt;")</f>
        <v/>
      </c>
      <c r="J29" s="25">
        <f>COUNTIFS('UAT · Oliva'!$D:$D,"Company",'UAT · Oliva'!$J:$J,"✅ Works")</f>
        <v/>
      </c>
      <c r="K29" s="25">
        <f>COUNTIFS('UAT · Oliva'!$D:$D,"Company",'UAT · Oliva'!$J:$J,"🟡 Works, but…")</f>
        <v/>
      </c>
      <c r="L29" s="25">
        <f>COUNTIFS('UAT · Oliva'!$D:$D,"Company",'UAT · Oliva'!$J:$J,"❌ Doesn’t work")</f>
        <v/>
      </c>
      <c r="M29" s="25">
        <f>COUNTIFS('UAT · Oliva'!$D:$D,"Company",'UAT · Oliva'!$J:$J,"🔍 Couldn’t find it")</f>
        <v/>
      </c>
      <c r="N29" s="25">
        <f>COUNTIFS('UAT · Oliva'!$D:$D,"Company",'UAT · Oliva'!$J:$J,"❌ Doesn’t work",'UAT · Oliva'!$O:$O,"&lt;&gt;Fixed – please re-test",'UAT · Oliva'!$O:$O,"&lt;&gt;Won’t change")+COUNTIFS('UAT · Oliva'!$D:$D,"Company",'UAT · Oliva'!$J:$J,"🔍 Couldn’t find it",'UAT · Oliva'!$O:$O,"&lt;&gt;Fixed – please re-test",'UAT · Oliva'!$O:$O,"&lt;&gt;Won’t change")</f>
        <v/>
      </c>
      <c r="O29" s="25">
        <f>COUNTIFS('UAT · Swati'!$D:$D,"Company",'UAT · Swati'!$J:$J,"&lt;&gt;")</f>
        <v/>
      </c>
      <c r="P29" s="25">
        <f>COUNTIFS('UAT · Swati'!$D:$D,"Company",'UAT · Swati'!$J:$J,"✅ Works")</f>
        <v/>
      </c>
      <c r="Q29" s="25">
        <f>COUNTIFS('UAT · Swati'!$D:$D,"Company",'UAT · Swati'!$J:$J,"🟡 Works, but…")</f>
        <v/>
      </c>
      <c r="R29" s="25">
        <f>COUNTIFS('UAT · Swati'!$D:$D,"Company",'UAT · Swati'!$J:$J,"❌ Doesn’t work")</f>
        <v/>
      </c>
      <c r="S29" s="25">
        <f>COUNTIFS('UAT · Swati'!$D:$D,"Company",'UAT · Swati'!$J:$J,"🔍 Couldn’t find it")</f>
        <v/>
      </c>
      <c r="T29" s="25">
        <f>COUNTIFS('UAT · Swati'!$D:$D,"Company",'UAT · Swati'!$J:$J,"❌ Doesn’t work",'UAT · Swati'!$O:$O,"&lt;&gt;Fixed – please re-test",'UAT · Swati'!$O:$O,"&lt;&gt;Won’t change")+COUNTIFS('UAT · Swati'!$D:$D,"Company",'UAT · Swati'!$J:$J,"🔍 Couldn’t find it",'UAT · Swati'!$O:$O,"&lt;&gt;Fixed – please re-test",'UAT · Swati'!$O:$O,"&lt;&gt;Won’t change")</f>
        <v/>
      </c>
    </row>
    <row r="30">
      <c r="A30" s="24" t="inlineStr">
        <is>
          <t>Settings</t>
        </is>
      </c>
      <c r="B30" s="24">
        <f>COUNTIF('UAT · Dane'!$D:$D,"Settings")</f>
        <v/>
      </c>
      <c r="C30" s="25">
        <f>COUNTIFS('UAT · Dane'!$D:$D,"Settings",'UAT · Dane'!$J:$J,"&lt;&gt;")</f>
        <v/>
      </c>
      <c r="D30" s="25">
        <f>COUNTIFS('UAT · Dane'!$D:$D,"Settings",'UAT · Dane'!$J:$J,"✅ Works")</f>
        <v/>
      </c>
      <c r="E30" s="25">
        <f>COUNTIFS('UAT · Dane'!$D:$D,"Settings",'UAT · Dane'!$J:$J,"🟡 Works, but…")</f>
        <v/>
      </c>
      <c r="F30" s="25">
        <f>COUNTIFS('UAT · Dane'!$D:$D,"Settings",'UAT · Dane'!$J:$J,"❌ Doesn’t work")</f>
        <v/>
      </c>
      <c r="G30" s="25">
        <f>COUNTIFS('UAT · Dane'!$D:$D,"Settings",'UAT · Dane'!$J:$J,"🔍 Couldn’t find it")</f>
        <v/>
      </c>
      <c r="H30" s="25">
        <f>COUNTIFS('UAT · Dane'!$D:$D,"Settings",'UAT · Dane'!$J:$J,"❌ Doesn’t work",'UAT · Dane'!$O:$O,"&lt;&gt;Fixed – please re-test",'UAT · Dane'!$O:$O,"&lt;&gt;Won’t change")+COUNTIFS('UAT · Dane'!$D:$D,"Settings",'UAT · Dane'!$J:$J,"🔍 Couldn’t find it",'UAT · Dane'!$O:$O,"&lt;&gt;Fixed – please re-test",'UAT · Dane'!$O:$O,"&lt;&gt;Won’t change")</f>
        <v/>
      </c>
      <c r="I30" s="25">
        <f>COUNTIFS('UAT · Oliva'!$D:$D,"Settings",'UAT · Oliva'!$J:$J,"&lt;&gt;")</f>
        <v/>
      </c>
      <c r="J30" s="25">
        <f>COUNTIFS('UAT · Oliva'!$D:$D,"Settings",'UAT · Oliva'!$J:$J,"✅ Works")</f>
        <v/>
      </c>
      <c r="K30" s="25">
        <f>COUNTIFS('UAT · Oliva'!$D:$D,"Settings",'UAT · Oliva'!$J:$J,"🟡 Works, but…")</f>
        <v/>
      </c>
      <c r="L30" s="25">
        <f>COUNTIFS('UAT · Oliva'!$D:$D,"Settings",'UAT · Oliva'!$J:$J,"❌ Doesn’t work")</f>
        <v/>
      </c>
      <c r="M30" s="25">
        <f>COUNTIFS('UAT · Oliva'!$D:$D,"Settings",'UAT · Oliva'!$J:$J,"🔍 Couldn’t find it")</f>
        <v/>
      </c>
      <c r="N30" s="25">
        <f>COUNTIFS('UAT · Oliva'!$D:$D,"Settings",'UAT · Oliva'!$J:$J,"❌ Doesn’t work",'UAT · Oliva'!$O:$O,"&lt;&gt;Fixed – please re-test",'UAT · Oliva'!$O:$O,"&lt;&gt;Won’t change")+COUNTIFS('UAT · Oliva'!$D:$D,"Settings",'UAT · Oliva'!$J:$J,"🔍 Couldn’t find it",'UAT · Oliva'!$O:$O,"&lt;&gt;Fixed – please re-test",'UAT · Oliva'!$O:$O,"&lt;&gt;Won’t change")</f>
        <v/>
      </c>
      <c r="O30" s="25">
        <f>COUNTIFS('UAT · Swati'!$D:$D,"Settings",'UAT · Swati'!$J:$J,"&lt;&gt;")</f>
        <v/>
      </c>
      <c r="P30" s="25">
        <f>COUNTIFS('UAT · Swati'!$D:$D,"Settings",'UAT · Swati'!$J:$J,"✅ Works")</f>
        <v/>
      </c>
      <c r="Q30" s="25">
        <f>COUNTIFS('UAT · Swati'!$D:$D,"Settings",'UAT · Swati'!$J:$J,"🟡 Works, but…")</f>
        <v/>
      </c>
      <c r="R30" s="25">
        <f>COUNTIFS('UAT · Swati'!$D:$D,"Settings",'UAT · Swati'!$J:$J,"❌ Doesn’t work")</f>
        <v/>
      </c>
      <c r="S30" s="25">
        <f>COUNTIFS('UAT · Swati'!$D:$D,"Settings",'UAT · Swati'!$J:$J,"🔍 Couldn’t find it")</f>
        <v/>
      </c>
      <c r="T30" s="25">
        <f>COUNTIFS('UAT · Swati'!$D:$D,"Settings",'UAT · Swati'!$J:$J,"❌ Doesn’t work",'UAT · Swati'!$O:$O,"&lt;&gt;Fixed – please re-test",'UAT · Swati'!$O:$O,"&lt;&gt;Won’t change")+COUNTIFS('UAT · Swati'!$D:$D,"Settings",'UAT · Swati'!$J:$J,"🔍 Couldn’t find it",'UAT · Swati'!$O:$O,"&lt;&gt;Fixed – please re-test",'UAT · Swati'!$O:$O,"&lt;&gt;Won’t change")</f>
        <v/>
      </c>
    </row>
    <row r="31">
      <c r="A31" s="24" t="inlineStr">
        <is>
          <t>Price book</t>
        </is>
      </c>
      <c r="B31" s="24">
        <f>COUNTIF('UAT · Dane'!$D:$D,"Price book")</f>
        <v/>
      </c>
      <c r="C31" s="25">
        <f>COUNTIFS('UAT · Dane'!$D:$D,"Price book",'UAT · Dane'!$J:$J,"&lt;&gt;")</f>
        <v/>
      </c>
      <c r="D31" s="25">
        <f>COUNTIFS('UAT · Dane'!$D:$D,"Price book",'UAT · Dane'!$J:$J,"✅ Works")</f>
        <v/>
      </c>
      <c r="E31" s="25">
        <f>COUNTIFS('UAT · Dane'!$D:$D,"Price book",'UAT · Dane'!$J:$J,"🟡 Works, but…")</f>
        <v/>
      </c>
      <c r="F31" s="25">
        <f>COUNTIFS('UAT · Dane'!$D:$D,"Price book",'UAT · Dane'!$J:$J,"❌ Doesn’t work")</f>
        <v/>
      </c>
      <c r="G31" s="25">
        <f>COUNTIFS('UAT · Dane'!$D:$D,"Price book",'UAT · Dane'!$J:$J,"🔍 Couldn’t find it")</f>
        <v/>
      </c>
      <c r="H31" s="25">
        <f>COUNTIFS('UAT · Dane'!$D:$D,"Price book",'UAT · Dane'!$J:$J,"❌ Doesn’t work",'UAT · Dane'!$O:$O,"&lt;&gt;Fixed – please re-test",'UAT · Dane'!$O:$O,"&lt;&gt;Won’t change")+COUNTIFS('UAT · Dane'!$D:$D,"Price book",'UAT · Dane'!$J:$J,"🔍 Couldn’t find it",'UAT · Dane'!$O:$O,"&lt;&gt;Fixed – please re-test",'UAT · Dane'!$O:$O,"&lt;&gt;Won’t change")</f>
        <v/>
      </c>
      <c r="I31" s="25">
        <f>COUNTIFS('UAT · Oliva'!$D:$D,"Price book",'UAT · Oliva'!$J:$J,"&lt;&gt;")</f>
        <v/>
      </c>
      <c r="J31" s="25">
        <f>COUNTIFS('UAT · Oliva'!$D:$D,"Price book",'UAT · Oliva'!$J:$J,"✅ Works")</f>
        <v/>
      </c>
      <c r="K31" s="25">
        <f>COUNTIFS('UAT · Oliva'!$D:$D,"Price book",'UAT · Oliva'!$J:$J,"🟡 Works, but…")</f>
        <v/>
      </c>
      <c r="L31" s="25">
        <f>COUNTIFS('UAT · Oliva'!$D:$D,"Price book",'UAT · Oliva'!$J:$J,"❌ Doesn’t work")</f>
        <v/>
      </c>
      <c r="M31" s="25">
        <f>COUNTIFS('UAT · Oliva'!$D:$D,"Price book",'UAT · Oliva'!$J:$J,"🔍 Couldn’t find it")</f>
        <v/>
      </c>
      <c r="N31" s="25">
        <f>COUNTIFS('UAT · Oliva'!$D:$D,"Price book",'UAT · Oliva'!$J:$J,"❌ Doesn’t work",'UAT · Oliva'!$O:$O,"&lt;&gt;Fixed – please re-test",'UAT · Oliva'!$O:$O,"&lt;&gt;Won’t change")+COUNTIFS('UAT · Oliva'!$D:$D,"Price book",'UAT · Oliva'!$J:$J,"🔍 Couldn’t find it",'UAT · Oliva'!$O:$O,"&lt;&gt;Fixed – please re-test",'UAT · Oliva'!$O:$O,"&lt;&gt;Won’t change")</f>
        <v/>
      </c>
      <c r="O31" s="25">
        <f>COUNTIFS('UAT · Swati'!$D:$D,"Price book",'UAT · Swati'!$J:$J,"&lt;&gt;")</f>
        <v/>
      </c>
      <c r="P31" s="25">
        <f>COUNTIFS('UAT · Swati'!$D:$D,"Price book",'UAT · Swati'!$J:$J,"✅ Works")</f>
        <v/>
      </c>
      <c r="Q31" s="25">
        <f>COUNTIFS('UAT · Swati'!$D:$D,"Price book",'UAT · Swati'!$J:$J,"🟡 Works, but…")</f>
        <v/>
      </c>
      <c r="R31" s="25">
        <f>COUNTIFS('UAT · Swati'!$D:$D,"Price book",'UAT · Swati'!$J:$J,"❌ Doesn’t work")</f>
        <v/>
      </c>
      <c r="S31" s="25">
        <f>COUNTIFS('UAT · Swati'!$D:$D,"Price book",'UAT · Swati'!$J:$J,"🔍 Couldn’t find it")</f>
        <v/>
      </c>
      <c r="T31" s="25">
        <f>COUNTIFS('UAT · Swati'!$D:$D,"Price book",'UAT · Swati'!$J:$J,"❌ Doesn’t work",'UAT · Swati'!$O:$O,"&lt;&gt;Fixed – please re-test",'UAT · Swati'!$O:$O,"&lt;&gt;Won’t change")+COUNTIFS('UAT · Swati'!$D:$D,"Price book",'UAT · Swati'!$J:$J,"🔍 Couldn’t find it",'UAT · Swati'!$O:$O,"&lt;&gt;Fixed – please re-test",'UAT · Swati'!$O:$O,"&lt;&gt;Won’t change")</f>
        <v/>
      </c>
    </row>
    <row r="32">
      <c r="A32" s="24" t="inlineStr">
        <is>
          <t>Templates</t>
        </is>
      </c>
      <c r="B32" s="24">
        <f>COUNTIF('UAT · Dane'!$D:$D,"Templates")</f>
        <v/>
      </c>
      <c r="C32" s="25">
        <f>COUNTIFS('UAT · Dane'!$D:$D,"Templates",'UAT · Dane'!$J:$J,"&lt;&gt;")</f>
        <v/>
      </c>
      <c r="D32" s="25">
        <f>COUNTIFS('UAT · Dane'!$D:$D,"Templates",'UAT · Dane'!$J:$J,"✅ Works")</f>
        <v/>
      </c>
      <c r="E32" s="25">
        <f>COUNTIFS('UAT · Dane'!$D:$D,"Templates",'UAT · Dane'!$J:$J,"🟡 Works, but…")</f>
        <v/>
      </c>
      <c r="F32" s="25">
        <f>COUNTIFS('UAT · Dane'!$D:$D,"Templates",'UAT · Dane'!$J:$J,"❌ Doesn’t work")</f>
        <v/>
      </c>
      <c r="G32" s="25">
        <f>COUNTIFS('UAT · Dane'!$D:$D,"Templates",'UAT · Dane'!$J:$J,"🔍 Couldn’t find it")</f>
        <v/>
      </c>
      <c r="H32" s="25">
        <f>COUNTIFS('UAT · Dane'!$D:$D,"Templates",'UAT · Dane'!$J:$J,"❌ Doesn’t work",'UAT · Dane'!$O:$O,"&lt;&gt;Fixed – please re-test",'UAT · Dane'!$O:$O,"&lt;&gt;Won’t change")+COUNTIFS('UAT · Dane'!$D:$D,"Templates",'UAT · Dane'!$J:$J,"🔍 Couldn’t find it",'UAT · Dane'!$O:$O,"&lt;&gt;Fixed – please re-test",'UAT · Dane'!$O:$O,"&lt;&gt;Won’t change")</f>
        <v/>
      </c>
      <c r="I32" s="25">
        <f>COUNTIFS('UAT · Oliva'!$D:$D,"Templates",'UAT · Oliva'!$J:$J,"&lt;&gt;")</f>
        <v/>
      </c>
      <c r="J32" s="25">
        <f>COUNTIFS('UAT · Oliva'!$D:$D,"Templates",'UAT · Oliva'!$J:$J,"✅ Works")</f>
        <v/>
      </c>
      <c r="K32" s="25">
        <f>COUNTIFS('UAT · Oliva'!$D:$D,"Templates",'UAT · Oliva'!$J:$J,"🟡 Works, but…")</f>
        <v/>
      </c>
      <c r="L32" s="25">
        <f>COUNTIFS('UAT · Oliva'!$D:$D,"Templates",'UAT · Oliva'!$J:$J,"❌ Doesn’t work")</f>
        <v/>
      </c>
      <c r="M32" s="25">
        <f>COUNTIFS('UAT · Oliva'!$D:$D,"Templates",'UAT · Oliva'!$J:$J,"🔍 Couldn’t find it")</f>
        <v/>
      </c>
      <c r="N32" s="25">
        <f>COUNTIFS('UAT · Oliva'!$D:$D,"Templates",'UAT · Oliva'!$J:$J,"❌ Doesn’t work",'UAT · Oliva'!$O:$O,"&lt;&gt;Fixed – please re-test",'UAT · Oliva'!$O:$O,"&lt;&gt;Won’t change")+COUNTIFS('UAT · Oliva'!$D:$D,"Templates",'UAT · Oliva'!$J:$J,"🔍 Couldn’t find it",'UAT · Oliva'!$O:$O,"&lt;&gt;Fixed – please re-test",'UAT · Oliva'!$O:$O,"&lt;&gt;Won’t change")</f>
        <v/>
      </c>
      <c r="O32" s="25">
        <f>COUNTIFS('UAT · Swati'!$D:$D,"Templates",'UAT · Swati'!$J:$J,"&lt;&gt;")</f>
        <v/>
      </c>
      <c r="P32" s="25">
        <f>COUNTIFS('UAT · Swati'!$D:$D,"Templates",'UAT · Swati'!$J:$J,"✅ Works")</f>
        <v/>
      </c>
      <c r="Q32" s="25">
        <f>COUNTIFS('UAT · Swati'!$D:$D,"Templates",'UAT · Swati'!$J:$J,"🟡 Works, but…")</f>
        <v/>
      </c>
      <c r="R32" s="25">
        <f>COUNTIFS('UAT · Swati'!$D:$D,"Templates",'UAT · Swati'!$J:$J,"❌ Doesn’t work")</f>
        <v/>
      </c>
      <c r="S32" s="25">
        <f>COUNTIFS('UAT · Swati'!$D:$D,"Templates",'UAT · Swati'!$J:$J,"🔍 Couldn’t find it")</f>
        <v/>
      </c>
      <c r="T32" s="25">
        <f>COUNTIFS('UAT · Swati'!$D:$D,"Templates",'UAT · Swati'!$J:$J,"❌ Doesn’t work",'UAT · Swati'!$O:$O,"&lt;&gt;Fixed – please re-test",'UAT · Swati'!$O:$O,"&lt;&gt;Won’t change")+COUNTIFS('UAT · Swati'!$D:$D,"Templates",'UAT · Swati'!$J:$J,"🔍 Couldn’t find it",'UAT · Swati'!$O:$O,"&lt;&gt;Fixed – please re-test",'UAT · Swati'!$O:$O,"&lt;&gt;Won’t change")</f>
        <v/>
      </c>
    </row>
    <row r="33">
      <c r="A33" s="24" t="inlineStr">
        <is>
          <t>Leads</t>
        </is>
      </c>
      <c r="B33" s="24">
        <f>COUNTIF('UAT · Dane'!$D:$D,"Leads")</f>
        <v/>
      </c>
      <c r="C33" s="25">
        <f>COUNTIFS('UAT · Dane'!$D:$D,"Leads",'UAT · Dane'!$J:$J,"&lt;&gt;")</f>
        <v/>
      </c>
      <c r="D33" s="25">
        <f>COUNTIFS('UAT · Dane'!$D:$D,"Leads",'UAT · Dane'!$J:$J,"✅ Works")</f>
        <v/>
      </c>
      <c r="E33" s="25">
        <f>COUNTIFS('UAT · Dane'!$D:$D,"Leads",'UAT · Dane'!$J:$J,"🟡 Works, but…")</f>
        <v/>
      </c>
      <c r="F33" s="25">
        <f>COUNTIFS('UAT · Dane'!$D:$D,"Leads",'UAT · Dane'!$J:$J,"❌ Doesn’t work")</f>
        <v/>
      </c>
      <c r="G33" s="25">
        <f>COUNTIFS('UAT · Dane'!$D:$D,"Leads",'UAT · Dane'!$J:$J,"🔍 Couldn’t find it")</f>
        <v/>
      </c>
      <c r="H33" s="25">
        <f>COUNTIFS('UAT · Dane'!$D:$D,"Leads",'UAT · Dane'!$J:$J,"❌ Doesn’t work",'UAT · Dane'!$O:$O,"&lt;&gt;Fixed – please re-test",'UAT · Dane'!$O:$O,"&lt;&gt;Won’t change")+COUNTIFS('UAT · Dane'!$D:$D,"Leads",'UAT · Dane'!$J:$J,"🔍 Couldn’t find it",'UAT · Dane'!$O:$O,"&lt;&gt;Fixed – please re-test",'UAT · Dane'!$O:$O,"&lt;&gt;Won’t change")</f>
        <v/>
      </c>
      <c r="I33" s="25">
        <f>COUNTIFS('UAT · Oliva'!$D:$D,"Leads",'UAT · Oliva'!$J:$J,"&lt;&gt;")</f>
        <v/>
      </c>
      <c r="J33" s="25">
        <f>COUNTIFS('UAT · Oliva'!$D:$D,"Leads",'UAT · Oliva'!$J:$J,"✅ Works")</f>
        <v/>
      </c>
      <c r="K33" s="25">
        <f>COUNTIFS('UAT · Oliva'!$D:$D,"Leads",'UAT · Oliva'!$J:$J,"🟡 Works, but…")</f>
        <v/>
      </c>
      <c r="L33" s="25">
        <f>COUNTIFS('UAT · Oliva'!$D:$D,"Leads",'UAT · Oliva'!$J:$J,"❌ Doesn’t work")</f>
        <v/>
      </c>
      <c r="M33" s="25">
        <f>COUNTIFS('UAT · Oliva'!$D:$D,"Leads",'UAT · Oliva'!$J:$J,"🔍 Couldn’t find it")</f>
        <v/>
      </c>
      <c r="N33" s="25">
        <f>COUNTIFS('UAT · Oliva'!$D:$D,"Leads",'UAT · Oliva'!$J:$J,"❌ Doesn’t work",'UAT · Oliva'!$O:$O,"&lt;&gt;Fixed – please re-test",'UAT · Oliva'!$O:$O,"&lt;&gt;Won’t change")+COUNTIFS('UAT · Oliva'!$D:$D,"Leads",'UAT · Oliva'!$J:$J,"🔍 Couldn’t find it",'UAT · Oliva'!$O:$O,"&lt;&gt;Fixed – please re-test",'UAT · Oliva'!$O:$O,"&lt;&gt;Won’t change")</f>
        <v/>
      </c>
      <c r="O33" s="25">
        <f>COUNTIFS('UAT · Swati'!$D:$D,"Leads",'UAT · Swati'!$J:$J,"&lt;&gt;")</f>
        <v/>
      </c>
      <c r="P33" s="25">
        <f>COUNTIFS('UAT · Swati'!$D:$D,"Leads",'UAT · Swati'!$J:$J,"✅ Works")</f>
        <v/>
      </c>
      <c r="Q33" s="25">
        <f>COUNTIFS('UAT · Swati'!$D:$D,"Leads",'UAT · Swati'!$J:$J,"🟡 Works, but…")</f>
        <v/>
      </c>
      <c r="R33" s="25">
        <f>COUNTIFS('UAT · Swati'!$D:$D,"Leads",'UAT · Swati'!$J:$J,"❌ Doesn’t work")</f>
        <v/>
      </c>
      <c r="S33" s="25">
        <f>COUNTIFS('UAT · Swati'!$D:$D,"Leads",'UAT · Swati'!$J:$J,"🔍 Couldn’t find it")</f>
        <v/>
      </c>
      <c r="T33" s="25">
        <f>COUNTIFS('UAT · Swati'!$D:$D,"Leads",'UAT · Swati'!$J:$J,"❌ Doesn’t work",'UAT · Swati'!$O:$O,"&lt;&gt;Fixed – please re-test",'UAT · Swati'!$O:$O,"&lt;&gt;Won’t change")+COUNTIFS('UAT · Swati'!$D:$D,"Leads",'UAT · Swati'!$J:$J,"🔍 Couldn’t find it",'UAT · Swati'!$O:$O,"&lt;&gt;Fixed – please re-test",'UAT · Swati'!$O:$O,"&lt;&gt;Won’t change")</f>
        <v/>
      </c>
    </row>
    <row r="34">
      <c r="A34" s="24" t="inlineStr">
        <is>
          <t>Lead details</t>
        </is>
      </c>
      <c r="B34" s="24">
        <f>COUNTIF('UAT · Dane'!$D:$D,"Lead details")</f>
        <v/>
      </c>
      <c r="C34" s="25">
        <f>COUNTIFS('UAT · Dane'!$D:$D,"Lead details",'UAT · Dane'!$J:$J,"&lt;&gt;")</f>
        <v/>
      </c>
      <c r="D34" s="25">
        <f>COUNTIFS('UAT · Dane'!$D:$D,"Lead details",'UAT · Dane'!$J:$J,"✅ Works")</f>
        <v/>
      </c>
      <c r="E34" s="25">
        <f>COUNTIFS('UAT · Dane'!$D:$D,"Lead details",'UAT · Dane'!$J:$J,"🟡 Works, but…")</f>
        <v/>
      </c>
      <c r="F34" s="25">
        <f>COUNTIFS('UAT · Dane'!$D:$D,"Lead details",'UAT · Dane'!$J:$J,"❌ Doesn’t work")</f>
        <v/>
      </c>
      <c r="G34" s="25">
        <f>COUNTIFS('UAT · Dane'!$D:$D,"Lead details",'UAT · Dane'!$J:$J,"🔍 Couldn’t find it")</f>
        <v/>
      </c>
      <c r="H34" s="25">
        <f>COUNTIFS('UAT · Dane'!$D:$D,"Lead details",'UAT · Dane'!$J:$J,"❌ Doesn’t work",'UAT · Dane'!$O:$O,"&lt;&gt;Fixed – please re-test",'UAT · Dane'!$O:$O,"&lt;&gt;Won’t change")+COUNTIFS('UAT · Dane'!$D:$D,"Lead details",'UAT · Dane'!$J:$J,"🔍 Couldn’t find it",'UAT · Dane'!$O:$O,"&lt;&gt;Fixed – please re-test",'UAT · Dane'!$O:$O,"&lt;&gt;Won’t change")</f>
        <v/>
      </c>
      <c r="I34" s="25">
        <f>COUNTIFS('UAT · Oliva'!$D:$D,"Lead details",'UAT · Oliva'!$J:$J,"&lt;&gt;")</f>
        <v/>
      </c>
      <c r="J34" s="25">
        <f>COUNTIFS('UAT · Oliva'!$D:$D,"Lead details",'UAT · Oliva'!$J:$J,"✅ Works")</f>
        <v/>
      </c>
      <c r="K34" s="25">
        <f>COUNTIFS('UAT · Oliva'!$D:$D,"Lead details",'UAT · Oliva'!$J:$J,"🟡 Works, but…")</f>
        <v/>
      </c>
      <c r="L34" s="25">
        <f>COUNTIFS('UAT · Oliva'!$D:$D,"Lead details",'UAT · Oliva'!$J:$J,"❌ Doesn’t work")</f>
        <v/>
      </c>
      <c r="M34" s="25">
        <f>COUNTIFS('UAT · Oliva'!$D:$D,"Lead details",'UAT · Oliva'!$J:$J,"🔍 Couldn’t find it")</f>
        <v/>
      </c>
      <c r="N34" s="25">
        <f>COUNTIFS('UAT · Oliva'!$D:$D,"Lead details",'UAT · Oliva'!$J:$J,"❌ Doesn’t work",'UAT · Oliva'!$O:$O,"&lt;&gt;Fixed – please re-test",'UAT · Oliva'!$O:$O,"&lt;&gt;Won’t change")+COUNTIFS('UAT · Oliva'!$D:$D,"Lead details",'UAT · Oliva'!$J:$J,"🔍 Couldn’t find it",'UAT · Oliva'!$O:$O,"&lt;&gt;Fixed – please re-test",'UAT · Oliva'!$O:$O,"&lt;&gt;Won’t change")</f>
        <v/>
      </c>
      <c r="O34" s="25">
        <f>COUNTIFS('UAT · Swati'!$D:$D,"Lead details",'UAT · Swati'!$J:$J,"&lt;&gt;")</f>
        <v/>
      </c>
      <c r="P34" s="25">
        <f>COUNTIFS('UAT · Swati'!$D:$D,"Lead details",'UAT · Swati'!$J:$J,"✅ Works")</f>
        <v/>
      </c>
      <c r="Q34" s="25">
        <f>COUNTIFS('UAT · Swati'!$D:$D,"Lead details",'UAT · Swati'!$J:$J,"🟡 Works, but…")</f>
        <v/>
      </c>
      <c r="R34" s="25">
        <f>COUNTIFS('UAT · Swati'!$D:$D,"Lead details",'UAT · Swati'!$J:$J,"❌ Doesn’t work")</f>
        <v/>
      </c>
      <c r="S34" s="25">
        <f>COUNTIFS('UAT · Swati'!$D:$D,"Lead details",'UAT · Swati'!$J:$J,"🔍 Couldn’t find it")</f>
        <v/>
      </c>
      <c r="T34" s="25">
        <f>COUNTIFS('UAT · Swati'!$D:$D,"Lead details",'UAT · Swati'!$J:$J,"❌ Doesn’t work",'UAT · Swati'!$O:$O,"&lt;&gt;Fixed – please re-test",'UAT · Swati'!$O:$O,"&lt;&gt;Won’t change")+COUNTIFS('UAT · Swati'!$D:$D,"Lead details",'UAT · Swati'!$J:$J,"🔍 Couldn’t find it",'UAT · Swati'!$O:$O,"&lt;&gt;Fixed – please re-test",'UAT · Swati'!$O:$O,"&lt;&gt;Won’t change")</f>
        <v/>
      </c>
    </row>
    <row r="35">
      <c r="A35" s="24" t="inlineStr">
        <is>
          <t>Tasks</t>
        </is>
      </c>
      <c r="B35" s="24">
        <f>COUNTIF('UAT · Dane'!$D:$D,"Tasks")</f>
        <v/>
      </c>
      <c r="C35" s="25">
        <f>COUNTIFS('UAT · Dane'!$D:$D,"Tasks",'UAT · Dane'!$J:$J,"&lt;&gt;")</f>
        <v/>
      </c>
      <c r="D35" s="25">
        <f>COUNTIFS('UAT · Dane'!$D:$D,"Tasks",'UAT · Dane'!$J:$J,"✅ Works")</f>
        <v/>
      </c>
      <c r="E35" s="25">
        <f>COUNTIFS('UAT · Dane'!$D:$D,"Tasks",'UAT · Dane'!$J:$J,"🟡 Works, but…")</f>
        <v/>
      </c>
      <c r="F35" s="25">
        <f>COUNTIFS('UAT · Dane'!$D:$D,"Tasks",'UAT · Dane'!$J:$J,"❌ Doesn’t work")</f>
        <v/>
      </c>
      <c r="G35" s="25">
        <f>COUNTIFS('UAT · Dane'!$D:$D,"Tasks",'UAT · Dane'!$J:$J,"🔍 Couldn’t find it")</f>
        <v/>
      </c>
      <c r="H35" s="25">
        <f>COUNTIFS('UAT · Dane'!$D:$D,"Tasks",'UAT · Dane'!$J:$J,"❌ Doesn’t work",'UAT · Dane'!$O:$O,"&lt;&gt;Fixed – please re-test",'UAT · Dane'!$O:$O,"&lt;&gt;Won’t change")+COUNTIFS('UAT · Dane'!$D:$D,"Tasks",'UAT · Dane'!$J:$J,"🔍 Couldn’t find it",'UAT · Dane'!$O:$O,"&lt;&gt;Fixed – please re-test",'UAT · Dane'!$O:$O,"&lt;&gt;Won’t change")</f>
        <v/>
      </c>
      <c r="I35" s="25">
        <f>COUNTIFS('UAT · Oliva'!$D:$D,"Tasks",'UAT · Oliva'!$J:$J,"&lt;&gt;")</f>
        <v/>
      </c>
      <c r="J35" s="25">
        <f>COUNTIFS('UAT · Oliva'!$D:$D,"Tasks",'UAT · Oliva'!$J:$J,"✅ Works")</f>
        <v/>
      </c>
      <c r="K35" s="25">
        <f>COUNTIFS('UAT · Oliva'!$D:$D,"Tasks",'UAT · Oliva'!$J:$J,"🟡 Works, but…")</f>
        <v/>
      </c>
      <c r="L35" s="25">
        <f>COUNTIFS('UAT · Oliva'!$D:$D,"Tasks",'UAT · Oliva'!$J:$J,"❌ Doesn’t work")</f>
        <v/>
      </c>
      <c r="M35" s="25">
        <f>COUNTIFS('UAT · Oliva'!$D:$D,"Tasks",'UAT · Oliva'!$J:$J,"🔍 Couldn’t find it")</f>
        <v/>
      </c>
      <c r="N35" s="25">
        <f>COUNTIFS('UAT · Oliva'!$D:$D,"Tasks",'UAT · Oliva'!$J:$J,"❌ Doesn’t work",'UAT · Oliva'!$O:$O,"&lt;&gt;Fixed – please re-test",'UAT · Oliva'!$O:$O,"&lt;&gt;Won’t change")+COUNTIFS('UAT · Oliva'!$D:$D,"Tasks",'UAT · Oliva'!$J:$J,"🔍 Couldn’t find it",'UAT · Oliva'!$O:$O,"&lt;&gt;Fixed – please re-test",'UAT · Oliva'!$O:$O,"&lt;&gt;Won’t change")</f>
        <v/>
      </c>
      <c r="O35" s="25">
        <f>COUNTIFS('UAT · Swati'!$D:$D,"Tasks",'UAT · Swati'!$J:$J,"&lt;&gt;")</f>
        <v/>
      </c>
      <c r="P35" s="25">
        <f>COUNTIFS('UAT · Swati'!$D:$D,"Tasks",'UAT · Swati'!$J:$J,"✅ Works")</f>
        <v/>
      </c>
      <c r="Q35" s="25">
        <f>COUNTIFS('UAT · Swati'!$D:$D,"Tasks",'UAT · Swati'!$J:$J,"🟡 Works, but…")</f>
        <v/>
      </c>
      <c r="R35" s="25">
        <f>COUNTIFS('UAT · Swati'!$D:$D,"Tasks",'UAT · Swati'!$J:$J,"❌ Doesn’t work")</f>
        <v/>
      </c>
      <c r="S35" s="25">
        <f>COUNTIFS('UAT · Swati'!$D:$D,"Tasks",'UAT · Swati'!$J:$J,"🔍 Couldn’t find it")</f>
        <v/>
      </c>
      <c r="T35" s="25">
        <f>COUNTIFS('UAT · Swati'!$D:$D,"Tasks",'UAT · Swati'!$J:$J,"❌ Doesn’t work",'UAT · Swati'!$O:$O,"&lt;&gt;Fixed – please re-test",'UAT · Swati'!$O:$O,"&lt;&gt;Won’t change")+COUNTIFS('UAT · Swati'!$D:$D,"Tasks",'UAT · Swati'!$J:$J,"🔍 Couldn’t find it",'UAT · Swati'!$O:$O,"&lt;&gt;Fixed – please re-test",'UAT · Swati'!$O:$O,"&lt;&gt;Won’t change")</f>
        <v/>
      </c>
    </row>
    <row r="36">
      <c r="A36" s="24" t="inlineStr">
        <is>
          <t>Quotes</t>
        </is>
      </c>
      <c r="B36" s="24">
        <f>COUNTIF('UAT · Dane'!$D:$D,"Quotes")</f>
        <v/>
      </c>
      <c r="C36" s="25">
        <f>COUNTIFS('UAT · Dane'!$D:$D,"Quotes",'UAT · Dane'!$J:$J,"&lt;&gt;")</f>
        <v/>
      </c>
      <c r="D36" s="25">
        <f>COUNTIFS('UAT · Dane'!$D:$D,"Quotes",'UAT · Dane'!$J:$J,"✅ Works")</f>
        <v/>
      </c>
      <c r="E36" s="25">
        <f>COUNTIFS('UAT · Dane'!$D:$D,"Quotes",'UAT · Dane'!$J:$J,"🟡 Works, but…")</f>
        <v/>
      </c>
      <c r="F36" s="25">
        <f>COUNTIFS('UAT · Dane'!$D:$D,"Quotes",'UAT · Dane'!$J:$J,"❌ Doesn’t work")</f>
        <v/>
      </c>
      <c r="G36" s="25">
        <f>COUNTIFS('UAT · Dane'!$D:$D,"Quotes",'UAT · Dane'!$J:$J,"🔍 Couldn’t find it")</f>
        <v/>
      </c>
      <c r="H36" s="25">
        <f>COUNTIFS('UAT · Dane'!$D:$D,"Quotes",'UAT · Dane'!$J:$J,"❌ Doesn’t work",'UAT · Dane'!$O:$O,"&lt;&gt;Fixed – please re-test",'UAT · Dane'!$O:$O,"&lt;&gt;Won’t change")+COUNTIFS('UAT · Dane'!$D:$D,"Quotes",'UAT · Dane'!$J:$J,"🔍 Couldn’t find it",'UAT · Dane'!$O:$O,"&lt;&gt;Fixed – please re-test",'UAT · Dane'!$O:$O,"&lt;&gt;Won’t change")</f>
        <v/>
      </c>
      <c r="I36" s="25">
        <f>COUNTIFS('UAT · Oliva'!$D:$D,"Quotes",'UAT · Oliva'!$J:$J,"&lt;&gt;")</f>
        <v/>
      </c>
      <c r="J36" s="25">
        <f>COUNTIFS('UAT · Oliva'!$D:$D,"Quotes",'UAT · Oliva'!$J:$J,"✅ Works")</f>
        <v/>
      </c>
      <c r="K36" s="25">
        <f>COUNTIFS('UAT · Oliva'!$D:$D,"Quotes",'UAT · Oliva'!$J:$J,"🟡 Works, but…")</f>
        <v/>
      </c>
      <c r="L36" s="25">
        <f>COUNTIFS('UAT · Oliva'!$D:$D,"Quotes",'UAT · Oliva'!$J:$J,"❌ Doesn’t work")</f>
        <v/>
      </c>
      <c r="M36" s="25">
        <f>COUNTIFS('UAT · Oliva'!$D:$D,"Quotes",'UAT · Oliva'!$J:$J,"🔍 Couldn’t find it")</f>
        <v/>
      </c>
      <c r="N36" s="25">
        <f>COUNTIFS('UAT · Oliva'!$D:$D,"Quotes",'UAT · Oliva'!$J:$J,"❌ Doesn’t work",'UAT · Oliva'!$O:$O,"&lt;&gt;Fixed – please re-test",'UAT · Oliva'!$O:$O,"&lt;&gt;Won’t change")+COUNTIFS('UAT · Oliva'!$D:$D,"Quotes",'UAT · Oliva'!$J:$J,"🔍 Couldn’t find it",'UAT · Oliva'!$O:$O,"&lt;&gt;Fixed – please re-test",'UAT · Oliva'!$O:$O,"&lt;&gt;Won’t change")</f>
        <v/>
      </c>
      <c r="O36" s="25">
        <f>COUNTIFS('UAT · Swati'!$D:$D,"Quotes",'UAT · Swati'!$J:$J,"&lt;&gt;")</f>
        <v/>
      </c>
      <c r="P36" s="25">
        <f>COUNTIFS('UAT · Swati'!$D:$D,"Quotes",'UAT · Swati'!$J:$J,"✅ Works")</f>
        <v/>
      </c>
      <c r="Q36" s="25">
        <f>COUNTIFS('UAT · Swati'!$D:$D,"Quotes",'UAT · Swati'!$J:$J,"🟡 Works, but…")</f>
        <v/>
      </c>
      <c r="R36" s="25">
        <f>COUNTIFS('UAT · Swati'!$D:$D,"Quotes",'UAT · Swati'!$J:$J,"❌ Doesn’t work")</f>
        <v/>
      </c>
      <c r="S36" s="25">
        <f>COUNTIFS('UAT · Swati'!$D:$D,"Quotes",'UAT · Swati'!$J:$J,"🔍 Couldn’t find it")</f>
        <v/>
      </c>
      <c r="T36" s="25">
        <f>COUNTIFS('UAT · Swati'!$D:$D,"Quotes",'UAT · Swati'!$J:$J,"❌ Doesn’t work",'UAT · Swati'!$O:$O,"&lt;&gt;Fixed – please re-test",'UAT · Swati'!$O:$O,"&lt;&gt;Won’t change")+COUNTIFS('UAT · Swati'!$D:$D,"Quotes",'UAT · Swati'!$J:$J,"🔍 Couldn’t find it",'UAT · Swati'!$O:$O,"&lt;&gt;Fixed – please re-test",'UAT · Swati'!$O:$O,"&lt;&gt;Won’t change")</f>
        <v/>
      </c>
    </row>
    <row r="37">
      <c r="A37" s="24" t="inlineStr">
        <is>
          <t>Quote X-Ray</t>
        </is>
      </c>
      <c r="B37" s="24">
        <f>COUNTIF('UAT · Dane'!$D:$D,"Quote X-Ray")</f>
        <v/>
      </c>
      <c r="C37" s="25">
        <f>COUNTIFS('UAT · Dane'!$D:$D,"Quote X-Ray",'UAT · Dane'!$J:$J,"&lt;&gt;")</f>
        <v/>
      </c>
      <c r="D37" s="25">
        <f>COUNTIFS('UAT · Dane'!$D:$D,"Quote X-Ray",'UAT · Dane'!$J:$J,"✅ Works")</f>
        <v/>
      </c>
      <c r="E37" s="25">
        <f>COUNTIFS('UAT · Dane'!$D:$D,"Quote X-Ray",'UAT · Dane'!$J:$J,"🟡 Works, but…")</f>
        <v/>
      </c>
      <c r="F37" s="25">
        <f>COUNTIFS('UAT · Dane'!$D:$D,"Quote X-Ray",'UAT · Dane'!$J:$J,"❌ Doesn’t work")</f>
        <v/>
      </c>
      <c r="G37" s="25">
        <f>COUNTIFS('UAT · Dane'!$D:$D,"Quote X-Ray",'UAT · Dane'!$J:$J,"🔍 Couldn’t find it")</f>
        <v/>
      </c>
      <c r="H37" s="25">
        <f>COUNTIFS('UAT · Dane'!$D:$D,"Quote X-Ray",'UAT · Dane'!$J:$J,"❌ Doesn’t work",'UAT · Dane'!$O:$O,"&lt;&gt;Fixed – please re-test",'UAT · Dane'!$O:$O,"&lt;&gt;Won’t change")+COUNTIFS('UAT · Dane'!$D:$D,"Quote X-Ray",'UAT · Dane'!$J:$J,"🔍 Couldn’t find it",'UAT · Dane'!$O:$O,"&lt;&gt;Fixed – please re-test",'UAT · Dane'!$O:$O,"&lt;&gt;Won’t change")</f>
        <v/>
      </c>
      <c r="I37" s="25">
        <f>COUNTIFS('UAT · Oliva'!$D:$D,"Quote X-Ray",'UAT · Oliva'!$J:$J,"&lt;&gt;")</f>
        <v/>
      </c>
      <c r="J37" s="25">
        <f>COUNTIFS('UAT · Oliva'!$D:$D,"Quote X-Ray",'UAT · Oliva'!$J:$J,"✅ Works")</f>
        <v/>
      </c>
      <c r="K37" s="25">
        <f>COUNTIFS('UAT · Oliva'!$D:$D,"Quote X-Ray",'UAT · Oliva'!$J:$J,"🟡 Works, but…")</f>
        <v/>
      </c>
      <c r="L37" s="25">
        <f>COUNTIFS('UAT · Oliva'!$D:$D,"Quote X-Ray",'UAT · Oliva'!$J:$J,"❌ Doesn’t work")</f>
        <v/>
      </c>
      <c r="M37" s="25">
        <f>COUNTIFS('UAT · Oliva'!$D:$D,"Quote X-Ray",'UAT · Oliva'!$J:$J,"🔍 Couldn’t find it")</f>
        <v/>
      </c>
      <c r="N37" s="25">
        <f>COUNTIFS('UAT · Oliva'!$D:$D,"Quote X-Ray",'UAT · Oliva'!$J:$J,"❌ Doesn’t work",'UAT · Oliva'!$O:$O,"&lt;&gt;Fixed – please re-test",'UAT · Oliva'!$O:$O,"&lt;&gt;Won’t change")+COUNTIFS('UAT · Oliva'!$D:$D,"Quote X-Ray",'UAT · Oliva'!$J:$J,"🔍 Couldn’t find it",'UAT · Oliva'!$O:$O,"&lt;&gt;Fixed – please re-test",'UAT · Oliva'!$O:$O,"&lt;&gt;Won’t change")</f>
        <v/>
      </c>
      <c r="O37" s="25">
        <f>COUNTIFS('UAT · Swati'!$D:$D,"Quote X-Ray",'UAT · Swati'!$J:$J,"&lt;&gt;")</f>
        <v/>
      </c>
      <c r="P37" s="25">
        <f>COUNTIFS('UAT · Swati'!$D:$D,"Quote X-Ray",'UAT · Swati'!$J:$J,"✅ Works")</f>
        <v/>
      </c>
      <c r="Q37" s="25">
        <f>COUNTIFS('UAT · Swati'!$D:$D,"Quote X-Ray",'UAT · Swati'!$J:$J,"🟡 Works, but…")</f>
        <v/>
      </c>
      <c r="R37" s="25">
        <f>COUNTIFS('UAT · Swati'!$D:$D,"Quote X-Ray",'UAT · Swati'!$J:$J,"❌ Doesn’t work")</f>
        <v/>
      </c>
      <c r="S37" s="25">
        <f>COUNTIFS('UAT · Swati'!$D:$D,"Quote X-Ray",'UAT · Swati'!$J:$J,"🔍 Couldn’t find it")</f>
        <v/>
      </c>
      <c r="T37" s="25">
        <f>COUNTIFS('UAT · Swati'!$D:$D,"Quote X-Ray",'UAT · Swati'!$J:$J,"❌ Doesn’t work",'UAT · Swati'!$O:$O,"&lt;&gt;Fixed – please re-test",'UAT · Swati'!$O:$O,"&lt;&gt;Won’t change")+COUNTIFS('UAT · Swati'!$D:$D,"Quote X-Ray",'UAT · Swati'!$J:$J,"🔍 Couldn’t find it",'UAT · Swati'!$O:$O,"&lt;&gt;Fixed – please re-test",'UAT · Swati'!$O:$O,"&lt;&gt;Won’t change")</f>
        <v/>
      </c>
    </row>
    <row r="38">
      <c r="A38" s="24" t="inlineStr">
        <is>
          <t>Contracts</t>
        </is>
      </c>
      <c r="B38" s="24">
        <f>COUNTIF('UAT · Dane'!$D:$D,"Contracts")</f>
        <v/>
      </c>
      <c r="C38" s="25">
        <f>COUNTIFS('UAT · Dane'!$D:$D,"Contracts",'UAT · Dane'!$J:$J,"&lt;&gt;")</f>
        <v/>
      </c>
      <c r="D38" s="25">
        <f>COUNTIFS('UAT · Dane'!$D:$D,"Contracts",'UAT · Dane'!$J:$J,"✅ Works")</f>
        <v/>
      </c>
      <c r="E38" s="25">
        <f>COUNTIFS('UAT · Dane'!$D:$D,"Contracts",'UAT · Dane'!$J:$J,"🟡 Works, but…")</f>
        <v/>
      </c>
      <c r="F38" s="25">
        <f>COUNTIFS('UAT · Dane'!$D:$D,"Contracts",'UAT · Dane'!$J:$J,"❌ Doesn’t work")</f>
        <v/>
      </c>
      <c r="G38" s="25">
        <f>COUNTIFS('UAT · Dane'!$D:$D,"Contracts",'UAT · Dane'!$J:$J,"🔍 Couldn’t find it")</f>
        <v/>
      </c>
      <c r="H38" s="25">
        <f>COUNTIFS('UAT · Dane'!$D:$D,"Contracts",'UAT · Dane'!$J:$J,"❌ Doesn’t work",'UAT · Dane'!$O:$O,"&lt;&gt;Fixed – please re-test",'UAT · Dane'!$O:$O,"&lt;&gt;Won’t change")+COUNTIFS('UAT · Dane'!$D:$D,"Contracts",'UAT · Dane'!$J:$J,"🔍 Couldn’t find it",'UAT · Dane'!$O:$O,"&lt;&gt;Fixed – please re-test",'UAT · Dane'!$O:$O,"&lt;&gt;Won’t change")</f>
        <v/>
      </c>
      <c r="I38" s="25">
        <f>COUNTIFS('UAT · Oliva'!$D:$D,"Contracts",'UAT · Oliva'!$J:$J,"&lt;&gt;")</f>
        <v/>
      </c>
      <c r="J38" s="25">
        <f>COUNTIFS('UAT · Oliva'!$D:$D,"Contracts",'UAT · Oliva'!$J:$J,"✅ Works")</f>
        <v/>
      </c>
      <c r="K38" s="25">
        <f>COUNTIFS('UAT · Oliva'!$D:$D,"Contracts",'UAT · Oliva'!$J:$J,"🟡 Works, but…")</f>
        <v/>
      </c>
      <c r="L38" s="25">
        <f>COUNTIFS('UAT · Oliva'!$D:$D,"Contracts",'UAT · Oliva'!$J:$J,"❌ Doesn’t work")</f>
        <v/>
      </c>
      <c r="M38" s="25">
        <f>COUNTIFS('UAT · Oliva'!$D:$D,"Contracts",'UAT · Oliva'!$J:$J,"🔍 Couldn’t find it")</f>
        <v/>
      </c>
      <c r="N38" s="25">
        <f>COUNTIFS('UAT · Oliva'!$D:$D,"Contracts",'UAT · Oliva'!$J:$J,"❌ Doesn’t work",'UAT · Oliva'!$O:$O,"&lt;&gt;Fixed – please re-test",'UAT · Oliva'!$O:$O,"&lt;&gt;Won’t change")+COUNTIFS('UAT · Oliva'!$D:$D,"Contracts",'UAT · Oliva'!$J:$J,"🔍 Couldn’t find it",'UAT · Oliva'!$O:$O,"&lt;&gt;Fixed – please re-test",'UAT · Oliva'!$O:$O,"&lt;&gt;Won’t change")</f>
        <v/>
      </c>
      <c r="O38" s="25">
        <f>COUNTIFS('UAT · Swati'!$D:$D,"Contracts",'UAT · Swati'!$J:$J,"&lt;&gt;")</f>
        <v/>
      </c>
      <c r="P38" s="25">
        <f>COUNTIFS('UAT · Swati'!$D:$D,"Contracts",'UAT · Swati'!$J:$J,"✅ Works")</f>
        <v/>
      </c>
      <c r="Q38" s="25">
        <f>COUNTIFS('UAT · Swati'!$D:$D,"Contracts",'UAT · Swati'!$J:$J,"🟡 Works, but…")</f>
        <v/>
      </c>
      <c r="R38" s="25">
        <f>COUNTIFS('UAT · Swati'!$D:$D,"Contracts",'UAT · Swati'!$J:$J,"❌ Doesn’t work")</f>
        <v/>
      </c>
      <c r="S38" s="25">
        <f>COUNTIFS('UAT · Swati'!$D:$D,"Contracts",'UAT · Swati'!$J:$J,"🔍 Couldn’t find it")</f>
        <v/>
      </c>
      <c r="T38" s="25">
        <f>COUNTIFS('UAT · Swati'!$D:$D,"Contracts",'UAT · Swati'!$J:$J,"❌ Doesn’t work",'UAT · Swati'!$O:$O,"&lt;&gt;Fixed – please re-test",'UAT · Swati'!$O:$O,"&lt;&gt;Won’t change")+COUNTIFS('UAT · Swati'!$D:$D,"Contracts",'UAT · Swati'!$J:$J,"🔍 Couldn’t find it",'UAT · Swati'!$O:$O,"&lt;&gt;Fixed – please re-test",'UAT · Swati'!$O:$O,"&lt;&gt;Won’t change")</f>
        <v/>
      </c>
    </row>
    <row r="39">
      <c r="A39" s="24" t="inlineStr">
        <is>
          <t>Notifications</t>
        </is>
      </c>
      <c r="B39" s="24">
        <f>COUNTIF('UAT · Dane'!$D:$D,"Notifications")</f>
        <v/>
      </c>
      <c r="C39" s="25">
        <f>COUNTIFS('UAT · Dane'!$D:$D,"Notifications",'UAT · Dane'!$J:$J,"&lt;&gt;")</f>
        <v/>
      </c>
      <c r="D39" s="25">
        <f>COUNTIFS('UAT · Dane'!$D:$D,"Notifications",'UAT · Dane'!$J:$J,"✅ Works")</f>
        <v/>
      </c>
      <c r="E39" s="25">
        <f>COUNTIFS('UAT · Dane'!$D:$D,"Notifications",'UAT · Dane'!$J:$J,"🟡 Works, but…")</f>
        <v/>
      </c>
      <c r="F39" s="25">
        <f>COUNTIFS('UAT · Dane'!$D:$D,"Notifications",'UAT · Dane'!$J:$J,"❌ Doesn’t work")</f>
        <v/>
      </c>
      <c r="G39" s="25">
        <f>COUNTIFS('UAT · Dane'!$D:$D,"Notifications",'UAT · Dane'!$J:$J,"🔍 Couldn’t find it")</f>
        <v/>
      </c>
      <c r="H39" s="25">
        <f>COUNTIFS('UAT · Dane'!$D:$D,"Notifications",'UAT · Dane'!$J:$J,"❌ Doesn’t work",'UAT · Dane'!$O:$O,"&lt;&gt;Fixed – please re-test",'UAT · Dane'!$O:$O,"&lt;&gt;Won’t change")+COUNTIFS('UAT · Dane'!$D:$D,"Notifications",'UAT · Dane'!$J:$J,"🔍 Couldn’t find it",'UAT · Dane'!$O:$O,"&lt;&gt;Fixed – please re-test",'UAT · Dane'!$O:$O,"&lt;&gt;Won’t change")</f>
        <v/>
      </c>
      <c r="I39" s="25">
        <f>COUNTIFS('UAT · Oliva'!$D:$D,"Notifications",'UAT · Oliva'!$J:$J,"&lt;&gt;")</f>
        <v/>
      </c>
      <c r="J39" s="25">
        <f>COUNTIFS('UAT · Oliva'!$D:$D,"Notifications",'UAT · Oliva'!$J:$J,"✅ Works")</f>
        <v/>
      </c>
      <c r="K39" s="25">
        <f>COUNTIFS('UAT · Oliva'!$D:$D,"Notifications",'UAT · Oliva'!$J:$J,"🟡 Works, but…")</f>
        <v/>
      </c>
      <c r="L39" s="25">
        <f>COUNTIFS('UAT · Oliva'!$D:$D,"Notifications",'UAT · Oliva'!$J:$J,"❌ Doesn’t work")</f>
        <v/>
      </c>
      <c r="M39" s="25">
        <f>COUNTIFS('UAT · Oliva'!$D:$D,"Notifications",'UAT · Oliva'!$J:$J,"🔍 Couldn’t find it")</f>
        <v/>
      </c>
      <c r="N39" s="25">
        <f>COUNTIFS('UAT · Oliva'!$D:$D,"Notifications",'UAT · Oliva'!$J:$J,"❌ Doesn’t work",'UAT · Oliva'!$O:$O,"&lt;&gt;Fixed – please re-test",'UAT · Oliva'!$O:$O,"&lt;&gt;Won’t change")+COUNTIFS('UAT · Oliva'!$D:$D,"Notifications",'UAT · Oliva'!$J:$J,"🔍 Couldn’t find it",'UAT · Oliva'!$O:$O,"&lt;&gt;Fixed – please re-test",'UAT · Oliva'!$O:$O,"&lt;&gt;Won’t change")</f>
        <v/>
      </c>
      <c r="O39" s="25">
        <f>COUNTIFS('UAT · Swati'!$D:$D,"Notifications",'UAT · Swati'!$J:$J,"&lt;&gt;")</f>
        <v/>
      </c>
      <c r="P39" s="25">
        <f>COUNTIFS('UAT · Swati'!$D:$D,"Notifications",'UAT · Swati'!$J:$J,"✅ Works")</f>
        <v/>
      </c>
      <c r="Q39" s="25">
        <f>COUNTIFS('UAT · Swati'!$D:$D,"Notifications",'UAT · Swati'!$J:$J,"🟡 Works, but…")</f>
        <v/>
      </c>
      <c r="R39" s="25">
        <f>COUNTIFS('UAT · Swati'!$D:$D,"Notifications",'UAT · Swati'!$J:$J,"❌ Doesn’t work")</f>
        <v/>
      </c>
      <c r="S39" s="25">
        <f>COUNTIFS('UAT · Swati'!$D:$D,"Notifications",'UAT · Swati'!$J:$J,"🔍 Couldn’t find it")</f>
        <v/>
      </c>
      <c r="T39" s="25">
        <f>COUNTIFS('UAT · Swati'!$D:$D,"Notifications",'UAT · Swati'!$J:$J,"❌ Doesn’t work",'UAT · Swati'!$O:$O,"&lt;&gt;Fixed – please re-test",'UAT · Swati'!$O:$O,"&lt;&gt;Won’t change")+COUNTIFS('UAT · Swati'!$D:$D,"Notifications",'UAT · Swati'!$J:$J,"🔍 Couldn’t find it",'UAT · Swati'!$O:$O,"&lt;&gt;Fixed – please re-test",'UAT · Swati'!$O:$O,"&lt;&gt;Won’t change")</f>
        <v/>
      </c>
    </row>
    <row r="40">
      <c r="A40" s="24" t="inlineStr">
        <is>
          <t>Insights</t>
        </is>
      </c>
      <c r="B40" s="24">
        <f>COUNTIF('UAT · Dane'!$D:$D,"Insights")</f>
        <v/>
      </c>
      <c r="C40" s="25">
        <f>COUNTIFS('UAT · Dane'!$D:$D,"Insights",'UAT · Dane'!$J:$J,"&lt;&gt;")</f>
        <v/>
      </c>
      <c r="D40" s="25">
        <f>COUNTIFS('UAT · Dane'!$D:$D,"Insights",'UAT · Dane'!$J:$J,"✅ Works")</f>
        <v/>
      </c>
      <c r="E40" s="25">
        <f>COUNTIFS('UAT · Dane'!$D:$D,"Insights",'UAT · Dane'!$J:$J,"🟡 Works, but…")</f>
        <v/>
      </c>
      <c r="F40" s="25">
        <f>COUNTIFS('UAT · Dane'!$D:$D,"Insights",'UAT · Dane'!$J:$J,"❌ Doesn’t work")</f>
        <v/>
      </c>
      <c r="G40" s="25">
        <f>COUNTIFS('UAT · Dane'!$D:$D,"Insights",'UAT · Dane'!$J:$J,"🔍 Couldn’t find it")</f>
        <v/>
      </c>
      <c r="H40" s="25">
        <f>COUNTIFS('UAT · Dane'!$D:$D,"Insights",'UAT · Dane'!$J:$J,"❌ Doesn’t work",'UAT · Dane'!$O:$O,"&lt;&gt;Fixed – please re-test",'UAT · Dane'!$O:$O,"&lt;&gt;Won’t change")+COUNTIFS('UAT · Dane'!$D:$D,"Insights",'UAT · Dane'!$J:$J,"🔍 Couldn’t find it",'UAT · Dane'!$O:$O,"&lt;&gt;Fixed – please re-test",'UAT · Dane'!$O:$O,"&lt;&gt;Won’t change")</f>
        <v/>
      </c>
      <c r="I40" s="25">
        <f>COUNTIFS('UAT · Oliva'!$D:$D,"Insights",'UAT · Oliva'!$J:$J,"&lt;&gt;")</f>
        <v/>
      </c>
      <c r="J40" s="25">
        <f>COUNTIFS('UAT · Oliva'!$D:$D,"Insights",'UAT · Oliva'!$J:$J,"✅ Works")</f>
        <v/>
      </c>
      <c r="K40" s="25">
        <f>COUNTIFS('UAT · Oliva'!$D:$D,"Insights",'UAT · Oliva'!$J:$J,"🟡 Works, but…")</f>
        <v/>
      </c>
      <c r="L40" s="25">
        <f>COUNTIFS('UAT · Oliva'!$D:$D,"Insights",'UAT · Oliva'!$J:$J,"❌ Doesn’t work")</f>
        <v/>
      </c>
      <c r="M40" s="25">
        <f>COUNTIFS('UAT · Oliva'!$D:$D,"Insights",'UAT · Oliva'!$J:$J,"🔍 Couldn’t find it")</f>
        <v/>
      </c>
      <c r="N40" s="25">
        <f>COUNTIFS('UAT · Oliva'!$D:$D,"Insights",'UAT · Oliva'!$J:$J,"❌ Doesn’t work",'UAT · Oliva'!$O:$O,"&lt;&gt;Fixed – please re-test",'UAT · Oliva'!$O:$O,"&lt;&gt;Won’t change")+COUNTIFS('UAT · Oliva'!$D:$D,"Insights",'UAT · Oliva'!$J:$J,"🔍 Couldn’t find it",'UAT · Oliva'!$O:$O,"&lt;&gt;Fixed – please re-test",'UAT · Oliva'!$O:$O,"&lt;&gt;Won’t change")</f>
        <v/>
      </c>
      <c r="O40" s="25">
        <f>COUNTIFS('UAT · Swati'!$D:$D,"Insights",'UAT · Swati'!$J:$J,"&lt;&gt;")</f>
        <v/>
      </c>
      <c r="P40" s="25">
        <f>COUNTIFS('UAT · Swati'!$D:$D,"Insights",'UAT · Swati'!$J:$J,"✅ Works")</f>
        <v/>
      </c>
      <c r="Q40" s="25">
        <f>COUNTIFS('UAT · Swati'!$D:$D,"Insights",'UAT · Swati'!$J:$J,"🟡 Works, but…")</f>
        <v/>
      </c>
      <c r="R40" s="25">
        <f>COUNTIFS('UAT · Swati'!$D:$D,"Insights",'UAT · Swati'!$J:$J,"❌ Doesn’t work")</f>
        <v/>
      </c>
      <c r="S40" s="25">
        <f>COUNTIFS('UAT · Swati'!$D:$D,"Insights",'UAT · Swati'!$J:$J,"🔍 Couldn’t find it")</f>
        <v/>
      </c>
      <c r="T40" s="25">
        <f>COUNTIFS('UAT · Swati'!$D:$D,"Insights",'UAT · Swati'!$J:$J,"❌ Doesn’t work",'UAT · Swati'!$O:$O,"&lt;&gt;Fixed – please re-test",'UAT · Swati'!$O:$O,"&lt;&gt;Won’t change")+COUNTIFS('UAT · Swati'!$D:$D,"Insights",'UAT · Swati'!$J:$J,"🔍 Couldn’t find it",'UAT · Swati'!$O:$O,"&lt;&gt;Fixed – please re-test",'UAT · Swati'!$O:$O,"&lt;&gt;Won’t change")</f>
        <v/>
      </c>
    </row>
    <row r="41">
      <c r="A41" s="24" t="inlineStr">
        <is>
          <t>AI Visualizer</t>
        </is>
      </c>
      <c r="B41" s="24">
        <f>COUNTIF('UAT · Dane'!$D:$D,"AI Visualizer")</f>
        <v/>
      </c>
      <c r="C41" s="25">
        <f>COUNTIFS('UAT · Dane'!$D:$D,"AI Visualizer",'UAT · Dane'!$J:$J,"&lt;&gt;")</f>
        <v/>
      </c>
      <c r="D41" s="25">
        <f>COUNTIFS('UAT · Dane'!$D:$D,"AI Visualizer",'UAT · Dane'!$J:$J,"✅ Works")</f>
        <v/>
      </c>
      <c r="E41" s="25">
        <f>COUNTIFS('UAT · Dane'!$D:$D,"AI Visualizer",'UAT · Dane'!$J:$J,"🟡 Works, but…")</f>
        <v/>
      </c>
      <c r="F41" s="25">
        <f>COUNTIFS('UAT · Dane'!$D:$D,"AI Visualizer",'UAT · Dane'!$J:$J,"❌ Doesn’t work")</f>
        <v/>
      </c>
      <c r="G41" s="25">
        <f>COUNTIFS('UAT · Dane'!$D:$D,"AI Visualizer",'UAT · Dane'!$J:$J,"🔍 Couldn’t find it")</f>
        <v/>
      </c>
      <c r="H41" s="25">
        <f>COUNTIFS('UAT · Dane'!$D:$D,"AI Visualizer",'UAT · Dane'!$J:$J,"❌ Doesn’t work",'UAT · Dane'!$O:$O,"&lt;&gt;Fixed – please re-test",'UAT · Dane'!$O:$O,"&lt;&gt;Won’t change")+COUNTIFS('UAT · Dane'!$D:$D,"AI Visualizer",'UAT · Dane'!$J:$J,"🔍 Couldn’t find it",'UAT · Dane'!$O:$O,"&lt;&gt;Fixed – please re-test",'UAT · Dane'!$O:$O,"&lt;&gt;Won’t change")</f>
        <v/>
      </c>
      <c r="I41" s="25">
        <f>COUNTIFS('UAT · Oliva'!$D:$D,"AI Visualizer",'UAT · Oliva'!$J:$J,"&lt;&gt;")</f>
        <v/>
      </c>
      <c r="J41" s="25">
        <f>COUNTIFS('UAT · Oliva'!$D:$D,"AI Visualizer",'UAT · Oliva'!$J:$J,"✅ Works")</f>
        <v/>
      </c>
      <c r="K41" s="25">
        <f>COUNTIFS('UAT · Oliva'!$D:$D,"AI Visualizer",'UAT · Oliva'!$J:$J,"🟡 Works, but…")</f>
        <v/>
      </c>
      <c r="L41" s="25">
        <f>COUNTIFS('UAT · Oliva'!$D:$D,"AI Visualizer",'UAT · Oliva'!$J:$J,"❌ Doesn’t work")</f>
        <v/>
      </c>
      <c r="M41" s="25">
        <f>COUNTIFS('UAT · Oliva'!$D:$D,"AI Visualizer",'UAT · Oliva'!$J:$J,"🔍 Couldn’t find it")</f>
        <v/>
      </c>
      <c r="N41" s="25">
        <f>COUNTIFS('UAT · Oliva'!$D:$D,"AI Visualizer",'UAT · Oliva'!$J:$J,"❌ Doesn’t work",'UAT · Oliva'!$O:$O,"&lt;&gt;Fixed – please re-test",'UAT · Oliva'!$O:$O,"&lt;&gt;Won’t change")+COUNTIFS('UAT · Oliva'!$D:$D,"AI Visualizer",'UAT · Oliva'!$J:$J,"🔍 Couldn’t find it",'UAT · Oliva'!$O:$O,"&lt;&gt;Fixed – please re-test",'UAT · Oliva'!$O:$O,"&lt;&gt;Won’t change")</f>
        <v/>
      </c>
      <c r="O41" s="25">
        <f>COUNTIFS('UAT · Swati'!$D:$D,"AI Visualizer",'UAT · Swati'!$J:$J,"&lt;&gt;")</f>
        <v/>
      </c>
      <c r="P41" s="25">
        <f>COUNTIFS('UAT · Swati'!$D:$D,"AI Visualizer",'UAT · Swati'!$J:$J,"✅ Works")</f>
        <v/>
      </c>
      <c r="Q41" s="25">
        <f>COUNTIFS('UAT · Swati'!$D:$D,"AI Visualizer",'UAT · Swati'!$J:$J,"🟡 Works, but…")</f>
        <v/>
      </c>
      <c r="R41" s="25">
        <f>COUNTIFS('UAT · Swati'!$D:$D,"AI Visualizer",'UAT · Swati'!$J:$J,"❌ Doesn’t work")</f>
        <v/>
      </c>
      <c r="S41" s="25">
        <f>COUNTIFS('UAT · Swati'!$D:$D,"AI Visualizer",'UAT · Swati'!$J:$J,"🔍 Couldn’t find it")</f>
        <v/>
      </c>
      <c r="T41" s="25">
        <f>COUNTIFS('UAT · Swati'!$D:$D,"AI Visualizer",'UAT · Swati'!$J:$J,"❌ Doesn’t work",'UAT · Swati'!$O:$O,"&lt;&gt;Fixed – please re-test",'UAT · Swati'!$O:$O,"&lt;&gt;Won’t change")+COUNTIFS('UAT · Swati'!$D:$D,"AI Visualizer",'UAT · Swati'!$J:$J,"🔍 Couldn’t find it",'UAT · Swati'!$O:$O,"&lt;&gt;Fixed – please re-test",'UAT · Swati'!$O:$O,"&lt;&gt;Won’t change")</f>
        <v/>
      </c>
    </row>
    <row r="42">
      <c r="A42" s="24" t="inlineStr">
        <is>
          <t>AI credits</t>
        </is>
      </c>
      <c r="B42" s="24">
        <f>COUNTIF('UAT · Dane'!$D:$D,"AI credits")</f>
        <v/>
      </c>
      <c r="C42" s="25">
        <f>COUNTIFS('UAT · Dane'!$D:$D,"AI credits",'UAT · Dane'!$J:$J,"&lt;&gt;")</f>
        <v/>
      </c>
      <c r="D42" s="25">
        <f>COUNTIFS('UAT · Dane'!$D:$D,"AI credits",'UAT · Dane'!$J:$J,"✅ Works")</f>
        <v/>
      </c>
      <c r="E42" s="25">
        <f>COUNTIFS('UAT · Dane'!$D:$D,"AI credits",'UAT · Dane'!$J:$J,"🟡 Works, but…")</f>
        <v/>
      </c>
      <c r="F42" s="25">
        <f>COUNTIFS('UAT · Dane'!$D:$D,"AI credits",'UAT · Dane'!$J:$J,"❌ Doesn’t work")</f>
        <v/>
      </c>
      <c r="G42" s="25">
        <f>COUNTIFS('UAT · Dane'!$D:$D,"AI credits",'UAT · Dane'!$J:$J,"🔍 Couldn’t find it")</f>
        <v/>
      </c>
      <c r="H42" s="25">
        <f>COUNTIFS('UAT · Dane'!$D:$D,"AI credits",'UAT · Dane'!$J:$J,"❌ Doesn’t work",'UAT · Dane'!$O:$O,"&lt;&gt;Fixed – please re-test",'UAT · Dane'!$O:$O,"&lt;&gt;Won’t change")+COUNTIFS('UAT · Dane'!$D:$D,"AI credits",'UAT · Dane'!$J:$J,"🔍 Couldn’t find it",'UAT · Dane'!$O:$O,"&lt;&gt;Fixed – please re-test",'UAT · Dane'!$O:$O,"&lt;&gt;Won’t change")</f>
        <v/>
      </c>
      <c r="I42" s="25">
        <f>COUNTIFS('UAT · Oliva'!$D:$D,"AI credits",'UAT · Oliva'!$J:$J,"&lt;&gt;")</f>
        <v/>
      </c>
      <c r="J42" s="25">
        <f>COUNTIFS('UAT · Oliva'!$D:$D,"AI credits",'UAT · Oliva'!$J:$J,"✅ Works")</f>
        <v/>
      </c>
      <c r="K42" s="25">
        <f>COUNTIFS('UAT · Oliva'!$D:$D,"AI credits",'UAT · Oliva'!$J:$J,"🟡 Works, but…")</f>
        <v/>
      </c>
      <c r="L42" s="25">
        <f>COUNTIFS('UAT · Oliva'!$D:$D,"AI credits",'UAT · Oliva'!$J:$J,"❌ Doesn’t work")</f>
        <v/>
      </c>
      <c r="M42" s="25">
        <f>COUNTIFS('UAT · Oliva'!$D:$D,"AI credits",'UAT · Oliva'!$J:$J,"🔍 Couldn’t find it")</f>
        <v/>
      </c>
      <c r="N42" s="25">
        <f>COUNTIFS('UAT · Oliva'!$D:$D,"AI credits",'UAT · Oliva'!$J:$J,"❌ Doesn’t work",'UAT · Oliva'!$O:$O,"&lt;&gt;Fixed – please re-test",'UAT · Oliva'!$O:$O,"&lt;&gt;Won’t change")+COUNTIFS('UAT · Oliva'!$D:$D,"AI credits",'UAT · Oliva'!$J:$J,"🔍 Couldn’t find it",'UAT · Oliva'!$O:$O,"&lt;&gt;Fixed – please re-test",'UAT · Oliva'!$O:$O,"&lt;&gt;Won’t change")</f>
        <v/>
      </c>
      <c r="O42" s="25">
        <f>COUNTIFS('UAT · Swati'!$D:$D,"AI credits",'UAT · Swati'!$J:$J,"&lt;&gt;")</f>
        <v/>
      </c>
      <c r="P42" s="25">
        <f>COUNTIFS('UAT · Swati'!$D:$D,"AI credits",'UAT · Swati'!$J:$J,"✅ Works")</f>
        <v/>
      </c>
      <c r="Q42" s="25">
        <f>COUNTIFS('UAT · Swati'!$D:$D,"AI credits",'UAT · Swati'!$J:$J,"🟡 Works, but…")</f>
        <v/>
      </c>
      <c r="R42" s="25">
        <f>COUNTIFS('UAT · Swati'!$D:$D,"AI credits",'UAT · Swati'!$J:$J,"❌ Doesn’t work")</f>
        <v/>
      </c>
      <c r="S42" s="25">
        <f>COUNTIFS('UAT · Swati'!$D:$D,"AI credits",'UAT · Swati'!$J:$J,"🔍 Couldn’t find it")</f>
        <v/>
      </c>
      <c r="T42" s="25">
        <f>COUNTIFS('UAT · Swati'!$D:$D,"AI credits",'UAT · Swati'!$J:$J,"❌ Doesn’t work",'UAT · Swati'!$O:$O,"&lt;&gt;Fixed – please re-test",'UAT · Swati'!$O:$O,"&lt;&gt;Won’t change")+COUNTIFS('UAT · Swati'!$D:$D,"AI credits",'UAT · Swati'!$J:$J,"🔍 Couldn’t find it",'UAT · Swati'!$O:$O,"&lt;&gt;Fixed – please re-test",'UAT · Swati'!$O:$O,"&lt;&gt;Won’t change")</f>
        <v/>
      </c>
    </row>
    <row r="43">
      <c r="A43" s="24" t="inlineStr">
        <is>
          <t>Phone</t>
        </is>
      </c>
      <c r="B43" s="24">
        <f>COUNTIF('UAT · Dane'!$D:$D,"Phone")</f>
        <v/>
      </c>
      <c r="C43" s="25">
        <f>COUNTIFS('UAT · Dane'!$D:$D,"Phone",'UAT · Dane'!$J:$J,"&lt;&gt;")</f>
        <v/>
      </c>
      <c r="D43" s="25">
        <f>COUNTIFS('UAT · Dane'!$D:$D,"Phone",'UAT · Dane'!$J:$J,"✅ Works")</f>
        <v/>
      </c>
      <c r="E43" s="25">
        <f>COUNTIFS('UAT · Dane'!$D:$D,"Phone",'UAT · Dane'!$J:$J,"🟡 Works, but…")</f>
        <v/>
      </c>
      <c r="F43" s="25">
        <f>COUNTIFS('UAT · Dane'!$D:$D,"Phone",'UAT · Dane'!$J:$J,"❌ Doesn’t work")</f>
        <v/>
      </c>
      <c r="G43" s="25">
        <f>COUNTIFS('UAT · Dane'!$D:$D,"Phone",'UAT · Dane'!$J:$J,"🔍 Couldn’t find it")</f>
        <v/>
      </c>
      <c r="H43" s="25">
        <f>COUNTIFS('UAT · Dane'!$D:$D,"Phone",'UAT · Dane'!$J:$J,"❌ Doesn’t work",'UAT · Dane'!$O:$O,"&lt;&gt;Fixed – please re-test",'UAT · Dane'!$O:$O,"&lt;&gt;Won’t change")+COUNTIFS('UAT · Dane'!$D:$D,"Phone",'UAT · Dane'!$J:$J,"🔍 Couldn’t find it",'UAT · Dane'!$O:$O,"&lt;&gt;Fixed – please re-test",'UAT · Dane'!$O:$O,"&lt;&gt;Won’t change")</f>
        <v/>
      </c>
      <c r="I43" s="25">
        <f>COUNTIFS('UAT · Oliva'!$D:$D,"Phone",'UAT · Oliva'!$J:$J,"&lt;&gt;")</f>
        <v/>
      </c>
      <c r="J43" s="25">
        <f>COUNTIFS('UAT · Oliva'!$D:$D,"Phone",'UAT · Oliva'!$J:$J,"✅ Works")</f>
        <v/>
      </c>
      <c r="K43" s="25">
        <f>COUNTIFS('UAT · Oliva'!$D:$D,"Phone",'UAT · Oliva'!$J:$J,"🟡 Works, but…")</f>
        <v/>
      </c>
      <c r="L43" s="25">
        <f>COUNTIFS('UAT · Oliva'!$D:$D,"Phone",'UAT · Oliva'!$J:$J,"❌ Doesn’t work")</f>
        <v/>
      </c>
      <c r="M43" s="25">
        <f>COUNTIFS('UAT · Oliva'!$D:$D,"Phone",'UAT · Oliva'!$J:$J,"🔍 Couldn’t find it")</f>
        <v/>
      </c>
      <c r="N43" s="25">
        <f>COUNTIFS('UAT · Oliva'!$D:$D,"Phone",'UAT · Oliva'!$J:$J,"❌ Doesn’t work",'UAT · Oliva'!$O:$O,"&lt;&gt;Fixed – please re-test",'UAT · Oliva'!$O:$O,"&lt;&gt;Won’t change")+COUNTIFS('UAT · Oliva'!$D:$D,"Phone",'UAT · Oliva'!$J:$J,"🔍 Couldn’t find it",'UAT · Oliva'!$O:$O,"&lt;&gt;Fixed – please re-test",'UAT · Oliva'!$O:$O,"&lt;&gt;Won’t change")</f>
        <v/>
      </c>
      <c r="O43" s="25">
        <f>COUNTIFS('UAT · Swati'!$D:$D,"Phone",'UAT · Swati'!$J:$J,"&lt;&gt;")</f>
        <v/>
      </c>
      <c r="P43" s="25">
        <f>COUNTIFS('UAT · Swati'!$D:$D,"Phone",'UAT · Swati'!$J:$J,"✅ Works")</f>
        <v/>
      </c>
      <c r="Q43" s="25">
        <f>COUNTIFS('UAT · Swati'!$D:$D,"Phone",'UAT · Swati'!$J:$J,"🟡 Works, but…")</f>
        <v/>
      </c>
      <c r="R43" s="25">
        <f>COUNTIFS('UAT · Swati'!$D:$D,"Phone",'UAT · Swati'!$J:$J,"❌ Doesn’t work")</f>
        <v/>
      </c>
      <c r="S43" s="25">
        <f>COUNTIFS('UAT · Swati'!$D:$D,"Phone",'UAT · Swati'!$J:$J,"🔍 Couldn’t find it")</f>
        <v/>
      </c>
      <c r="T43" s="25">
        <f>COUNTIFS('UAT · Swati'!$D:$D,"Phone",'UAT · Swati'!$J:$J,"❌ Doesn’t work",'UAT · Swati'!$O:$O,"&lt;&gt;Fixed – please re-test",'UAT · Swati'!$O:$O,"&lt;&gt;Won’t change")+COUNTIFS('UAT · Swati'!$D:$D,"Phone",'UAT · Swati'!$J:$J,"🔍 Couldn’t find it",'UAT · Swati'!$O:$O,"&lt;&gt;Fixed – please re-test",'UAT · Swati'!$O:$O,"&lt;&gt;Won’t change")</f>
        <v/>
      </c>
    </row>
    <row r="44">
      <c r="A44" s="22" t="inlineStr">
        <is>
          <t>Total</t>
        </is>
      </c>
      <c r="B44" s="26">
        <f>SUM(B28:B43)</f>
        <v/>
      </c>
      <c r="C44" s="26">
        <f>SUM(C28:C43)</f>
        <v/>
      </c>
      <c r="D44" s="26">
        <f>SUM(D28:D43)</f>
        <v/>
      </c>
      <c r="E44" s="26">
        <f>SUM(E28:E43)</f>
        <v/>
      </c>
      <c r="F44" s="26">
        <f>SUM(F28:F43)</f>
        <v/>
      </c>
      <c r="G44" s="26">
        <f>SUM(G28:G43)</f>
        <v/>
      </c>
      <c r="H44" s="26">
        <f>SUM(H28:H43)</f>
        <v/>
      </c>
      <c r="I44" s="26">
        <f>SUM(I28:I43)</f>
        <v/>
      </c>
      <c r="J44" s="26">
        <f>SUM(J28:J43)</f>
        <v/>
      </c>
      <c r="K44" s="26">
        <f>SUM(K28:K43)</f>
        <v/>
      </c>
      <c r="L44" s="26">
        <f>SUM(L28:L43)</f>
        <v/>
      </c>
      <c r="M44" s="26">
        <f>SUM(M28:M43)</f>
        <v/>
      </c>
      <c r="N44" s="26">
        <f>SUM(N28:N43)</f>
        <v/>
      </c>
      <c r="O44" s="26">
        <f>SUM(O28:O43)</f>
        <v/>
      </c>
      <c r="P44" s="26">
        <f>SUM(P28:P43)</f>
        <v/>
      </c>
      <c r="Q44" s="26">
        <f>SUM(Q28:Q43)</f>
        <v/>
      </c>
      <c r="R44" s="26">
        <f>SUM(R28:R43)</f>
        <v/>
      </c>
      <c r="S44" s="26">
        <f>SUM(S28:S43)</f>
        <v/>
      </c>
      <c r="T44" s="26">
        <f>SUM(T28:T43)</f>
        <v/>
      </c>
    </row>
  </sheetData>
  <mergeCells count="6">
    <mergeCell ref="O5:T5"/>
    <mergeCell ref="I5:N5"/>
    <mergeCell ref="C5:H5"/>
    <mergeCell ref="I26:N26"/>
    <mergeCell ref="O26:T26"/>
    <mergeCell ref="C26:H26"/>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184"/>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nine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split waits for Finance</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Per-question answer history not built, by design</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Dashboard widgets still wait for the Dashboard mocks</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Not built — by design</t>
        </is>
      </c>
      <c r="F30" s="12" t="inlineStr">
        <is>
          <t>The Won step enforces the rules; no switches (Q-26)</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A scripted stand-in fills fixed values; no real AI (Q-28)</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Later</t>
        </is>
      </c>
      <c r="F34" s="12" t="inlineStr">
        <is>
          <t>Won says Project created; projects come with the Projects module</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Later</t>
        </is>
      </c>
      <c r="F35" s="12" t="inlineStr">
        <is>
          <t>Entities live on quotes and contracts, not on the lead</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Later</t>
        </is>
      </c>
      <c r="F36" s="12" t="inlineStr">
        <is>
          <t>They wait for their own modules and mocks</t>
        </is>
      </c>
      <c r="G36" s="12" t="inlineStr"/>
      <c r="H36" s="12" t="inlineStr"/>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Platform</t>
        </is>
      </c>
      <c r="F45" s="12" t="inlineStr">
        <is>
          <t>Stand-in sends a known phone to Review imported leads</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not built, by design</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Later</t>
        </is>
      </c>
      <c r="F63" s="12" t="inlineStr">
        <is>
          <t>Projects module</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Leads › Insights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Later</t>
        </is>
      </c>
      <c r="F86" s="12" t="inlineStr">
        <is>
          <t>Projects module</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Scripted stand-in with fixed values; no real AI</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Later</t>
        </is>
      </c>
      <c r="F129" s="12" t="inlineStr">
        <is>
          <t>Hangouts, AI tools and Projects come later</t>
        </is>
      </c>
      <c r="G129" s="12" t="inlineStr"/>
      <c r="H129" s="12" t="inlineStr"/>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A stand-in: generated URLs and demo POSTs</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Platform</t>
        </is>
      </c>
      <c r="F137" s="12" t="inlineStr">
        <is>
          <t>Real receiving is the platform's; the stand-in keeps the review landing</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Later</t>
        </is>
      </c>
      <c r="F152" s="12" t="inlineStr">
        <is>
          <t>Waits for the Dashboard mocks (owner's hold)</t>
        </is>
      </c>
      <c r="G152" s="12" t="inlineStr"/>
      <c r="H152" s="12" t="inlineStr"/>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admin switch; 2.0 shows coming soon</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Later</t>
        </is>
      </c>
      <c r="F160" s="12" t="inlineStr">
        <is>
          <t>Projects module</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Later</t>
        </is>
      </c>
      <c r="F163" s="12" t="inlineStr">
        <is>
          <t>Tools module</t>
        </is>
      </c>
      <c r="G163" s="12" t="inlineStr"/>
      <c r="H163" s="12" t="inlineStr"/>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Later</t>
        </is>
      </c>
      <c r="F168" s="12" t="inlineStr">
        <is>
          <t>Projects module</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split waits for Finance</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PDF and 1.0's eight tips not ported</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Later</t>
        </is>
      </c>
      <c r="F193" s="12" t="inlineStr">
        <is>
          <t>Quotes module; see the quote audits</t>
        </is>
      </c>
      <c r="G193" s="12" t="inlineStr"/>
      <c r="H193" s="12" t="inlineStr"/>
      <c r="I193" s="17" t="n"/>
      <c r="J193" s="17" t="n"/>
    </row>
    <row r="194">
      <c r="A194" s="12" t="inlineStr">
        <is>
          <t>Leads</t>
        </is>
      </c>
      <c r="B194" s="12" t="inlineStr">
        <is>
          <t>D-42</t>
        </is>
      </c>
      <c r="C194" s="12" t="inlineStr">
        <is>
          <t>Lead detail</t>
        </is>
      </c>
      <c r="D194" s="14" t="inlineStr">
        <is>
          <t>Move a lead's quotes to another entity</t>
        </is>
      </c>
      <c r="E194" s="14" t="inlineStr">
        <is>
          <t>Later</t>
        </is>
      </c>
      <c r="F194" s="12" t="inlineStr">
        <is>
          <t>Quotes module</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Later</t>
        </is>
      </c>
      <c r="F197" s="12" t="inlineStr">
        <is>
          <t>Projects module</t>
        </is>
      </c>
      <c r="G197" s="12" t="inlineStr"/>
      <c r="H197" s="12" t="inlineStr"/>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Later</t>
        </is>
      </c>
      <c r="F199" s="12" t="inlineStr">
        <is>
          <t>Contracts module; see the Contracts audit</t>
        </is>
      </c>
      <c r="G199" s="12" t="inlineStr"/>
      <c r="H199" s="12" t="inlineStr"/>
      <c r="I199" s="17" t="n"/>
      <c r="J199" s="17" t="n"/>
    </row>
    <row r="200">
      <c r="A200" s="12" t="inlineStr">
        <is>
          <t>Leads</t>
        </is>
      </c>
      <c r="B200" s="12" t="inlineStr">
        <is>
          <t>D-48</t>
        </is>
      </c>
      <c r="C200" s="12" t="inlineStr">
        <is>
          <t>Lead detail</t>
        </is>
      </c>
      <c r="D200" s="14" t="inlineStr">
        <is>
          <t>Quote approval as a task</t>
        </is>
      </c>
      <c r="E200" s="14" t="inlineStr">
        <is>
          <t>Later</t>
        </is>
      </c>
      <c r="F200" s="12" t="inlineStr">
        <is>
          <t>Quotes module</t>
        </is>
      </c>
      <c r="G200" s="12" t="inlineStr"/>
      <c r="H200" s="12" t="inlineStr"/>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Later</t>
        </is>
      </c>
      <c r="F202" s="12" t="inlineStr">
        <is>
          <t>Tools module</t>
        </is>
      </c>
      <c r="G202" s="12" t="inlineStr"/>
      <c r="H202" s="12" t="inlineStr"/>
      <c r="I202" s="17" t="n"/>
      <c r="J202" s="17" t="n"/>
    </row>
    <row r="203">
      <c r="A203" s="12" t="inlineStr">
        <is>
          <t>Leads</t>
        </is>
      </c>
      <c r="B203" s="12" t="inlineStr">
        <is>
          <t>D-51</t>
        </is>
      </c>
      <c r="C203" s="12" t="inlineStr">
        <is>
          <t>Lead detail</t>
        </is>
      </c>
      <c r="D203" s="14" t="inlineStr">
        <is>
          <t>Hangout lead</t>
        </is>
      </c>
      <c r="E203" s="14" t="inlineStr">
        <is>
          <t>Later</t>
        </is>
      </c>
      <c r="F203" s="12" t="inlineStr">
        <is>
          <t>Hangouts module</t>
        </is>
      </c>
      <c r="G203" s="12" t="inlineStr"/>
      <c r="H203" s="12" t="inlineStr"/>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Switches declined (Q-26); region is platform; managers are built</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is a scripted stand-in</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Later</t>
        </is>
      </c>
      <c r="F225" s="12" t="inlineStr">
        <is>
          <t>Projects module</t>
        </is>
      </c>
      <c r="G225" s="12" t="inlineStr"/>
      <c r="H225" s="12" t="inlineStr"/>
      <c r="I225" s="17" t="n"/>
      <c r="J225" s="17" t="n"/>
    </row>
    <row r="226">
      <c r="A226" s="12" t="inlineStr">
        <is>
          <t>Leads</t>
        </is>
      </c>
      <c r="B226" s="12" t="inlineStr">
        <is>
          <t>S-20</t>
        </is>
      </c>
      <c r="C226" s="12" t="inlineStr">
        <is>
          <t>Stage engine</t>
        </is>
      </c>
      <c r="D226" s="14" t="inlineStr">
        <is>
          <t>AI agent moves stages</t>
        </is>
      </c>
      <c r="E226" s="14" t="inlineStr">
        <is>
          <t>Later</t>
        </is>
      </c>
      <c r="F226" s="12" t="inlineStr">
        <is>
          <t>AI tools</t>
        </is>
      </c>
      <c r="G226" s="12" t="inlineStr"/>
      <c r="H226" s="12" t="inlineStr"/>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'Manage Stages' answers coming soon (Q-02)</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Not built — by design</t>
        </is>
      </c>
      <c r="F241" s="12" t="inlineStr">
        <is>
          <t>Quote approval and backup approver only; no lead switches (Q-26)</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A stand-in on Company › Integrations</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Later</t>
        </is>
      </c>
      <c r="F243" s="12" t="inlineStr">
        <is>
          <t>Entities live on quotes and contracts</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CaseTrust belongs to Contracts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Later</t>
        </is>
      </c>
      <c r="F247" s="12" t="inlineStr">
        <is>
          <t>An Accounting role comes with Finance (Q-39)</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Four fixed roles;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Insights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Ask recorded; 'client answered' waits for the portal</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Platform</t>
        </is>
      </c>
      <c r="F261" s="12" t="inlineStr">
        <is>
          <t>Real sending is the platform's; digest held (Q-42)</t>
        </is>
      </c>
      <c r="G261" s="12" t="inlineStr"/>
      <c r="H261" s="12" t="inlineStr"/>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Later</t>
        </is>
      </c>
      <c r="F263" s="12" t="inlineStr">
        <is>
          <t>Waits for the Dashboard mocks</t>
        </is>
      </c>
      <c r="G263" s="12" t="inlineStr"/>
      <c r="H263" s="12" t="inlineStr"/>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Later</t>
        </is>
      </c>
      <c r="F266" s="12" t="inlineStr">
        <is>
          <t>Projects module</t>
        </is>
      </c>
      <c r="G266" s="12" t="inlineStr"/>
      <c r="H266" s="12" t="inlineStr"/>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Later</t>
        </is>
      </c>
      <c r="F269" s="12" t="inlineStr">
        <is>
          <t>Portal pages come later; invites are recorded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Qanvast admin tooling, not ported</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Later</t>
        </is>
      </c>
      <c r="F273" s="12" t="inlineStr">
        <is>
          <t>Their own modules come later</t>
        </is>
      </c>
      <c r="G273" s="12" t="inlineStr"/>
      <c r="H273" s="12" t="inlineStr"/>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Later</t>
        </is>
      </c>
      <c r="F302" s="12" t="inlineStr">
        <is>
          <t>Outfit and uploaded fonts held until the port shows the need (Q-14)</t>
        </is>
      </c>
      <c r="G302" s="12" t="inlineStr"/>
      <c r="H302" s="12" t="inlineStr"/>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fixed-amount rows held for Finance</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PO and VO templates wait for Finance</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Later</t>
        </is>
      </c>
      <c r="F367" s="12" t="inlineStr">
        <is>
          <t>Belongs to Finance</t>
        </is>
      </c>
      <c r="G367" s="12" t="inlineStr"/>
      <c r="H367" s="12" t="inlineStr"/>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Fixed-amount rows held for Finance</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held (Q-14)</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Later</t>
        </is>
      </c>
      <c r="F395" s="12" t="inlineStr">
        <is>
          <t>Held with the fonts question (Q-14)</t>
        </is>
      </c>
      <c r="G395" s="12" t="inlineStr"/>
      <c r="H395" s="12" t="inlineStr"/>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Later</t>
        </is>
      </c>
      <c r="F430" s="12" t="inlineStr">
        <is>
          <t>Finance module, not built yet</t>
        </is>
      </c>
      <c r="G430" s="12" t="inlineStr"/>
      <c r="H430" s="12" t="inlineStr"/>
      <c r="I430" s="17" t="n"/>
      <c r="J430" s="17" t="n"/>
    </row>
    <row r="431">
      <c r="A431" s="12" t="inlineStr">
        <is>
          <t>Quote templates</t>
        </is>
      </c>
      <c r="B431" s="12" t="inlineStr">
        <is>
          <t>TX-02</t>
        </is>
      </c>
      <c r="C431" s="12" t="inlineStr">
        <is>
          <t>Touchpoints</t>
        </is>
      </c>
      <c r="D431" s="14" t="inlineStr">
        <is>
          <t>Timeline, project and milestone templates</t>
        </is>
      </c>
      <c r="E431" s="14" t="inlineStr">
        <is>
          <t>Later</t>
        </is>
      </c>
      <c r="F431" s="12" t="inlineStr">
        <is>
          <t>Projects module, not built yet</t>
        </is>
      </c>
      <c r="G431" s="12" t="inlineStr"/>
      <c r="H431" s="12" t="inlineStr"/>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Later</t>
        </is>
      </c>
      <c r="F435" s="12" t="inlineStr">
        <is>
          <t>Tools, not built yet</t>
        </is>
      </c>
      <c r="G435" s="12" t="inlineStr"/>
      <c r="H435" s="12" t="inlineStr"/>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no token, expiry or code (Q-33)</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built; Draft with Maison AI still coming soon (Q-17)</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Later</t>
        </is>
      </c>
      <c r="F453" s="12" t="inlineStr">
        <is>
          <t>Waits for Projects and Finance (Q-05)</t>
        </is>
      </c>
      <c r="G453" s="12" t="inlineStr"/>
      <c r="H453" s="12" t="inlineStr"/>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Not built — by design</t>
        </is>
      </c>
      <c r="F469" s="12" t="inlineStr">
        <is>
          <t>The platform’s; the link keeps the quote id (Q-33)</t>
        </is>
      </c>
      <c r="G469" s="12" t="inlineStr"/>
      <c r="H469" s="12" t="inlineStr"/>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Later</t>
        </is>
      </c>
      <c r="F479" s="12" t="inlineStr">
        <is>
          <t>Projects and Finance (Q-05)</t>
        </is>
      </c>
      <c r="G479" s="12" t="inlineStr"/>
      <c r="H479" s="12" t="inlineStr"/>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Later</t>
        </is>
      </c>
      <c r="F496" s="12" t="inlineStr">
        <is>
          <t>Projects and Finance (Q-05)</t>
        </is>
      </c>
      <c r="G496" s="12" t="inlineStr"/>
      <c r="H496" s="12" t="inlineStr"/>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Put the waste in the quantity (Q-10)</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Platform</t>
        </is>
      </c>
      <c r="F530" s="12" t="inlineStr"/>
      <c r="G530" s="12" t="inlineStr"/>
      <c r="H530" s="12" t="inlineStr"/>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Later</t>
        </is>
      </c>
      <c r="F540" s="12" t="inlineStr">
        <is>
          <t>Finance</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Platform</t>
        </is>
      </c>
      <c r="F546" s="12" t="inlineStr"/>
      <c r="G546" s="12" t="inlineStr"/>
      <c r="H546" s="12" t="inlineStr"/>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Spreadsheets read; PDFs only the known samples</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Platform</t>
        </is>
      </c>
      <c r="F554" s="12" t="inlineStr"/>
      <c r="G554" s="12" t="inlineStr"/>
      <c r="H554" s="12" t="inlineStr"/>
      <c r="I554" s="17" t="n"/>
      <c r="J554" s="17" t="n"/>
    </row>
    <row r="555">
      <c r="A555" s="12" t="inlineStr">
        <is>
          <t>Quote editor</t>
        </is>
      </c>
      <c r="B555" s="12" t="inlineStr">
        <is>
          <t>QG-07</t>
        </is>
      </c>
      <c r="C555" s="12" t="inlineStr">
        <is>
          <t>Getting lines in</t>
        </is>
      </c>
      <c r="D555" s="14" t="inlineStr">
        <is>
          <t>Chat with AI to draft a quote</t>
        </is>
      </c>
      <c r="E555" s="14" t="inlineStr">
        <is>
          <t>Later</t>
        </is>
      </c>
      <c r="F555" s="12" t="inlineStr">
        <is>
          <t>Held — Draft with Maison AI stays coming soon (Q-17)</t>
        </is>
      </c>
      <c r="G555" s="12" t="inlineStr"/>
      <c r="H555" s="12" t="inlineStr"/>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Later</t>
        </is>
      </c>
      <c r="F557" s="12" t="inlineStr">
        <is>
          <t>Tools</t>
        </is>
      </c>
      <c r="G557" s="12" t="inlineStr"/>
      <c r="H557" s="12" t="inlineStr"/>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AI insights are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Later</t>
        </is>
      </c>
      <c r="F578" s="12" t="inlineStr">
        <is>
          <t>Finance</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Later</t>
        </is>
      </c>
      <c r="F585" s="12" t="inlineStr">
        <is>
          <t>The portal</t>
        </is>
      </c>
      <c r="G585" s="12" t="inlineStr"/>
      <c r="H585" s="12" t="inlineStr"/>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Opens only once sent; no token or code (Q-33)</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Not built — by design</t>
        </is>
      </c>
      <c r="F592" s="12" t="inlineStr">
        <is>
          <t>No expiry (Q-33)</t>
        </is>
      </c>
      <c r="G592" s="12" t="inlineStr"/>
      <c r="H592" s="12" t="inlineStr"/>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Dead</t>
        </is>
      </c>
      <c r="F595" s="12" t="inlineStr"/>
      <c r="G595" s="12" t="inlineStr"/>
      <c r="H595" s="12" t="inlineStr"/>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portal later</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Later</t>
        </is>
      </c>
      <c r="F607" s="12" t="inlineStr">
        <is>
          <t>Finance (quote templates Q-16)</t>
        </is>
      </c>
      <c r="G607" s="12" t="inlineStr"/>
      <c r="H607" s="12" t="inlineStr"/>
      <c r="I607" s="17" t="n"/>
      <c r="J607" s="17" t="n"/>
    </row>
    <row r="608">
      <c r="A608" s="12" t="inlineStr">
        <is>
          <t>Quote editor</t>
        </is>
      </c>
      <c r="B608" s="12" t="inlineStr">
        <is>
          <t>QY-08</t>
        </is>
      </c>
      <c r="C608" s="12" t="inlineStr">
        <is>
          <t>The payment schedule</t>
        </is>
      </c>
      <c r="D608" s="14" t="inlineStr">
        <is>
          <t>The project-side schedule (Gantt)</t>
        </is>
      </c>
      <c r="E608" s="14" t="inlineStr">
        <is>
          <t>Later</t>
        </is>
      </c>
      <c r="F608" s="12" t="inlineStr">
        <is>
          <t>Projects</t>
        </is>
      </c>
      <c r="G608" s="12" t="inlineStr"/>
      <c r="H608" s="12" t="inlineStr"/>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Later</t>
        </is>
      </c>
      <c r="F612" s="12" t="inlineStr">
        <is>
          <t>Portal later; usage events are the platform’s</t>
        </is>
      </c>
      <c r="G612" s="12" t="inlineStr"/>
      <c r="H612" s="12" t="inlineStr"/>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Later</t>
        </is>
      </c>
      <c r="F615" s="12" t="inlineStr">
        <is>
          <t>Finance</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Later</t>
        </is>
      </c>
      <c r="F618" s="12" t="inlineStr">
        <is>
          <t>Projects</t>
        </is>
      </c>
      <c r="G618" s="12" t="inlineStr"/>
      <c r="H618" s="12" t="inlineStr"/>
      <c r="I618" s="17" t="n"/>
      <c r="J618" s="17" t="n"/>
    </row>
    <row r="619">
      <c r="A619" s="12" t="inlineStr">
        <is>
          <t>Quote editor</t>
        </is>
      </c>
      <c r="B619" s="12" t="inlineStr">
        <is>
          <t>QX-04</t>
        </is>
      </c>
      <c r="C619" s="12" t="inlineStr">
        <is>
          <t>Touchpoints</t>
        </is>
      </c>
      <c r="D619" s="14" t="inlineStr">
        <is>
          <t>Invoices, POs, variation orders, commissions</t>
        </is>
      </c>
      <c r="E619" s="14" t="inlineStr">
        <is>
          <t>Later</t>
        </is>
      </c>
      <c r="F619" s="12" t="inlineStr">
        <is>
          <t>Finance</t>
        </is>
      </c>
      <c r="G619" s="12" t="inlineStr"/>
      <c r="H619" s="12" t="inlineStr"/>
      <c r="I619" s="17" t="n"/>
      <c r="J619" s="17" t="n"/>
    </row>
    <row r="620">
      <c r="A620" s="12" t="inlineStr">
        <is>
          <t>Quote editor</t>
        </is>
      </c>
      <c r="B620" s="12" t="inlineStr">
        <is>
          <t>QX-05</t>
        </is>
      </c>
      <c r="C620" s="12" t="inlineStr">
        <is>
          <t>Touchpoints</t>
        </is>
      </c>
      <c r="D620" s="14" t="inlineStr">
        <is>
          <t>The co-pilot’s meeting brief</t>
        </is>
      </c>
      <c r="E620" s="14" t="inlineStr">
        <is>
          <t>Later</t>
        </is>
      </c>
      <c r="F620" s="12" t="inlineStr">
        <is>
          <t>Tools</t>
        </is>
      </c>
      <c r="G620" s="12" t="inlineStr"/>
      <c r="H620" s="12" t="inlineStr"/>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PDF library held (Q-26); written documents are contract templates</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and cancelled stay the platform’s (Q-28); viewed is a date</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one-time code stays simulated — the platform’s (Q-28)</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Its own Settings card held; set in a quote’s Signature section (Q-30)</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expiry and cancel stay the platform’s (Q-28)</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Stored PDFs are the platform’s; 2.0 prints the page</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Platform</t>
        </is>
      </c>
      <c r="F667" s="12" t="inlineStr">
        <is>
          <t>File contents are the platform’s; 2.0 keeps the name</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Regenerate and cancel stay the platform’s (Q-28)</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codes are the platform’s; the prototype simulates (Q-28)</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Platform</t>
        </is>
      </c>
      <c r="F711" s="12" t="inlineStr">
        <is>
          <t>File contents are the platform’s; a file card stands in</t>
        </is>
      </c>
      <c r="G711" s="12" t="inlineStr"/>
      <c r="H711" s="12" t="inlineStr"/>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Later</t>
        </is>
      </c>
      <c r="F724" s="12" t="inlineStr">
        <is>
          <t>A later module’s step</t>
        </is>
      </c>
      <c r="G724" s="12" t="inlineStr"/>
      <c r="H724" s="12" t="inlineStr"/>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PDF library held (Q-26); written documents are contract templates</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Platform</t>
        </is>
      </c>
      <c r="F726" s="12" t="inlineStr">
        <is>
          <t>Held: 2.0 keeps no file bytes (Q-26)</t>
        </is>
      </c>
      <c r="G726" s="12" t="inlineStr"/>
      <c r="H726" s="12" t="inlineStr"/>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Stored PDFs are the platform’s; the print carries the kept text</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Later</t>
        </is>
      </c>
      <c r="F742" s="12" t="inlineStr">
        <is>
          <t>Projects module</t>
        </is>
      </c>
      <c r="G742" s="12" t="inlineStr"/>
      <c r="H742" s="12" t="inlineStr"/>
      <c r="I742" s="17" t="n"/>
      <c r="J742" s="17" t="n"/>
    </row>
    <row r="743">
      <c r="A743" s="12" t="inlineStr">
        <is>
          <t>Contracts</t>
        </is>
      </c>
      <c r="B743" s="12" t="inlineStr">
        <is>
          <t>CA-09</t>
        </is>
      </c>
      <c r="C743" s="12" t="inlineStr">
        <is>
          <t>Signed, and after</t>
        </is>
      </c>
      <c r="D743" s="14" t="inlineStr">
        <is>
          <t>The contract value and its freeze</t>
        </is>
      </c>
      <c r="E743" s="14" t="inlineStr">
        <is>
          <t>Later</t>
        </is>
      </c>
      <c r="F743" s="12" t="inlineStr">
        <is>
          <t>Finance module</t>
        </is>
      </c>
      <c r="G743" s="12" t="inlineStr"/>
      <c r="H743" s="12" t="inlineStr"/>
      <c r="I743" s="17" t="n"/>
      <c r="J743" s="17" t="n"/>
    </row>
    <row r="744">
      <c r="A744" s="12" t="inlineStr">
        <is>
          <t>Contracts</t>
        </is>
      </c>
      <c r="B744" s="12" t="inlineStr">
        <is>
          <t>CA-10</t>
        </is>
      </c>
      <c r="C744" s="12" t="inlineStr">
        <is>
          <t>Signed, and after</t>
        </is>
      </c>
      <c r="D744" s="14" t="inlineStr">
        <is>
          <t>Variation orders</t>
        </is>
      </c>
      <c r="E744" s="14" t="inlineStr">
        <is>
          <t>Later</t>
        </is>
      </c>
      <c r="F744" s="12" t="inlineStr">
        <is>
          <t>Finance module</t>
        </is>
      </c>
      <c r="G744" s="12" t="inlineStr"/>
      <c r="H744" s="12" t="inlineStr"/>
      <c r="I744" s="17" t="n"/>
      <c r="J744" s="17" t="n"/>
    </row>
    <row r="745">
      <c r="A745" s="12" t="inlineStr">
        <is>
          <t>Contracts</t>
        </is>
      </c>
      <c r="B745" s="12" t="inlineStr">
        <is>
          <t>CA-11</t>
        </is>
      </c>
      <c r="C745" s="12" t="inlineStr">
        <is>
          <t>Signed, and after</t>
        </is>
      </c>
      <c r="D745" s="14" t="inlineStr">
        <is>
          <t>Signing in the homeowner portal</t>
        </is>
      </c>
      <c r="E745" s="14" t="inlineStr">
        <is>
          <t>Later</t>
        </is>
      </c>
      <c r="F745" s="12" t="inlineStr">
        <is>
          <t>The portal module</t>
        </is>
      </c>
      <c r="G745" s="12" t="inlineStr"/>
      <c r="H745" s="12" t="inlineStr"/>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Platform</t>
        </is>
      </c>
      <c r="F753" s="12" t="inlineStr">
        <is>
          <t>Tokens and expiry are the platform’s (Q-28)</t>
        </is>
      </c>
      <c r="G753" s="12" t="inlineStr"/>
      <c r="H753" s="12" t="inlineStr"/>
      <c r="I753" s="17" t="n"/>
      <c r="J753" s="17" t="n"/>
    </row>
    <row r="754">
      <c r="A754" s="12" t="inlineStr">
        <is>
          <t>Contracts</t>
        </is>
      </c>
      <c r="B754" s="12" t="inlineStr">
        <is>
          <t>CZ-01</t>
        </is>
      </c>
      <c r="C754" s="12" t="inlineStr">
        <is>
          <t>Touchpoints</t>
        </is>
      </c>
      <c r="D754" s="14" t="inlineStr">
        <is>
          <t>The project’s contract and setup check</t>
        </is>
      </c>
      <c r="E754" s="14" t="inlineStr">
        <is>
          <t>Later</t>
        </is>
      </c>
      <c r="F754" s="12" t="inlineStr">
        <is>
          <t>Projects module</t>
        </is>
      </c>
      <c r="G754" s="12" t="inlineStr"/>
      <c r="H754" s="12" t="inlineStr"/>
      <c r="I754" s="17" t="n"/>
      <c r="J754" s="17" t="n"/>
    </row>
    <row r="755">
      <c r="A755" s="12" t="inlineStr">
        <is>
          <t>Contracts</t>
        </is>
      </c>
      <c r="B755" s="12" t="inlineStr">
        <is>
          <t>CZ-02</t>
        </is>
      </c>
      <c r="C755" s="12" t="inlineStr">
        <is>
          <t>Touchpoints</t>
        </is>
      </c>
      <c r="D755" s="14" t="inlineStr">
        <is>
          <t>Contract value, freeze, variation orders</t>
        </is>
      </c>
      <c r="E755" s="14" t="inlineStr">
        <is>
          <t>Later</t>
        </is>
      </c>
      <c r="F755" s="12" t="inlineStr">
        <is>
          <t>Finance module</t>
        </is>
      </c>
      <c r="G755" s="12" t="inlineStr"/>
      <c r="H755" s="12" t="inlineStr"/>
      <c r="I755" s="17" t="n"/>
      <c r="J755" s="17" t="n"/>
    </row>
    <row r="756">
      <c r="A756" s="12" t="inlineStr">
        <is>
          <t>Contracts</t>
        </is>
      </c>
      <c r="B756" s="12" t="inlineStr">
        <is>
          <t>CZ-03</t>
        </is>
      </c>
      <c r="C756" s="12" t="inlineStr">
        <is>
          <t>Touchpoints</t>
        </is>
      </c>
      <c r="D756" s="14" t="inlineStr">
        <is>
          <t>Portal signing and documents tab</t>
        </is>
      </c>
      <c r="E756" s="14" t="inlineStr">
        <is>
          <t>Later</t>
        </is>
      </c>
      <c r="F756" s="12" t="inlineStr">
        <is>
          <t>The portal module</t>
        </is>
      </c>
      <c r="G756" s="12" t="inlineStr"/>
      <c r="H756" s="12" t="inlineStr"/>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Kept in a quote’s Signature section (Accounts Setup ST-08); auto-apply not ported</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read for real; PDFs and photos only by known name</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Platform</t>
        </is>
      </c>
      <c r="F796" s="12" t="inlineStr">
        <is>
          <t>Known sample names only; the platform reads the rest</t>
        </is>
      </c>
      <c r="G796" s="12" t="inlineStr">
        <is>
          <t>7.10</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2.0 bug fixed: whole words only</t>
        </is>
      </c>
      <c r="G798" s="12" t="inlineStr">
        <is>
          <t>7.10</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Platform</t>
        </is>
      </c>
      <c r="F801" s="12" t="inlineStr">
        <is>
          <t>S$ only (Q-23)</t>
        </is>
      </c>
      <c r="G801" s="12" t="inlineStr"/>
      <c r="H801" s="12" t="inlineStr"/>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Platform</t>
        </is>
      </c>
      <c r="F817" s="12" t="inlineStr">
        <is>
          <t>Needs a document’s stated totals</t>
        </is>
      </c>
      <c r="G817" s="12" t="inlineStr"/>
      <c r="H817" s="12" t="inlineStr"/>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The curated readings are the product</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Later</t>
        </is>
      </c>
      <c r="F866" s="12" t="inlineStr">
        <is>
          <t>Meetings (held)</t>
        </is>
      </c>
      <c r="G866" s="12" t="inlineStr"/>
      <c r="H866" s="12" t="inlineStr"/>
      <c r="I866" s="17" t="n"/>
      <c r="J866" s="17" t="n"/>
    </row>
    <row r="867">
      <c r="A867" s="12" t="inlineStr">
        <is>
          <t>Quote X-Ray</t>
        </is>
      </c>
      <c r="B867" s="12" t="inlineStr">
        <is>
          <t>XZ-03</t>
        </is>
      </c>
      <c r="C867" s="12" t="inlineStr">
        <is>
          <t>Touchpoints</t>
        </is>
      </c>
      <c r="D867" s="14" t="inlineStr">
        <is>
          <t>Maison AI quote benchmarker</t>
        </is>
      </c>
      <c r="E867" s="14" t="inlineStr">
        <is>
          <t>Later</t>
        </is>
      </c>
      <c r="F867" s="12" t="inlineStr">
        <is>
          <t>Maison AI</t>
        </is>
      </c>
      <c r="G867" s="12" t="inlineStr"/>
      <c r="H867" s="12" t="inlineStr"/>
      <c r="I867" s="17" t="n"/>
      <c r="J867" s="17" t="n"/>
    </row>
    <row r="868">
      <c r="A868" s="12" t="inlineStr">
        <is>
          <t>Quote X-Ray</t>
        </is>
      </c>
      <c r="B868" s="12" t="inlineStr">
        <is>
          <t>XZ-04</t>
        </is>
      </c>
      <c r="C868" s="12" t="inlineStr">
        <is>
          <t>Touchpoints</t>
        </is>
      </c>
      <c r="D868" s="14" t="inlineStr">
        <is>
          <t>Purchase order quote compare</t>
        </is>
      </c>
      <c r="E868" s="14" t="inlineStr">
        <is>
          <t>Later</t>
        </is>
      </c>
      <c r="F868" s="12" t="inlineStr">
        <is>
          <t>Finance</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Later</t>
        </is>
      </c>
      <c r="F869" s="12" t="inlineStr">
        <is>
          <t>The portal</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takes four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Held (leads Q-02): seven fixed stages; Manage Stages is coming soon</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Four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four fixed roles; no editor</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Quotes &amp; pricing › GST holds the registration and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with name, phone, email and role</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stated in Who may do what</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Platform</t>
        </is>
      </c>
      <c r="F909" s="12" t="inlineStr">
        <is>
          <t>Platform telemetry; Leads › Insights holds response times (Q-16)</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A stand-in under Company › Integrations; receiving is the platform's</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Later</t>
        </is>
      </c>
      <c r="F923" s="12" t="inlineStr">
        <is>
          <t>Comes with the Projects module</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Later</t>
        </is>
      </c>
      <c r="F933" s="12" t="inlineStr">
        <is>
          <t>Quote, contract, task, T&amp;C and payment libraries built; invoice, PO, VO with Finance</t>
        </is>
      </c>
      <c r="G933" s="12" t="inlineStr"/>
      <c r="H933" s="12" t="inlineStr"/>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a PDF library is held (contracts Q-26)</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The studio's registration and rate under Quotes &amp; pricing</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Later</t>
        </is>
      </c>
      <c r="F959" s="12" t="inlineStr">
        <is>
          <t>Come with the Finance module</t>
        </is>
      </c>
      <c r="G959" s="12" t="inlineStr"/>
      <c r="H959" s="12" t="inlineStr"/>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Later</t>
        </is>
      </c>
      <c r="F960" s="12" t="inlineStr">
        <is>
          <t>Come with the Projects module</t>
        </is>
      </c>
      <c r="G960" s="12" t="inlineStr"/>
      <c r="H960" s="12" t="inlineStr"/>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Later</t>
        </is>
      </c>
      <c r="F961" s="12" t="inlineStr">
        <is>
          <t>Their own modules, audited later</t>
        </is>
      </c>
      <c r="G961" s="12" t="inlineStr"/>
      <c r="H961" s="12" t="inlineStr"/>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and kind; no waste % (Finance)</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no vendor directory</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Platform</t>
        </is>
      </c>
      <c r="F1019" s="12" t="inlineStr">
        <is>
          <t>The platform's (Q-16)</t>
        </is>
      </c>
      <c r="G1019" s="12" t="inlineStr"/>
      <c r="H1019" s="12" t="inlineStr"/>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The platform's (Q-16)</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Later</t>
        </is>
      </c>
      <c r="F1026" s="12" t="inlineStr">
        <is>
          <t>Finance module</t>
        </is>
      </c>
      <c r="G1026" s="12" t="inlineStr"/>
      <c r="H1026" s="12" t="inlineStr"/>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row r="1030">
      <c r="A1030" s="12" t="inlineStr">
        <is>
          <t>AI Visualizer</t>
        </is>
      </c>
      <c r="B1030" s="12" t="inlineStr">
        <is>
          <t>DEF-01</t>
        </is>
      </c>
      <c r="C1030" s="12" t="inlineStr">
        <is>
          <t>Definitions</t>
        </is>
      </c>
      <c r="D1030" s="14" t="inlineStr">
        <is>
          <t>The tool</t>
        </is>
      </c>
      <c r="E1030" s="14" t="inlineStr">
        <is>
          <t>Built</t>
        </is>
      </c>
      <c r="F1030" s="12" t="inlineStr">
        <is>
          <t>Mismatch in both — Q-01: AI Visualizer everywhere.</t>
        </is>
      </c>
      <c r="G1030" s="12" t="inlineStr">
        <is>
          <t>13.01</t>
        </is>
      </c>
      <c r="H1030" s="12" t="inlineStr"/>
      <c r="I1030" s="17" t="n"/>
      <c r="J1030" s="17" t="n"/>
    </row>
    <row r="1031">
      <c r="A1031" s="12" t="inlineStr">
        <is>
          <t>AI Visualizer</t>
        </is>
      </c>
      <c r="B1031" s="12" t="inlineStr">
        <is>
          <t>DEF-02</t>
        </is>
      </c>
      <c r="C1031" s="12" t="inlineStr">
        <is>
          <t>Definitions</t>
        </is>
      </c>
      <c r="D1031" s="14" t="inlineStr">
        <is>
          <t>A design</t>
        </is>
      </c>
      <c r="E1031" s="14" t="inlineStr">
        <is>
          <t>Built</t>
        </is>
      </c>
      <c r="F1031" s="12" t="inlineStr">
        <is>
          <t>Missing — Q-03: a visualizer_designs row — one per lead, any number of personal ones.</t>
        </is>
      </c>
      <c r="G1031" s="12" t="inlineStr">
        <is>
          <t>13.01</t>
        </is>
      </c>
      <c r="H1031" s="12" t="inlineStr"/>
      <c r="I1031" s="17" t="n"/>
      <c r="J1031" s="17" t="n"/>
    </row>
    <row r="1032">
      <c r="A1032" s="12" t="inlineStr">
        <is>
          <t>AI Visualizer</t>
        </is>
      </c>
      <c r="B1032" s="12" t="inlineStr">
        <is>
          <t>DEF-03</t>
        </is>
      </c>
      <c r="C1032" s="12" t="inlineStr">
        <is>
          <t>Definitions</t>
        </is>
      </c>
      <c r="D1032" s="14" t="inlineStr">
        <is>
          <t>A room</t>
        </is>
      </c>
      <c r="E1032" s="14" t="inlineStr">
        <is>
          <t>Built</t>
        </is>
      </c>
      <c r="F1032" s="12" t="inlineStr">
        <is>
          <t>Missing — built with 1.0's table name (§4).</t>
        </is>
      </c>
      <c r="G1032" s="12" t="inlineStr">
        <is>
          <t>13.06</t>
        </is>
      </c>
      <c r="H1032" s="12" t="inlineStr"/>
      <c r="I1032" s="17" t="n"/>
      <c r="J1032" s="17" t="n"/>
    </row>
    <row r="1033">
      <c r="A1033" s="12" t="inlineStr">
        <is>
          <t>AI Visualizer</t>
        </is>
      </c>
      <c r="B1033" s="12" t="inlineStr">
        <is>
          <t>DEF-04</t>
        </is>
      </c>
      <c r="C1033" s="12" t="inlineStr">
        <is>
          <t>Definitions</t>
        </is>
      </c>
      <c r="D1033" s="14" t="inlineStr">
        <is>
          <t>A version</t>
        </is>
      </c>
      <c r="E1033" s="14" t="inlineStr">
        <is>
          <t>Built</t>
        </is>
      </c>
      <c r="F1033" s="12" t="inlineStr">
        <is>
          <t>Missing — built with 1.0's shape (§4).</t>
        </is>
      </c>
      <c r="G1033" s="12" t="inlineStr">
        <is>
          <t>13.04</t>
        </is>
      </c>
      <c r="H1033" s="12" t="inlineStr"/>
      <c r="I1033" s="17" t="n"/>
      <c r="J1033" s="17" t="n"/>
    </row>
    <row r="1034">
      <c r="A1034" s="12" t="inlineStr">
        <is>
          <t>AI Visualizer</t>
        </is>
      </c>
      <c r="B1034" s="12" t="inlineStr">
        <is>
          <t>DEF-05</t>
        </is>
      </c>
      <c r="C1034" s="12" t="inlineStr">
        <is>
          <t>Definitions</t>
        </is>
      </c>
      <c r="D1034" s="14" t="inlineStr">
        <is>
          <t>The editing base</t>
        </is>
      </c>
      <c r="E1034" s="14" t="inlineStr">
        <is>
          <t>Built</t>
        </is>
      </c>
      <c r="F1034" s="12" t="inlineStr">
        <is>
          <t>Mismatch inside 1.0 — Q-08: what the canvas shows is what you edit.</t>
        </is>
      </c>
      <c r="G1034" s="12" t="inlineStr">
        <is>
          <t>13.05, 13.09</t>
        </is>
      </c>
      <c r="H1034" s="12" t="inlineStr"/>
      <c r="I1034" s="17" t="n"/>
      <c r="J1034" s="17" t="n"/>
    </row>
    <row r="1035">
      <c r="A1035" s="12" t="inlineStr">
        <is>
          <t>AI Visualizer</t>
        </is>
      </c>
      <c r="B1035" s="12" t="inlineStr">
        <is>
          <t>DEF-06</t>
        </is>
      </c>
      <c r="C1035" s="12" t="inlineStr">
        <is>
          <t>Definitions</t>
        </is>
      </c>
      <c r="D1035" s="14" t="inlineStr">
        <is>
          <t>A surface</t>
        </is>
      </c>
      <c r="E1035" s="14" t="inlineStr">
        <is>
          <t>Built</t>
        </is>
      </c>
      <c r="F1035" s="12" t="inlineStr">
        <is>
          <t>Missing — 2.0 keeps the label, the dot and the groups and adds the region the engine changes (§5).</t>
        </is>
      </c>
      <c r="G1035" s="12" t="inlineStr">
        <is>
          <t>13.03</t>
        </is>
      </c>
      <c r="H1035" s="12" t="inlineStr"/>
      <c r="I1035" s="17" t="n"/>
      <c r="J1035" s="17" t="n"/>
    </row>
    <row r="1036">
      <c r="A1036" s="12" t="inlineStr">
        <is>
          <t>AI Visualizer</t>
        </is>
      </c>
      <c r="B1036" s="12" t="inlineStr">
        <is>
          <t>DEF-07</t>
        </is>
      </c>
      <c r="C1036" s="12" t="inlineStr">
        <is>
          <t>Definitions</t>
        </is>
      </c>
      <c r="D1036" s="14" t="inlineStr">
        <is>
          <t>A material</t>
        </is>
      </c>
      <c r="E1036" s="14" t="inlineStr">
        <is>
          <t>Built</t>
        </is>
      </c>
      <c r="F1036" s="12" t="inlineStr">
        <is>
          <t>Missing — Q-18 · Q-19.</t>
        </is>
      </c>
      <c r="G1036" s="12" t="inlineStr">
        <is>
          <t>13.03, 13.28, 13.30</t>
        </is>
      </c>
      <c r="H1036" s="12" t="inlineStr"/>
      <c r="I1036" s="17" t="n"/>
      <c r="J1036" s="17" t="n"/>
    </row>
    <row r="1037">
      <c r="A1037" s="12" t="inlineStr">
        <is>
          <t>AI Visualizer</t>
        </is>
      </c>
      <c r="B1037" s="12" t="inlineStr">
        <is>
          <t>DEF-08</t>
        </is>
      </c>
      <c r="C1037" s="12" t="inlineStr">
        <is>
          <t>Definitions</t>
        </is>
      </c>
      <c r="D1037" s="14" t="inlineStr">
        <is>
          <t>A render</t>
        </is>
      </c>
      <c r="E1037" s="14" t="inlineStr">
        <is>
          <t>Built</t>
        </is>
      </c>
      <c r="F1037" s="12" t="inlineStr">
        <is>
          <t>Platform — Q-05: the curated engine (§5).</t>
        </is>
      </c>
      <c r="G1037" s="12" t="inlineStr">
        <is>
          <t>13.04</t>
        </is>
      </c>
      <c r="H1037" s="12" t="inlineStr"/>
      <c r="I1037" s="17" t="n"/>
      <c r="J1037" s="17" t="n"/>
    </row>
    <row r="1038">
      <c r="A1038" s="12" t="inlineStr">
        <is>
          <t>AI Visualizer</t>
        </is>
      </c>
      <c r="B1038" s="12" t="inlineStr">
        <is>
          <t>DEF-09</t>
        </is>
      </c>
      <c r="C1038" s="12" t="inlineStr">
        <is>
          <t>Definitions</t>
        </is>
      </c>
      <c r="D1038" s="14" t="inlineStr">
        <is>
          <t>Sharing</t>
        </is>
      </c>
      <c r="E1038" s="14" t="inlineStr">
        <is>
          <t>Built</t>
        </is>
      </c>
      <c r="F1038" s="12" t="inlineStr">
        <is>
          <t>Missing — Q-14: one link, to the lead's client.</t>
        </is>
      </c>
      <c r="G1038" s="12" t="inlineStr">
        <is>
          <t>13.17</t>
        </is>
      </c>
      <c r="H1038" s="12" t="inlineStr"/>
      <c r="I1038" s="17" t="n"/>
      <c r="J1038" s="17" t="n"/>
    </row>
    <row r="1039">
      <c r="A1039" s="12" t="inlineStr">
        <is>
          <t>AI Visualizer</t>
        </is>
      </c>
      <c r="B1039" s="12" t="inlineStr">
        <is>
          <t>DEF-10</t>
        </is>
      </c>
      <c r="C1039" s="12" t="inlineStr">
        <is>
          <t>Definitions</t>
        </is>
      </c>
      <c r="D1039" s="14" t="inlineStr">
        <is>
          <t>Annotate</t>
        </is>
      </c>
      <c r="E1039" s="14" t="inlineStr">
        <is>
          <t>Built</t>
        </is>
      </c>
      <c r="F1039" s="12" t="inlineStr">
        <is>
          <t>Missing — Q-15: pins on a version, shown on the share link.</t>
        </is>
      </c>
      <c r="G1039" s="12" t="inlineStr">
        <is>
          <t>13.13, 13.19</t>
        </is>
      </c>
      <c r="H1039" s="12" t="inlineStr"/>
      <c r="I1039" s="17" t="n"/>
      <c r="J1039" s="17" t="n"/>
    </row>
    <row r="1040">
      <c r="A1040" s="12" t="inlineStr">
        <is>
          <t>AI Visualizer</t>
        </is>
      </c>
      <c r="B1040" s="12" t="inlineStr">
        <is>
          <t>DEF-11</t>
        </is>
      </c>
      <c r="C1040" s="12" t="inlineStr">
        <is>
          <t>Definitions</t>
        </is>
      </c>
      <c r="D1040" s="14" t="inlineStr">
        <is>
          <t>Save to the lead</t>
        </is>
      </c>
      <c r="E1040" s="14" t="inlineStr">
        <is>
          <t>Built</t>
        </is>
      </c>
      <c r="F1040" s="12" t="inlineStr">
        <is>
          <t>Mismatch — Q-13.</t>
        </is>
      </c>
      <c r="G1040" s="12" t="inlineStr">
        <is>
          <t>13.15</t>
        </is>
      </c>
      <c r="H1040" s="12" t="inlineStr"/>
      <c r="I1040" s="17" t="n"/>
      <c r="J1040" s="17" t="n"/>
    </row>
    <row r="1041">
      <c r="A1041" s="12" t="inlineStr">
        <is>
          <t>AI Visualizer</t>
        </is>
      </c>
      <c r="B1041" s="12" t="inlineStr">
        <is>
          <t>MM-01</t>
        </is>
      </c>
      <c r="C1041" s="12" t="inlineStr">
        <is>
          <t>Mismatches</t>
        </is>
      </c>
      <c r="D1041" s="14" t="inlineStr">
        <is>
          <t>Saving a lead's renders</t>
        </is>
      </c>
      <c r="E1041" s="14" t="inlineStr">
        <is>
          <t>Built</t>
        </is>
      </c>
      <c r="F1041" s="12" t="inlineStr">
        <is>
          <t>Q-13</t>
        </is>
      </c>
      <c r="G1041" s="12" t="inlineStr">
        <is>
          <t>13.15</t>
        </is>
      </c>
      <c r="H1041" s="12" t="inlineStr"/>
      <c r="I1041" s="17" t="n"/>
      <c r="J1041" s="17" t="n"/>
    </row>
    <row r="1042">
      <c r="A1042" s="12" t="inlineStr">
        <is>
          <t>AI Visualizer</t>
        </is>
      </c>
      <c r="B1042" s="12" t="inlineStr">
        <is>
          <t>MM-02</t>
        </is>
      </c>
      <c r="C1042" s="12" t="inlineStr">
        <is>
          <t>Mismatches</t>
        </is>
      </c>
      <c r="D1042" s="14" t="inlineStr">
        <is>
          <t>Variants on desktop</t>
        </is>
      </c>
      <c r="E1042" s="14" t="inlineStr">
        <is>
          <t>Built</t>
        </is>
      </c>
      <c r="F1042" s="12" t="inlineStr">
        <is>
          <t>Q-09</t>
        </is>
      </c>
      <c r="G1042" s="12" t="inlineStr">
        <is>
          <t>13.09</t>
        </is>
      </c>
      <c r="H1042" s="12" t="inlineStr"/>
      <c r="I1042" s="17" t="n"/>
      <c r="J1042" s="17" t="n"/>
    </row>
    <row r="1043">
      <c r="A1043" s="12" t="inlineStr">
        <is>
          <t>AI Visualizer</t>
        </is>
      </c>
      <c r="B1043" s="12" t="inlineStr">
        <is>
          <t>MM-03</t>
        </is>
      </c>
      <c r="C1043" s="12" t="inlineStr">
        <is>
          <t>Mismatches</t>
        </is>
      </c>
      <c r="D1043" s="14" t="inlineStr">
        <is>
          <t>Auto Furnish on a phone</t>
        </is>
      </c>
      <c r="E1043" s="14" t="inlineStr">
        <is>
          <t>Built</t>
        </is>
      </c>
      <c r="F1043" s="12" t="inlineStr">
        <is>
          <t>Q-25</t>
        </is>
      </c>
      <c r="G1043" s="12" t="inlineStr">
        <is>
          <t>13.32</t>
        </is>
      </c>
      <c r="H1043" s="12" t="inlineStr"/>
      <c r="I1043" s="17" t="n"/>
      <c r="J1043" s="17" t="n"/>
    </row>
    <row r="1044">
      <c r="A1044" s="12" t="inlineStr">
        <is>
          <t>AI Visualizer</t>
        </is>
      </c>
      <c r="B1044" s="12" t="inlineStr">
        <is>
          <t>MM-04</t>
        </is>
      </c>
      <c r="C1044" s="12" t="inlineStr">
        <is>
          <t>Mismatches</t>
        </is>
      </c>
      <c r="D1044" s="14" t="inlineStr">
        <is>
          <t>What you edit after a render</t>
        </is>
      </c>
      <c r="E1044" s="14" t="inlineStr">
        <is>
          <t>Built</t>
        </is>
      </c>
      <c r="F1044" s="12" t="inlineStr">
        <is>
          <t>Q-08</t>
        </is>
      </c>
      <c r="G1044" s="12" t="inlineStr">
        <is>
          <t>13.04, 13.05</t>
        </is>
      </c>
      <c r="H1044" s="12" t="inlineStr"/>
      <c r="I1044" s="17" t="n"/>
      <c r="J1044" s="17" t="n"/>
    </row>
    <row r="1045">
      <c r="A1045" s="12" t="inlineStr">
        <is>
          <t>AI Visualizer</t>
        </is>
      </c>
      <c r="B1045" s="12" t="inlineStr">
        <is>
          <t>MM-05</t>
        </is>
      </c>
      <c r="C1045" s="12" t="inlineStr">
        <is>
          <t>Mismatches</t>
        </is>
      </c>
      <c r="D1045" s="14" t="inlineStr">
        <is>
          <t>Deleting</t>
        </is>
      </c>
      <c r="E1045" s="14" t="inlineStr">
        <is>
          <t>Built</t>
        </is>
      </c>
      <c r="F1045" s="12" t="inlineStr">
        <is>
          <t>Q-11</t>
        </is>
      </c>
      <c r="G1045" s="12" t="inlineStr">
        <is>
          <t>13.12</t>
        </is>
      </c>
      <c r="H1045" s="12" t="inlineStr"/>
      <c r="I1045" s="17" t="n"/>
      <c r="J1045" s="17" t="n"/>
    </row>
    <row r="1046">
      <c r="A1046" s="12" t="inlineStr">
        <is>
          <t>AI Visualizer</t>
        </is>
      </c>
      <c r="B1046" s="12" t="inlineStr">
        <is>
          <t>MM-06</t>
        </is>
      </c>
      <c r="C1046" s="12" t="inlineStr">
        <is>
          <t>Mismatches</t>
        </is>
      </c>
      <c r="D1046" s="14" t="inlineStr">
        <is>
          <t>The share link's style</t>
        </is>
      </c>
      <c r="E1046" s="14" t="inlineStr">
        <is>
          <t>Built</t>
        </is>
      </c>
      <c r="F1046" s="12" t="inlineStr">
        <is>
          <t>Q-14</t>
        </is>
      </c>
      <c r="G1046" s="12" t="inlineStr">
        <is>
          <t>13.18</t>
        </is>
      </c>
      <c r="H1046" s="12" t="inlineStr"/>
      <c r="I1046" s="17" t="n"/>
      <c r="J1046" s="17" t="n"/>
    </row>
    <row r="1047">
      <c r="A1047" s="12" t="inlineStr">
        <is>
          <t>AI Visualizer</t>
        </is>
      </c>
      <c r="B1047" s="12" t="inlineStr">
        <is>
          <t>MM-07</t>
        </is>
      </c>
      <c r="C1047" s="12" t="inlineStr">
        <is>
          <t>Mismatches</t>
        </is>
      </c>
      <c r="D1047" s="14" t="inlineStr">
        <is>
          <t>Send to Chat</t>
        </is>
      </c>
      <c r="E1047" s="14" t="inlineStr">
        <is>
          <t>Built</t>
        </is>
      </c>
      <c r="F1047" s="12" t="inlineStr">
        <is>
          <t>Q-14</t>
        </is>
      </c>
      <c r="G1047" s="12" t="inlineStr">
        <is>
          <t>13.17</t>
        </is>
      </c>
      <c r="H1047" s="12" t="inlineStr"/>
      <c r="I1047" s="17" t="n"/>
      <c r="J1047" s="17" t="n"/>
    </row>
    <row r="1048">
      <c r="A1048" s="12" t="inlineStr">
        <is>
          <t>AI Visualizer</t>
        </is>
      </c>
      <c r="B1048" s="12" t="inlineStr">
        <is>
          <t>MM-08</t>
        </is>
      </c>
      <c r="C1048" s="12" t="inlineStr">
        <is>
          <t>Mismatches</t>
        </is>
      </c>
      <c r="D1048" s="14" t="inlineStr">
        <is>
          <t>The consultation form</t>
        </is>
      </c>
      <c r="E1048" s="14" t="inlineStr">
        <is>
          <t>Built</t>
        </is>
      </c>
      <c r="F1048" s="12" t="inlineStr">
        <is>
          <t>Q-16</t>
        </is>
      </c>
      <c r="G1048" s="12" t="inlineStr">
        <is>
          <t>13.20</t>
        </is>
      </c>
      <c r="H1048" s="12" t="inlineStr"/>
      <c r="I1048" s="17" t="n"/>
      <c r="J1048" s="17" t="n"/>
    </row>
    <row r="1049">
      <c r="A1049" s="12" t="inlineStr">
        <is>
          <t>AI Visualizer</t>
        </is>
      </c>
      <c r="B1049" s="12" t="inlineStr">
        <is>
          <t>MM-09</t>
        </is>
      </c>
      <c r="C1049" s="12" t="inlineStr">
        <is>
          <t>Mismatches</t>
        </is>
      </c>
      <c r="D1049" s="14" t="inlineStr">
        <is>
          <t>The material list "for quoting"</t>
        </is>
      </c>
      <c r="E1049" s="14" t="inlineStr">
        <is>
          <t>Built</t>
        </is>
      </c>
      <c r="F1049" s="12" t="inlineStr">
        <is>
          <t>Q-17</t>
        </is>
      </c>
      <c r="G1049" s="12" t="inlineStr">
        <is>
          <t>13.16</t>
        </is>
      </c>
      <c r="H1049" s="12" t="inlineStr"/>
      <c r="I1049" s="17" t="n"/>
      <c r="J1049" s="17" t="n"/>
    </row>
    <row r="1050">
      <c r="A1050" s="12" t="inlineStr">
        <is>
          <t>AI Visualizer</t>
        </is>
      </c>
      <c r="B1050" s="12" t="inlineStr">
        <is>
          <t>MM-10</t>
        </is>
      </c>
      <c r="C1050" s="12" t="inlineStr">
        <is>
          <t>Mismatches</t>
        </is>
      </c>
      <c r="D1050" s="14" t="inlineStr">
        <is>
          <t>The lighting copy</t>
        </is>
      </c>
      <c r="E1050" s="14" t="inlineStr">
        <is>
          <t>Built</t>
        </is>
      </c>
      <c r="F1050" s="12" t="inlineStr">
        <is>
          <t>Q-22</t>
        </is>
      </c>
      <c r="G1050" s="12" t="inlineStr">
        <is>
          <t>13.08</t>
        </is>
      </c>
      <c r="H1050" s="12" t="inlineStr"/>
      <c r="I1050" s="17" t="n"/>
      <c r="J1050" s="17" t="n"/>
    </row>
    <row r="1051">
      <c r="A1051" s="12" t="inlineStr">
        <is>
          <t>AI Visualizer</t>
        </is>
      </c>
      <c r="B1051" s="12" t="inlineStr">
        <is>
          <t>MM-11</t>
        </is>
      </c>
      <c r="C1051" s="12" t="inlineStr">
        <is>
          <t>Mismatches</t>
        </is>
      </c>
      <c r="D1051" s="14" t="inlineStr">
        <is>
          <t>Surface markers</t>
        </is>
      </c>
      <c r="E1051" s="14" t="inlineStr">
        <is>
          <t>Built</t>
        </is>
      </c>
      <c r="F1051" s="12" t="inlineStr">
        <is>
          <t>Q-06</t>
        </is>
      </c>
      <c r="G1051" s="12" t="inlineStr">
        <is>
          <t>13.01</t>
        </is>
      </c>
      <c r="H1051" s="12" t="inlineStr"/>
      <c r="I1051" s="17" t="n"/>
      <c r="J1051" s="17" t="n"/>
    </row>
    <row r="1052">
      <c r="A1052" s="12" t="inlineStr">
        <is>
          <t>AI Visualizer</t>
        </is>
      </c>
      <c r="B1052" s="12" t="inlineStr">
        <is>
          <t>MM-12</t>
        </is>
      </c>
      <c r="C1052" s="12" t="inlineStr">
        <is>
          <t>Mismatches</t>
        </is>
      </c>
      <c r="D1052" s="14" t="inlineStr">
        <is>
          <t>Work in progress</t>
        </is>
      </c>
      <c r="E1052" s="14" t="inlineStr">
        <is>
          <t>Built</t>
        </is>
      </c>
      <c r="F1052" s="12" t="inlineStr">
        <is>
          <t>Q-07</t>
        </is>
      </c>
      <c r="G1052" s="12" t="inlineStr">
        <is>
          <t>13.12</t>
        </is>
      </c>
      <c r="H1052" s="12" t="inlineStr"/>
      <c r="I1052" s="17" t="n"/>
      <c r="J1052" s="17" t="n"/>
    </row>
    <row r="1053">
      <c r="A1053" s="12" t="inlineStr">
        <is>
          <t>AI Visualizer</t>
        </is>
      </c>
      <c r="B1053" s="12" t="inlineStr">
        <is>
          <t>VE-01</t>
        </is>
      </c>
      <c r="C1053" s="12" t="inlineStr">
        <is>
          <t>Ways in, the page and the way back</t>
        </is>
      </c>
      <c r="D1053" s="14" t="inlineStr">
        <is>
          <t>Tools › AI Visualizer</t>
        </is>
      </c>
      <c r="E1053" s="14" t="inlineStr">
        <is>
          <t>Built</t>
        </is>
      </c>
      <c r="F1053" s="12" t="inlineStr">
        <is>
          <t>The Tools tile opens /visualizer (desktop popover and the phone's Tools sheet).</t>
        </is>
      </c>
      <c r="G1053" s="12" t="inlineStr">
        <is>
          <t>13.25</t>
        </is>
      </c>
      <c r="H1053" s="12" t="inlineStr"/>
      <c r="I1053" s="17" t="n"/>
      <c r="J1053" s="17" t="n"/>
    </row>
    <row r="1054">
      <c r="A1054" s="12" t="inlineStr">
        <is>
          <t>AI Visualizer</t>
        </is>
      </c>
      <c r="B1054" s="12" t="inlineStr">
        <is>
          <t>VE-02</t>
        </is>
      </c>
      <c r="C1054" s="12" t="inlineStr">
        <is>
          <t>Ways in, the page and the way back</t>
        </is>
      </c>
      <c r="D1054" s="14" t="inlineStr">
        <is>
          <t>The lead drawer's Open AI Visualizer</t>
        </is>
      </c>
      <c r="E1054" s="14" t="inlineStr">
        <is>
          <t>Built</t>
        </is>
      </c>
      <c r="F1054" s="12" t="inlineStr">
        <is>
          <t>The lead's quick link AI Visualizer opens the lead's design (made on first open) with ?from= the tab it was pressed on (Q-02).</t>
        </is>
      </c>
      <c r="G1054" s="12" t="inlineStr">
        <is>
          <t>13.23</t>
        </is>
      </c>
      <c r="H1054" s="12" t="inlineStr"/>
      <c r="I1054" s="17" t="n"/>
      <c r="J1054" s="17" t="n"/>
    </row>
    <row r="1055">
      <c r="A1055" s="12" t="inlineStr">
        <is>
          <t>AI Visualizer</t>
        </is>
      </c>
      <c r="B1055" s="12" t="inlineStr">
        <is>
          <t>VE-03</t>
        </is>
      </c>
      <c r="C1055" s="12" t="inlineStr">
        <is>
          <t>Ways in, the page and the way back</t>
        </is>
      </c>
      <c r="D1055" s="14" t="inlineStr">
        <is>
          <t>Deep links</t>
        </is>
      </c>
      <c r="E1055" s="14" t="inlineStr">
        <is>
          <t>Built</t>
        </is>
      </c>
      <c r="F1055" s="12" t="inlineStr">
        <is>
          <t>Every design has its address /visualizer/[designId] (?room= picks a room); Back honours ?from=.</t>
        </is>
      </c>
      <c r="G1055" s="12" t="inlineStr">
        <is>
          <t>13.15, 13.21</t>
        </is>
      </c>
      <c r="H1055" s="12" t="inlineStr"/>
      <c r="I1055" s="17" t="n"/>
      <c r="J1055" s="17" t="n"/>
    </row>
    <row r="1056">
      <c r="A1056" s="12" t="inlineStr">
        <is>
          <t>AI Visualizer</t>
        </is>
      </c>
      <c r="B1056" s="12" t="inlineStr">
        <is>
          <t>VE-04</t>
        </is>
      </c>
      <c r="C1056" s="12" t="inlineStr">
        <is>
          <t>Ways in, the page and the way back</t>
        </is>
      </c>
      <c r="D1056" s="14" t="inlineStr">
        <is>
          <t>The project's Photo Renders + entry dialog, the Renders tab</t>
        </is>
      </c>
      <c r="E1056" s="14" t="inlineStr">
        <is>
          <t>Later</t>
        </is>
      </c>
      <c r="F1056" s="12" t="inlineStr">
        <is>
          <t>Projects module.</t>
        </is>
      </c>
      <c r="G1056" s="12" t="inlineStr"/>
      <c r="H1056" s="12" t="inlineStr"/>
      <c r="I1056" s="17" t="n"/>
      <c r="J1056" s="17" t="n"/>
    </row>
    <row r="1057">
      <c r="A1057" s="12" t="inlineStr">
        <is>
          <t>AI Visualizer</t>
        </is>
      </c>
      <c r="B1057" s="12" t="inlineStr">
        <is>
          <t>VE-05</t>
        </is>
      </c>
      <c r="C1057" s="12" t="inlineStr">
        <is>
          <t>Ways in, the page and the way back</t>
        </is>
      </c>
      <c r="D1057" s="14" t="inlineStr">
        <is>
          <t>Coach mark</t>
        </is>
      </c>
      <c r="E1057" s="14" t="inlineStr">
        <is>
          <t>Built</t>
        </is>
      </c>
      <c r="F1057" s="12" t="inlineStr">
        <is>
          <t>The editor's first-visit hint (the template editor's pattern, remembered per browser).</t>
        </is>
      </c>
      <c r="G1057" s="12" t="inlineStr">
        <is>
          <t>13.01</t>
        </is>
      </c>
      <c r="H1057" s="12" t="inlineStr"/>
      <c r="I1057" s="17" t="n"/>
      <c r="J1057" s="17" t="n"/>
    </row>
    <row r="1058">
      <c r="A1058" s="12" t="inlineStr">
        <is>
          <t>AI Visualizer</t>
        </is>
      </c>
      <c r="B1058" s="12" t="inlineStr">
        <is>
          <t>VE-06</t>
        </is>
      </c>
      <c r="C1058" s="12" t="inlineStr">
        <is>
          <t>Ways in, the page and the way back</t>
        </is>
      </c>
      <c r="D1058" s="14" t="inlineStr">
        <is>
          <t>Page flag + access matrix</t>
        </is>
      </c>
      <c r="E1058" s="14" t="inlineStr">
        <is>
          <t>Platform</t>
        </is>
      </c>
      <c r="F1058" s="12" t="inlineStr">
        <is>
          <t>Every member; Who sees leads decides which lead designs a member sees (Q-24).</t>
        </is>
      </c>
      <c r="G1058" s="12" t="inlineStr"/>
      <c r="H1058" s="12" t="inlineStr"/>
      <c r="I1058" s="17" t="n"/>
      <c r="J1058" s="17" t="n"/>
    </row>
    <row r="1059">
      <c r="A1059" s="12" t="inlineStr">
        <is>
          <t>AI Visualizer</t>
        </is>
      </c>
      <c r="B1059" s="12" t="inlineStr">
        <is>
          <t>VE-07</t>
        </is>
      </c>
      <c r="C1059" s="12" t="inlineStr">
        <is>
          <t>Ways in, the page and the way back</t>
        </is>
      </c>
      <c r="D1059" s="14" t="inlineStr">
        <is>
          <t>Focus mode below lg</t>
        </is>
      </c>
      <c r="E1059" s="14" t="inlineStr">
        <is>
          <t>Built</t>
        </is>
      </c>
      <c r="F1059" s="12" t="inlineStr">
        <is>
          <t>The editor is a rail-less app frame at every width (the (editor) group).</t>
        </is>
      </c>
      <c r="G1059" s="12" t="inlineStr">
        <is>
          <t>13.01</t>
        </is>
      </c>
      <c r="H1059" s="12" t="inlineStr"/>
      <c r="I1059" s="17" t="n"/>
      <c r="J1059" s="17" t="n"/>
    </row>
    <row r="1060">
      <c r="A1060" s="12" t="inlineStr">
        <is>
          <t>AI Visualizer</t>
        </is>
      </c>
      <c r="B1060" s="12" t="inlineStr">
        <is>
          <t>VE-08</t>
        </is>
      </c>
      <c r="C1060" s="12" t="inlineStr">
        <is>
          <t>Ways in, the page and the way back</t>
        </is>
      </c>
      <c r="D1060" s="14" t="inlineStr">
        <is>
          <t>Open in AI Visualizer on a lead file</t>
        </is>
      </c>
      <c r="E1060" s="14" t="inlineStr">
        <is>
          <t>Built</t>
        </is>
      </c>
      <c r="F1060" s="12" t="inlineStr">
        <is>
          <t>2.0 builds it (Q-31): the file viewer's kebab and the Files grid's menu.</t>
        </is>
      </c>
      <c r="G1060" s="12" t="inlineStr">
        <is>
          <t>13.01, 13.15</t>
        </is>
      </c>
      <c r="H1060" s="12" t="inlineStr"/>
      <c r="I1060" s="17" t="n"/>
      <c r="J1060" s="17" t="n"/>
    </row>
    <row r="1061">
      <c r="A1061" s="12" t="inlineStr">
        <is>
          <t>AI Visualizer</t>
        </is>
      </c>
      <c r="B1061" s="12" t="inlineStr">
        <is>
          <t>VL-01</t>
        </is>
      </c>
      <c r="C1061" s="12" t="inlineStr">
        <is>
          <t>The landing (designs)</t>
        </is>
      </c>
      <c r="D1061" s="14" t="inlineStr">
        <is>
          <t>Header AI Visualizer + New design</t>
        </is>
      </c>
      <c r="E1061" s="14" t="inlineStr">
        <is>
          <t>Built</t>
        </is>
      </c>
      <c r="F1061" s="12" t="inlineStr">
        <is>
          <t>L1 header; New design ▾ — Blank design · From a lead · From a sample room.</t>
        </is>
      </c>
      <c r="G1061" s="12" t="inlineStr">
        <is>
          <t>13.25</t>
        </is>
      </c>
      <c r="H1061" s="12" t="inlineStr"/>
      <c r="I1061" s="17" t="n"/>
      <c r="J1061" s="17" t="n"/>
    </row>
    <row r="1062">
      <c r="A1062" s="12" t="inlineStr">
        <is>
          <t>AI Visualizer</t>
        </is>
      </c>
      <c r="B1062" s="12" t="inlineStr">
        <is>
          <t>VL-02</t>
        </is>
      </c>
      <c r="C1062" s="12" t="inlineStr">
        <is>
          <t>The landing (designs)</t>
        </is>
      </c>
      <c r="D1062" s="14" t="inlineStr">
        <is>
          <t>First-run hero</t>
        </is>
      </c>
      <c r="E1062" s="14" t="inlineStr">
        <is>
          <t>Built</t>
        </is>
      </c>
      <c r="F1062" s="12" t="inlineStr">
        <is>
          <t>The gallery's empty state with the three steps and the same two actions.</t>
        </is>
      </c>
      <c r="G1062" s="12" t="inlineStr">
        <is>
          <t>13.25</t>
        </is>
      </c>
      <c r="H1062" s="12" t="inlineStr"/>
      <c r="I1062" s="17" t="n"/>
      <c r="J1062" s="17" t="n"/>
    </row>
    <row r="1063">
      <c r="A1063" s="12" t="inlineStr">
        <is>
          <t>AI Visualizer</t>
        </is>
      </c>
      <c r="B1063" s="12" t="inlineStr">
        <is>
          <t>VL-03</t>
        </is>
      </c>
      <c r="C1063" s="12" t="inlineStr">
        <is>
          <t>The landing (designs)</t>
        </is>
      </c>
      <c r="D1063" s="14" t="inlineStr">
        <is>
          <t>Start strip</t>
        </is>
      </c>
      <c r="E1063" s="14" t="inlineStr">
        <is>
          <t>Built</t>
        </is>
      </c>
      <c r="F1063" s="12" t="inlineStr">
        <is>
          <t>New design ▾ carries them (projects Later); the sample rooms are a third way in (Q-05).</t>
        </is>
      </c>
      <c r="G1063" s="12" t="inlineStr">
        <is>
          <t>13.25</t>
        </is>
      </c>
      <c r="H1063" s="12" t="inlineStr"/>
      <c r="I1063" s="17" t="n"/>
      <c r="J1063" s="17" t="n"/>
    </row>
    <row r="1064">
      <c r="A1064" s="12" t="inlineStr">
        <is>
          <t>AI Visualizer</t>
        </is>
      </c>
      <c r="B1064" s="12" t="inlineStr">
        <is>
          <t>VL-04</t>
        </is>
      </c>
      <c r="C1064" s="12" t="inlineStr">
        <is>
          <t>The landing (designs)</t>
        </is>
      </c>
      <c r="D1064" s="14" t="inlineStr">
        <is>
          <t>View chips All · Leads · Projects · Personal</t>
        </is>
      </c>
      <c r="E1064" s="14" t="inlineStr">
        <is>
          <t>Built</t>
        </is>
      </c>
      <c r="F1064" s="12" t="inlineStr">
        <is>
          <t>The gallery's scope pill Kind: All ▾ (REG-666's grammar) — Leads · Personal.</t>
        </is>
      </c>
      <c r="G1064" s="12" t="inlineStr">
        <is>
          <t>13.25</t>
        </is>
      </c>
      <c r="H1064" s="12" t="inlineStr"/>
      <c r="I1064" s="17" t="n"/>
      <c r="J1064" s="17" t="n"/>
    </row>
    <row r="1065">
      <c r="A1065" s="12" t="inlineStr">
        <is>
          <t>AI Visualizer</t>
        </is>
      </c>
      <c r="B1065" s="12" t="inlineStr">
        <is>
          <t>VL-05</t>
        </is>
      </c>
      <c r="C1065" s="12" t="inlineStr">
        <is>
          <t>The landing (designs)</t>
        </is>
      </c>
      <c r="D1065" s="14" t="inlineStr">
        <is>
          <t>Search</t>
        </is>
      </c>
      <c r="E1065" s="14" t="inlineStr">
        <is>
          <t>Built</t>
        </is>
      </c>
      <c r="F1065" s="12" t="inlineStr">
        <is>
          <t>The gallery's search (name, lead, room names).</t>
        </is>
      </c>
      <c r="G1065" s="12" t="inlineStr">
        <is>
          <t>13.25</t>
        </is>
      </c>
      <c r="H1065" s="12" t="inlineStr"/>
      <c r="I1065" s="17" t="n"/>
      <c r="J1065" s="17" t="n"/>
    </row>
    <row r="1066">
      <c r="A1066" s="12" t="inlineStr">
        <is>
          <t>AI Visualizer</t>
        </is>
      </c>
      <c r="B1066" s="12" t="inlineStr">
        <is>
          <t>VL-06</t>
        </is>
      </c>
      <c r="C1066" s="12" t="inlineStr">
        <is>
          <t>The landing (designs)</t>
        </is>
      </c>
      <c r="D1066" s="14" t="inlineStr">
        <is>
          <t>Folders for personal designs</t>
        </is>
      </c>
      <c r="E1066" s="14" t="inlineStr">
        <is>
          <t>Built</t>
        </is>
      </c>
      <c r="F1066" s="12" t="inlineStr">
        <is>
          <t>The house folders (library visualizer), personal designs only (Q-04).</t>
        </is>
      </c>
      <c r="G1066" s="12" t="inlineStr">
        <is>
          <t>13.26</t>
        </is>
      </c>
      <c r="H1066" s="12" t="inlineStr"/>
      <c r="I1066" s="17" t="n"/>
      <c r="J1066" s="17" t="n"/>
    </row>
    <row r="1067">
      <c r="A1067" s="12" t="inlineStr">
        <is>
          <t>AI Visualizer</t>
        </is>
      </c>
      <c r="B1067" s="12" t="inlineStr">
        <is>
          <t>VL-07</t>
        </is>
      </c>
      <c r="C1067" s="12" t="inlineStr">
        <is>
          <t>The landing (designs)</t>
        </is>
      </c>
      <c r="D1067" s="14" t="inlineStr">
        <is>
          <t>Continue row</t>
        </is>
      </c>
      <c r="E1067" s="14" t="inlineStr">
        <is>
          <t>Built</t>
        </is>
      </c>
      <c r="F1067" s="12" t="inlineStr">
        <is>
          <t>The gallery sorts by last edited; the cards say Edited 2h ago — no second row.</t>
        </is>
      </c>
      <c r="G1067" s="12" t="inlineStr">
        <is>
          <t>13.25</t>
        </is>
      </c>
      <c r="H1067" s="12" t="inlineStr"/>
      <c r="I1067" s="17" t="n"/>
      <c r="J1067" s="17" t="n"/>
    </row>
    <row r="1068">
      <c r="A1068" s="12" t="inlineStr">
        <is>
          <t>AI Visualizer</t>
        </is>
      </c>
      <c r="B1068" s="12" t="inlineStr">
        <is>
          <t>VL-08</t>
        </is>
      </c>
      <c r="C1068" s="12" t="inlineStr">
        <is>
          <t>The landing (designs)</t>
        </is>
      </c>
      <c r="D1068" s="14" t="inlineStr">
        <is>
          <t>Design card + mosaic</t>
        </is>
      </c>
      <c r="E1068" s="14" t="inlineStr">
        <is>
          <t>Built</t>
        </is>
      </c>
      <c r="F1068" s="12" t="inlineStr">
        <is>
          <t>The gallery card: the cover mosaic in the thumb band, the kind chip, the counts; kebab Open · Rename · Move · Duplicate · Delete.</t>
        </is>
      </c>
      <c r="G1068" s="12" t="inlineStr">
        <is>
          <t>13.27</t>
        </is>
      </c>
      <c r="H1068" s="12" t="inlineStr"/>
      <c r="I1068" s="17" t="n"/>
      <c r="J1068" s="17" t="n"/>
    </row>
    <row r="1069">
      <c r="A1069" s="12" t="inlineStr">
        <is>
          <t>AI Visualizer</t>
        </is>
      </c>
      <c r="B1069" s="12" t="inlineStr">
        <is>
          <t>VL-09</t>
        </is>
      </c>
      <c r="C1069" s="12" t="inlineStr">
        <is>
          <t>The landing (designs)</t>
        </is>
      </c>
      <c r="D1069" s="14" t="inlineStr">
        <is>
          <t>Design detail</t>
        </is>
      </c>
      <c r="E1069" s="14" t="inlineStr">
        <is>
          <t>Built</t>
        </is>
      </c>
      <c r="F1069" s="12" t="inlineStr">
        <is>
          <t>Not a separate page: the editor's room tabs are the rooms (one press fewer).</t>
        </is>
      </c>
      <c r="G1069" s="12" t="inlineStr">
        <is>
          <t>13.06</t>
        </is>
      </c>
      <c r="H1069" s="12" t="inlineStr"/>
      <c r="I1069" s="17" t="n"/>
      <c r="J1069" s="17" t="n"/>
    </row>
    <row r="1070">
      <c r="A1070" s="12" t="inlineStr">
        <is>
          <t>AI Visualizer</t>
        </is>
      </c>
      <c r="B1070" s="12" t="inlineStr">
        <is>
          <t>VL-10</t>
        </is>
      </c>
      <c r="C1070" s="12" t="inlineStr">
        <is>
          <t>The landing (designs)</t>
        </is>
      </c>
      <c r="D1070" s="14" t="inlineStr">
        <is>
          <t>Select + Move</t>
        </is>
      </c>
      <c r="E1070" s="14" t="inlineStr">
        <is>
          <t>Built</t>
        </is>
      </c>
      <c r="F1070" s="12" t="inlineStr">
        <is>
          <t>The gallery's selection + bulk bar (Move · Delete).</t>
        </is>
      </c>
      <c r="G1070" s="12" t="inlineStr">
        <is>
          <t>13.27</t>
        </is>
      </c>
      <c r="H1070" s="12" t="inlineStr"/>
      <c r="I1070" s="17" t="n"/>
      <c r="J1070" s="17" t="n"/>
    </row>
    <row r="1071">
      <c r="A1071" s="12" t="inlineStr">
        <is>
          <t>AI Visualizer</t>
        </is>
      </c>
      <c r="B1071" s="12" t="inlineStr">
        <is>
          <t>VL-11</t>
        </is>
      </c>
      <c r="C1071" s="12" t="inlineStr">
        <is>
          <t>The landing (designs)</t>
        </is>
      </c>
      <c r="D1071" s="14" t="inlineStr">
        <is>
          <t>Delete a design</t>
        </is>
      </c>
      <c r="E1071" s="14" t="inlineStr">
        <is>
          <t>Built</t>
        </is>
      </c>
      <c r="F1071" s="12" t="inlineStr">
        <is>
          <t>Soft delete with Undo; the Deleted sheet restores or deletes for good (REG-502's rule).</t>
        </is>
      </c>
      <c r="G1071" s="12" t="inlineStr">
        <is>
          <t>13.27</t>
        </is>
      </c>
      <c r="H1071" s="12" t="inlineStr"/>
      <c r="I1071" s="17" t="n"/>
      <c r="J1071" s="17" t="n"/>
    </row>
    <row r="1072">
      <c r="A1072" s="12" t="inlineStr">
        <is>
          <t>AI Visualizer</t>
        </is>
      </c>
      <c r="B1072" s="12" t="inlineStr">
        <is>
          <t>VL-12</t>
        </is>
      </c>
      <c r="C1072" s="12" t="inlineStr">
        <is>
          <t>The landing (designs)</t>
        </is>
      </c>
      <c r="D1072" s="14" t="inlineStr">
        <is>
          <t>Hidden empty lead designs</t>
        </is>
      </c>
      <c r="E1072" s="14" t="inlineStr">
        <is>
          <t>Built</t>
        </is>
      </c>
      <c r="F1072" s="12" t="inlineStr">
        <is>
          <t>A lead's design shows once it has a room.</t>
        </is>
      </c>
      <c r="G1072" s="12" t="inlineStr">
        <is>
          <t>13.25</t>
        </is>
      </c>
      <c r="H1072" s="12" t="inlineStr"/>
      <c r="I1072" s="17" t="n"/>
      <c r="J1072" s="17" t="n"/>
    </row>
    <row r="1073">
      <c r="A1073" s="12" t="inlineStr">
        <is>
          <t>AI Visualizer</t>
        </is>
      </c>
      <c r="B1073" s="12" t="inlineStr">
        <is>
          <t>VL-13</t>
        </is>
      </c>
      <c r="C1073" s="12" t="inlineStr">
        <is>
          <t>The landing (designs)</t>
        </is>
      </c>
      <c r="D1073" s="14" t="inlineStr">
        <is>
          <t>Workspace JSON, last writer wins</t>
        </is>
      </c>
      <c r="E1073" s="14" t="inlineStr">
        <is>
          <t>Built</t>
        </is>
      </c>
      <c r="F1073" s="12" t="inlineStr">
        <is>
          <t>Rows (§4).</t>
        </is>
      </c>
      <c r="G1073" s="12" t="inlineStr">
        <is>
          <t>13.12</t>
        </is>
      </c>
      <c r="H1073" s="12" t="inlineStr"/>
      <c r="I1073" s="17" t="n"/>
      <c r="J1073" s="17" t="n"/>
    </row>
    <row r="1074">
      <c r="A1074" s="12" t="inlineStr">
        <is>
          <t>AI Visualizer</t>
        </is>
      </c>
      <c r="B1074" s="12" t="inlineStr">
        <is>
          <t>VR-01</t>
        </is>
      </c>
      <c r="C1074" s="12" t="inlineStr">
        <is>
          <t>Rooms and upload</t>
        </is>
      </c>
      <c r="D1074" s="14" t="inlineStr">
        <is>
          <t>Empty state + Upload new room + Take photo</t>
        </is>
      </c>
      <c r="E1074" s="14" t="inlineStr">
        <is>
          <t>Built</t>
        </is>
      </c>
      <c r="F1074" s="12" t="inlineStr">
        <is>
          <t>The canvas empty state: Dropzone Upload a room photo · Take a photo (touch) · Use a sample room · From the lead's files (Q-31).</t>
        </is>
      </c>
      <c r="G1074" s="12" t="inlineStr">
        <is>
          <t>13.06, 13.26</t>
        </is>
      </c>
      <c r="H1074" s="12" t="inlineStr"/>
      <c r="I1074" s="17" t="n"/>
      <c r="J1074" s="17" t="n"/>
    </row>
    <row r="1075">
      <c r="A1075" s="12" t="inlineStr">
        <is>
          <t>AI Visualizer</t>
        </is>
      </c>
      <c r="B1075" s="12" t="inlineStr">
        <is>
          <t>VR-02</t>
        </is>
      </c>
      <c r="C1075" s="12" t="inlineStr">
        <is>
          <t>Rooms and upload</t>
        </is>
      </c>
      <c r="D1075" s="14" t="inlineStr">
        <is>
          <t>Room tabs + ⋯ Rename / Delete</t>
        </is>
      </c>
      <c r="E1075" s="14" t="inlineStr">
        <is>
          <t>Built</t>
        </is>
      </c>
      <c r="F1075" s="12" t="inlineStr">
        <is>
          <t>Room tabs in the top bar (a sheet on the phone); rename in place; delete with Undo (Q-11).</t>
        </is>
      </c>
      <c r="G1075" s="12" t="inlineStr">
        <is>
          <t>13.02</t>
        </is>
      </c>
      <c r="H1075" s="12" t="inlineStr"/>
      <c r="I1075" s="17" t="n"/>
      <c r="J1075" s="17" t="n"/>
    </row>
    <row r="1076">
      <c r="A1076" s="12" t="inlineStr">
        <is>
          <t>AI Visualizer</t>
        </is>
      </c>
      <c r="B1076" s="12" t="inlineStr">
        <is>
          <t>VR-03</t>
        </is>
      </c>
      <c r="C1076" s="12" t="inlineStr">
        <is>
          <t>Rooms and upload</t>
        </is>
      </c>
      <c r="D1076" s="14" t="inlineStr">
        <is>
          <t>Accepted files, 10 MB, HEIC</t>
        </is>
      </c>
      <c r="E1076" s="14" t="inlineStr">
        <is>
          <t>Built</t>
        </is>
      </c>
      <c r="F1076" s="12" t="inlineStr">
        <is>
          <t>JPG · PNG · WebP up to 10 MB, the house words; HEIC is Platform (the browser cannot read it without the converter) — the error says so.</t>
        </is>
      </c>
      <c r="G1076" s="12" t="inlineStr">
        <is>
          <t>13.06</t>
        </is>
      </c>
      <c r="H1076" s="12" t="inlineStr"/>
      <c r="I1076" s="17" t="n"/>
      <c r="J1076" s="17" t="n"/>
    </row>
    <row r="1077">
      <c r="A1077" s="12" t="inlineStr">
        <is>
          <t>AI Visualizer</t>
        </is>
      </c>
      <c r="B1077" s="12" t="inlineStr">
        <is>
          <t>VR-04</t>
        </is>
      </c>
      <c r="C1077" s="12" t="inlineStr">
        <is>
          <t>Rooms and upload</t>
        </is>
      </c>
      <c r="D1077" s="14" t="inlineStr">
        <is>
          <t>Bucket crop + downscales</t>
        </is>
      </c>
      <c r="E1077" s="14" t="inlineStr">
        <is>
          <t>Platform</t>
        </is>
      </c>
      <c r="F1077" s="12" t="inlineStr">
        <is>
          <t>The photo is scaled to 1600 on its long side for the engine; the stored copy is that scaled JPEG.</t>
        </is>
      </c>
      <c r="G1077" s="12" t="inlineStr"/>
      <c r="H1077" s="12" t="inlineStr"/>
      <c r="I1077" s="17" t="n"/>
      <c r="J1077" s="17" t="n"/>
    </row>
    <row r="1078">
      <c r="A1078" s="12" t="inlineStr">
        <is>
          <t>AI Visualizer</t>
        </is>
      </c>
      <c r="B1078" s="12" t="inlineStr">
        <is>
          <t>VR-05</t>
        </is>
      </c>
      <c r="C1078" s="12" t="inlineStr">
        <is>
          <t>Rooms and upload</t>
        </is>
      </c>
      <c r="D1078" s="14" t="inlineStr">
        <is>
          <t>Change photo</t>
        </is>
      </c>
      <c r="E1078" s="14" t="inlineStr">
        <is>
          <t>Built</t>
        </is>
      </c>
      <c r="F1078" s="12" t="inlineStr">
        <is>
          <t>The same rule (renders keep their photo).</t>
        </is>
      </c>
      <c r="G1078" s="12" t="inlineStr">
        <is>
          <t>13.02</t>
        </is>
      </c>
      <c r="H1078" s="12" t="inlineStr"/>
      <c r="I1078" s="17" t="n"/>
      <c r="J1078" s="17" t="n"/>
    </row>
    <row r="1079">
      <c r="A1079" s="12" t="inlineStr">
        <is>
          <t>AI Visualizer</t>
        </is>
      </c>
      <c r="B1079" s="12" t="inlineStr">
        <is>
          <t>VR-06</t>
        </is>
      </c>
      <c r="C1079" s="12" t="inlineStr">
        <is>
          <t>Rooms and upload</t>
        </is>
      </c>
      <c r="D1079" s="14" t="inlineStr">
        <is>
          <t>Auto-load + auto-detect a stored room</t>
        </is>
      </c>
      <c r="E1079" s="14" t="inlineStr">
        <is>
          <t>Built</t>
        </is>
      </c>
      <c r="F1079" s="12" t="inlineStr">
        <is>
          <t>The room's detection is stored with it (Q-07) — nothing to re-run.</t>
        </is>
      </c>
      <c r="G1079" s="12" t="inlineStr">
        <is>
          <t>13.12</t>
        </is>
      </c>
      <c r="H1079" s="12" t="inlineStr"/>
      <c r="I1079" s="17" t="n"/>
      <c r="J1079" s="17" t="n"/>
    </row>
    <row r="1080">
      <c r="A1080" s="12" t="inlineStr">
        <is>
          <t>AI Visualizer</t>
        </is>
      </c>
      <c r="B1080" s="12" t="inlineStr">
        <is>
          <t>VD-01</t>
        </is>
      </c>
      <c r="C1080" s="12" t="inlineStr">
        <is>
          <t>Detection, markers, place and draw</t>
        </is>
      </c>
      <c r="D1080" s="14" t="inlineStr">
        <is>
          <t>The detect call</t>
        </is>
      </c>
      <c r="E1080" s="14" t="inlineStr">
        <is>
          <t>Platform</t>
        </is>
      </c>
      <c r="F1080" s="12" t="inlineStr">
        <is>
          <t>The curated reading (§5.2): sample rooms carry their surfaces and furniture; other photos get 1.0's own fallback set.</t>
        </is>
      </c>
      <c r="G1080" s="12" t="inlineStr"/>
      <c r="H1080" s="12" t="inlineStr"/>
      <c r="I1080" s="17" t="n"/>
      <c r="J1080" s="17" t="n"/>
    </row>
    <row r="1081">
      <c r="A1081" s="12" t="inlineStr">
        <is>
          <t>AI Visualizer</t>
        </is>
      </c>
      <c r="B1081" s="12" t="inlineStr">
        <is>
          <t>VD-02</t>
        </is>
      </c>
      <c r="C1081" s="12" t="inlineStr">
        <is>
          <t>Detection, markers, place and draw</t>
        </is>
      </c>
      <c r="D1081" s="14" t="inlineStr">
        <is>
          <t>Failure fallback Walls · Floor · Ceiling</t>
        </is>
      </c>
      <c r="E1081" s="14" t="inlineStr">
        <is>
          <t>Built</t>
        </is>
      </c>
      <c r="F1081" s="12" t="inlineStr">
        <is>
          <t>The fallback for every unknown photo — placed where the photo's colour regions are, not at fixed points.</t>
        </is>
      </c>
      <c r="G1081" s="12" t="inlineStr">
        <is>
          <t>13.01</t>
        </is>
      </c>
      <c r="H1081" s="12" t="inlineStr"/>
      <c r="I1081" s="17" t="n"/>
      <c r="J1081" s="17" t="n"/>
    </row>
    <row r="1082">
      <c r="A1082" s="12" t="inlineStr">
        <is>
          <t>AI Visualizer</t>
        </is>
      </c>
      <c r="B1082" s="12" t="inlineStr">
        <is>
          <t>VD-03</t>
        </is>
      </c>
      <c r="C1082" s="12" t="inlineStr">
        <is>
          <t>Detection, markers, place and draw</t>
        </is>
      </c>
      <c r="D1082" s="14" t="inlineStr">
        <is>
          <t>Markers — squares for surfaces, circles for furniture; panel-scoped</t>
        </is>
      </c>
      <c r="E1082" s="14" t="inlineStr">
        <is>
          <t>Built</t>
        </is>
      </c>
      <c r="F1082" s="12" t="inlineStr">
        <is>
          <t>The same shapes and scoping; one toggle Markers; a selected surface lights its region on the photo (2.0 only).</t>
        </is>
      </c>
      <c r="G1082" s="12" t="inlineStr">
        <is>
          <t>13.01</t>
        </is>
      </c>
      <c r="H1082" s="12" t="inlineStr"/>
      <c r="I1082" s="17" t="n"/>
      <c r="J1082" s="17" t="n"/>
    </row>
    <row r="1083">
      <c r="A1083" s="12" t="inlineStr">
        <is>
          <t>AI Visualizer</t>
        </is>
      </c>
      <c r="B1083" s="12" t="inlineStr">
        <is>
          <t>VD-04</t>
        </is>
      </c>
      <c r="C1083" s="12" t="inlineStr">
        <is>
          <t>Detection, markers, place and draw</t>
        </is>
      </c>
      <c r="D1083" s="14" t="inlineStr">
        <is>
          <t>Place mode</t>
        </is>
      </c>
      <c r="E1083" s="14" t="inlineStr">
        <is>
          <t>Built</t>
        </is>
      </c>
      <c r="F1083" s="12" t="inlineStr">
        <is>
          <t>Same, with the place banner and Cancel.</t>
        </is>
      </c>
      <c r="G1083" s="12" t="inlineStr">
        <is>
          <t>13.02</t>
        </is>
      </c>
      <c r="H1083" s="12" t="inlineStr"/>
      <c r="I1083" s="17" t="n"/>
      <c r="J1083" s="17" t="n"/>
    </row>
    <row r="1084">
      <c r="A1084" s="12" t="inlineStr">
        <is>
          <t>AI Visualizer</t>
        </is>
      </c>
      <c r="B1084" s="12" t="inlineStr">
        <is>
          <t>VD-05</t>
        </is>
      </c>
      <c r="C1084" s="12" t="inlineStr">
        <is>
          <t>Detection, markers, place and draw</t>
        </is>
      </c>
      <c r="D1084" s="14" t="inlineStr">
        <is>
          <t>Lasso re-detect</t>
        </is>
      </c>
      <c r="E1084" s="14" t="inlineStr">
        <is>
          <t>Platform</t>
        </is>
      </c>
      <c r="F1084" s="12" t="inlineStr">
        <is>
          <t>Draw a surface (2.0): the lasso draws the region itself and names it — the engine's regions need no model.</t>
        </is>
      </c>
      <c r="G1084" s="12" t="inlineStr"/>
      <c r="H1084" s="12" t="inlineStr"/>
      <c r="I1084" s="17" t="n"/>
      <c r="J1084" s="17" t="n"/>
    </row>
    <row r="1085">
      <c r="A1085" s="12" t="inlineStr">
        <is>
          <t>AI Visualizer</t>
        </is>
      </c>
      <c r="B1085" s="12" t="inlineStr">
        <is>
          <t>VD-06</t>
        </is>
      </c>
      <c r="C1085" s="12" t="inlineStr">
        <is>
          <t>Detection, markers, place and draw</t>
        </is>
      </c>
      <c r="D1085" s="14" t="inlineStr">
        <is>
          <t>Remove from the list + pick-to-remove</t>
        </is>
      </c>
      <c r="E1085" s="14" t="inlineStr">
        <is>
          <t>Built</t>
        </is>
      </c>
      <c r="F1085" s="12" t="inlineStr">
        <is>
          <t>Same words; Undo.</t>
        </is>
      </c>
      <c r="G1085" s="12" t="inlineStr">
        <is>
          <t>13.02</t>
        </is>
      </c>
      <c r="H1085" s="12" t="inlineStr"/>
      <c r="I1085" s="17" t="n"/>
      <c r="J1085" s="17" t="n"/>
    </row>
    <row r="1086">
      <c r="A1086" s="12" t="inlineStr">
        <is>
          <t>AI Visualizer</t>
        </is>
      </c>
      <c r="B1086" s="12" t="inlineStr">
        <is>
          <t>VD-07</t>
        </is>
      </c>
      <c r="C1086" s="12" t="inlineStr">
        <is>
          <t>Detection, markers, place and draw</t>
        </is>
      </c>
      <c r="D1086" s="14" t="inlineStr">
        <is>
          <t>Sketch classification</t>
        </is>
      </c>
      <c r="E1086" s="14" t="inlineStr">
        <is>
          <t>Built</t>
        </is>
      </c>
      <c r="F1086" s="12" t="inlineStr">
        <is>
          <t>The sample kitchen sketch reads as a sketch; Render from sketch is the primary; Not a sketch? Use as it is.</t>
        </is>
      </c>
      <c r="G1086" s="12" t="inlineStr">
        <is>
          <t>13.26</t>
        </is>
      </c>
      <c r="H1086" s="12" t="inlineStr"/>
      <c r="I1086" s="17" t="n"/>
      <c r="J1086" s="17" t="n"/>
    </row>
    <row r="1087">
      <c r="A1087" s="12" t="inlineStr">
        <is>
          <t>AI Visualizer</t>
        </is>
      </c>
      <c r="B1087" s="12" t="inlineStr">
        <is>
          <t>VS-01</t>
        </is>
      </c>
      <c r="C1087" s="12" t="inlineStr">
        <is>
          <t>Surfaces and materials</t>
        </is>
      </c>
      <c r="D1087" s="14" t="inlineStr">
        <is>
          <t>Two-level list — 13 structural groups, identical labels ×N, bulk per group</t>
        </is>
      </c>
      <c r="E1087" s="14" t="inlineStr">
        <is>
          <t>Built</t>
        </is>
      </c>
      <c r="F1087" s="12" t="inlineStr">
        <is>
          <t>Same model and words.</t>
        </is>
      </c>
      <c r="G1087" s="12" t="inlineStr">
        <is>
          <t>13.03, 13.09</t>
        </is>
      </c>
      <c r="H1087" s="12" t="inlineStr"/>
      <c r="I1087" s="17" t="n"/>
      <c r="J1087" s="17" t="n"/>
    </row>
    <row r="1088">
      <c r="A1088" s="12" t="inlineStr">
        <is>
          <t>AI Visualizer</t>
        </is>
      </c>
      <c r="B1088" s="12" t="inlineStr">
        <is>
          <t>VS-02</t>
        </is>
      </c>
      <c r="C1088" s="12" t="inlineStr">
        <is>
          <t>Surfaces and materials</t>
        </is>
      </c>
      <c r="D1088" s="14" t="inlineStr">
        <is>
          <t>Assign / None</t>
        </is>
      </c>
      <c r="E1088" s="14" t="inlineStr">
        <is>
          <t>Built</t>
        </is>
      </c>
      <c r="F1088" s="12" t="inlineStr">
        <is>
          <t>Same.</t>
        </is>
      </c>
      <c r="G1088" s="12" t="inlineStr">
        <is>
          <t>13.03</t>
        </is>
      </c>
      <c r="H1088" s="12" t="inlineStr"/>
      <c r="I1088" s="17" t="n"/>
      <c r="J1088" s="17" t="n"/>
    </row>
    <row r="1089">
      <c r="A1089" s="12" t="inlineStr">
        <is>
          <t>AI Visualizer</t>
        </is>
      </c>
      <c r="B1089" s="12" t="inlineStr">
        <is>
          <t>VS-03</t>
        </is>
      </c>
      <c r="C1089" s="12" t="inlineStr">
        <is>
          <t>Surfaces and materials</t>
        </is>
      </c>
      <c r="D1089" s="14" t="inlineStr">
        <is>
          <t>The picker — search, None, Suggested, category chips, Recent, Upload, library, customs, brands</t>
        </is>
      </c>
      <c r="E1089" s="14" t="inlineStr">
        <is>
          <t>Built</t>
        </is>
      </c>
      <c r="F1089" s="12" t="inlineStr">
        <is>
          <t>One picker (a rail panel; a sheet on the phone): search · None · Suggested for {surface} · {style} · Recent · Your library · categories · Gush Paints / Gush Enamel.</t>
        </is>
      </c>
      <c r="G1089" s="12" t="inlineStr">
        <is>
          <t>13.03, 13.29, 13.30</t>
        </is>
      </c>
      <c r="H1089" s="12" t="inlineStr"/>
      <c r="I1089" s="17" t="n"/>
      <c r="J1089" s="17" t="n"/>
    </row>
    <row r="1090">
      <c r="A1090" s="12" t="inlineStr">
        <is>
          <t>AI Visualizer</t>
        </is>
      </c>
      <c r="B1090" s="12" t="inlineStr">
        <is>
          <t>VS-04</t>
        </is>
      </c>
      <c r="C1090" s="12" t="inlineStr">
        <is>
          <t>Surfaces and materials</t>
        </is>
      </c>
      <c r="D1090" s="14" t="inlineStr">
        <is>
          <t>suggestMaterials + the category maps</t>
        </is>
      </c>
      <c r="E1090" s="14" t="inlineStr">
        <is>
          <t>Built</t>
        </is>
      </c>
      <c r="F1090" s="12" t="inlineStr">
        <is>
          <t>Ported as they are (lib/visualizer/catalogue.ts).</t>
        </is>
      </c>
      <c r="G1090" s="12" t="inlineStr">
        <is>
          <t>13.31</t>
        </is>
      </c>
      <c r="H1090" s="12" t="inlineStr"/>
      <c r="I1090" s="17" t="n"/>
      <c r="J1090" s="17" t="n"/>
    </row>
    <row r="1091">
      <c r="A1091" s="12" t="inlineStr">
        <is>
          <t>AI Visualizer</t>
        </is>
      </c>
      <c r="B1091" s="12" t="inlineStr">
        <is>
          <t>VS-05</t>
        </is>
      </c>
      <c r="C1091" s="12" t="inlineStr">
        <is>
          <t>Surfaces and materials</t>
        </is>
      </c>
      <c r="D1091" s="14" t="inlineStr">
        <is>
          <t>The stock catalogue — 136 generic + 310 Gush</t>
        </is>
      </c>
      <c r="E1091" s="14" t="inlineStr">
        <is>
          <t>Built</t>
        </is>
      </c>
      <c r="F1091" s="12" t="inlineStr">
        <is>
          <t>Ported whole (Q-19).</t>
        </is>
      </c>
      <c r="G1091" s="12" t="inlineStr">
        <is>
          <t>13.03</t>
        </is>
      </c>
      <c r="H1091" s="12" t="inlineStr"/>
      <c r="I1091" s="17" t="n"/>
      <c r="J1091" s="17" t="n"/>
    </row>
    <row r="1092">
      <c r="A1092" s="12" t="inlineStr">
        <is>
          <t>AI Visualizer</t>
        </is>
      </c>
      <c r="B1092" s="12" t="inlineStr">
        <is>
          <t>VS-06</t>
        </is>
      </c>
      <c r="C1092" s="12" t="inlineStr">
        <is>
          <t>Surfaces and materials</t>
        </is>
      </c>
      <c r="D1092" s="14" t="inlineStr">
        <is>
          <t>Custom material upload + Save to studio library</t>
        </is>
      </c>
      <c r="E1092" s="14" t="inlineStr">
        <is>
          <t>Built</t>
        </is>
      </c>
      <c r="F1092" s="12" t="inlineStr">
        <is>
          <t>Upload a swatch → the dialog (name, category, Save to the studio's materials) (Q-18).</t>
        </is>
      </c>
      <c r="G1092" s="12" t="inlineStr">
        <is>
          <t>13.29</t>
        </is>
      </c>
      <c r="H1092" s="12" t="inlineStr"/>
      <c r="I1092" s="17" t="n"/>
      <c r="J1092" s="17" t="n"/>
    </row>
    <row r="1093">
      <c r="A1093" s="12" t="inlineStr">
        <is>
          <t>AI Visualizer</t>
        </is>
      </c>
      <c r="B1093" s="12" t="inlineStr">
        <is>
          <t>VS-07</t>
        </is>
      </c>
      <c r="C1093" s="12" t="inlineStr">
        <is>
          <t>Surfaces and materials</t>
        </is>
      </c>
      <c r="D1093" s="14" t="inlineStr">
        <is>
          <t>Recent</t>
        </is>
      </c>
      <c r="E1093" s="14" t="inlineStr">
        <is>
          <t>Built</t>
        </is>
      </c>
      <c r="F1093" s="12" t="inlineStr">
        <is>
          <t>Same (om.viz.recent).</t>
        </is>
      </c>
      <c r="G1093" s="12" t="inlineStr">
        <is>
          <t>13.03</t>
        </is>
      </c>
      <c r="H1093" s="12" t="inlineStr"/>
      <c r="I1093" s="17" t="n"/>
      <c r="J1093" s="17" t="n"/>
    </row>
    <row r="1094">
      <c r="A1094" s="12" t="inlineStr">
        <is>
          <t>AI Visualizer</t>
        </is>
      </c>
      <c r="B1094" s="12" t="inlineStr">
        <is>
          <t>VS-08</t>
        </is>
      </c>
      <c r="C1094" s="12" t="inlineStr">
        <is>
          <t>Surfaces and materials</t>
        </is>
      </c>
      <c r="D1094" s="14" t="inlineStr">
        <is>
          <t>Masked composite for surface-only renders</t>
        </is>
      </c>
      <c r="E1094" s="14" t="inlineStr">
        <is>
          <t>Platform</t>
        </is>
      </c>
      <c r="F1094" s="12" t="inlineStr">
        <is>
          <t>The engine only ever changes a surface's region (§5.3).</t>
        </is>
      </c>
      <c r="G1094" s="12" t="inlineStr"/>
      <c r="H1094" s="12" t="inlineStr"/>
      <c r="I1094" s="17" t="n"/>
      <c r="J1094" s="17" t="n"/>
    </row>
    <row r="1095">
      <c r="A1095" s="12" t="inlineStr">
        <is>
          <t>AI Visualizer</t>
        </is>
      </c>
      <c r="B1095" s="12" t="inlineStr">
        <is>
          <t>VF-01</t>
        </is>
      </c>
      <c r="C1095" s="12" t="inlineStr">
        <is>
          <t>Furniture</t>
        </is>
      </c>
      <c r="D1095" s="14" t="inlineStr">
        <is>
          <t>Rows per group ×N, remove · replace · customize</t>
        </is>
      </c>
      <c r="E1095" s="14" t="inlineStr">
        <is>
          <t>Built</t>
        </is>
      </c>
      <c r="F1095" s="12" t="inlineStr">
        <is>
          <t>Same.</t>
        </is>
      </c>
      <c r="G1095" s="12" t="inlineStr">
        <is>
          <t>13.07</t>
        </is>
      </c>
      <c r="H1095" s="12" t="inlineStr"/>
      <c r="I1095" s="17" t="n"/>
      <c r="J1095" s="17" t="n"/>
    </row>
    <row r="1096">
      <c r="A1096" s="12" t="inlineStr">
        <is>
          <t>AI Visualizer</t>
        </is>
      </c>
      <c r="B1096" s="12" t="inlineStr">
        <is>
          <t>VF-02</t>
        </is>
      </c>
      <c r="C1096" s="12" t="inlineStr">
        <is>
          <t>Furniture</t>
        </is>
      </c>
      <c r="D1096" s="14" t="inlineStr">
        <is>
          <t>Replace — Quick pick presets, describe, reference photo</t>
        </is>
      </c>
      <c r="E1096" s="14" t="inlineStr">
        <is>
          <t>Built</t>
        </is>
      </c>
      <c r="F1096" s="12" t="inlineStr">
        <is>
          <t>Same picker; the engine answers Replace honestly (Q-21).</t>
        </is>
      </c>
      <c r="G1096" s="12" t="inlineStr">
        <is>
          <t>13.07</t>
        </is>
      </c>
      <c r="H1096" s="12" t="inlineStr"/>
      <c r="I1096" s="17" t="n"/>
      <c r="J1096" s="17" t="n"/>
    </row>
    <row r="1097">
      <c r="A1097" s="12" t="inlineStr">
        <is>
          <t>AI Visualizer</t>
        </is>
      </c>
      <c r="B1097" s="12" t="inlineStr">
        <is>
          <t>VF-03</t>
        </is>
      </c>
      <c r="C1097" s="12" t="inlineStr">
        <is>
          <t>Furniture</t>
        </is>
      </c>
      <c r="D1097" s="14" t="inlineStr">
        <is>
          <t>Customize — finish tables by label, 12 colours, describe</t>
        </is>
      </c>
      <c r="E1097" s="14" t="inlineStr">
        <is>
          <t>Built</t>
        </is>
      </c>
      <c r="F1097" s="12" t="inlineStr">
        <is>
          <t>Same chips; the engine recolours the piece (§5.3).</t>
        </is>
      </c>
      <c r="G1097" s="12" t="inlineStr">
        <is>
          <t>13.07</t>
        </is>
      </c>
      <c r="H1097" s="12" t="inlineStr"/>
      <c r="I1097" s="17" t="n"/>
      <c r="J1097" s="17" t="n"/>
    </row>
    <row r="1098">
      <c r="A1098" s="12" t="inlineStr">
        <is>
          <t>AI Visualizer</t>
        </is>
      </c>
      <c r="B1098" s="12" t="inlineStr">
        <is>
          <t>VF-04</t>
        </is>
      </c>
      <c r="C1098" s="12" t="inlineStr">
        <is>
          <t>Furniture</t>
        </is>
      </c>
      <c r="D1098" s="14" t="inlineStr">
        <is>
          <t>Add furniture with a category</t>
        </is>
      </c>
      <c r="E1098" s="14" t="inlineStr">
        <is>
          <t>Built</t>
        </is>
      </c>
      <c r="F1098" s="12" t="inlineStr">
        <is>
          <t>Same.</t>
        </is>
      </c>
      <c r="G1098" s="12" t="inlineStr">
        <is>
          <t>13.02</t>
        </is>
      </c>
      <c r="H1098" s="12" t="inlineStr"/>
      <c r="I1098" s="17" t="n"/>
      <c r="J1098" s="17" t="n"/>
    </row>
    <row r="1099">
      <c r="A1099" s="12" t="inlineStr">
        <is>
          <t>AI Visualizer</t>
        </is>
      </c>
      <c r="B1099" s="12" t="inlineStr">
        <is>
          <t>VT-01</t>
        </is>
      </c>
      <c r="C1099" s="12" t="inlineStr">
        <is>
          <t>Style</t>
        </is>
      </c>
      <c r="D1099" s="14" t="inlineStr">
        <is>
          <t>None + 25 styles with palettes</t>
        </is>
      </c>
      <c r="E1099" s="14" t="inlineStr">
        <is>
          <t>Built</t>
        </is>
      </c>
      <c r="F1099" s="12" t="inlineStr">
        <is>
          <t>Same list and words.</t>
        </is>
      </c>
      <c r="G1099" s="12" t="inlineStr">
        <is>
          <t>13.08</t>
        </is>
      </c>
      <c r="H1099" s="12" t="inlineStr"/>
      <c r="I1099" s="17" t="n"/>
      <c r="J1099" s="17" t="n"/>
    </row>
    <row r="1100">
      <c r="A1100" s="12" t="inlineStr">
        <is>
          <t>AI Visualizer</t>
        </is>
      </c>
      <c r="B1100" s="12" t="inlineStr">
        <is>
          <t>VT-02</t>
        </is>
      </c>
      <c r="C1100" s="12" t="inlineStr">
        <is>
          <t>Style</t>
        </is>
      </c>
      <c r="D1100" s="14" t="inlineStr">
        <is>
          <t>Style resets on a fresh photo / the Original</t>
        </is>
      </c>
      <c r="E1100" s="14" t="inlineStr">
        <is>
          <t>Built</t>
        </is>
      </c>
      <c r="F1100" s="12" t="inlineStr">
        <is>
          <t>Same.</t>
        </is>
      </c>
      <c r="G1100" s="12" t="inlineStr">
        <is>
          <t>13.08</t>
        </is>
      </c>
      <c r="H1100" s="12" t="inlineStr"/>
      <c r="I1100" s="17" t="n"/>
      <c r="J1100" s="17" t="n"/>
    </row>
    <row r="1101">
      <c r="A1101" s="12" t="inlineStr">
        <is>
          <t>AI Visualizer</t>
        </is>
      </c>
      <c r="B1101" s="12" t="inlineStr">
        <is>
          <t>VT-03</t>
        </is>
      </c>
      <c r="C1101" s="12" t="inlineStr">
        <is>
          <t>Style</t>
        </is>
      </c>
      <c r="D1101" s="14" t="inlineStr">
        <is>
          <t>Homeowner palette preference</t>
        </is>
      </c>
      <c r="E1101" s="14" t="inlineStr">
        <is>
          <t>Built</t>
        </is>
      </c>
      <c r="F1101" s="12" t="inlineStr">
        <is>
          <t>The lead's style leads the list: Kevin's style: Contemporary → Modern (Q-32).</t>
        </is>
      </c>
      <c r="G1101" s="12" t="inlineStr">
        <is>
          <t>13.31</t>
        </is>
      </c>
      <c r="H1101" s="12" t="inlineStr"/>
      <c r="I1101" s="17" t="n"/>
      <c r="J1101" s="17" t="n"/>
    </row>
    <row r="1102">
      <c r="A1102" s="12" t="inlineStr">
        <is>
          <t>AI Visualizer</t>
        </is>
      </c>
      <c r="B1102" s="12" t="inlineStr">
        <is>
          <t>VT-04</t>
        </is>
      </c>
      <c r="C1102" s="12" t="inlineStr">
        <is>
          <t>Style</t>
        </is>
      </c>
      <c r="D1102" s="14" t="inlineStr">
        <is>
          <t>Style Transfer</t>
        </is>
      </c>
      <c r="E1102" s="14" t="inlineStr">
        <is>
          <t>Built</t>
        </is>
      </c>
      <c r="F1102" s="12" t="inlineStr">
        <is>
          <t>Same controls; the engine reads each reference's palette (§5.4).</t>
        </is>
      </c>
      <c r="G1102" s="12" t="inlineStr">
        <is>
          <t>13.11</t>
        </is>
      </c>
      <c r="H1102" s="12" t="inlineStr"/>
      <c r="I1102" s="17" t="n"/>
      <c r="J1102" s="17" t="n"/>
    </row>
    <row r="1103">
      <c r="A1103" s="12" t="inlineStr">
        <is>
          <t>AI Visualizer</t>
        </is>
      </c>
      <c r="B1103" s="12" t="inlineStr">
        <is>
          <t>VG-01</t>
        </is>
      </c>
      <c r="C1103" s="12" t="inlineStr">
        <is>
          <t>Lighting</t>
        </is>
      </c>
      <c r="D1103" s="14" t="inlineStr">
        <is>
          <t>Six presets with photos</t>
        </is>
      </c>
      <c r="E1103" s="14" t="inlineStr">
        <is>
          <t>Built</t>
        </is>
      </c>
      <c r="F1103" s="12" t="inlineStr">
        <is>
          <t>Same, with 1.0's photos.</t>
        </is>
      </c>
      <c r="G1103" s="12" t="inlineStr">
        <is>
          <t>13.08</t>
        </is>
      </c>
      <c r="H1103" s="12" t="inlineStr"/>
      <c r="I1103" s="17" t="n"/>
      <c r="J1103" s="17" t="n"/>
    </row>
    <row r="1104">
      <c r="A1104" s="12" t="inlineStr">
        <is>
          <t>AI Visualizer</t>
        </is>
      </c>
      <c r="B1104" s="12" t="inlineStr">
        <is>
          <t>VG-02</t>
        </is>
      </c>
      <c r="C1104" s="12" t="inlineStr">
        <is>
          <t>Lighting</t>
        </is>
      </c>
      <c r="D1104" s="14" t="inlineStr">
        <is>
          <t>Advanced sliders + word labels, fixtures, instruction</t>
        </is>
      </c>
      <c r="E1104" s="14" t="inlineStr">
        <is>
          <t>Built</t>
        </is>
      </c>
      <c r="F1104" s="12" t="inlineStr">
        <is>
          <t>Same.</t>
        </is>
      </c>
      <c r="G1104" s="12" t="inlineStr">
        <is>
          <t>13.08</t>
        </is>
      </c>
      <c r="H1104" s="12" t="inlineStr"/>
      <c r="I1104" s="17" t="n"/>
      <c r="J1104" s="17" t="n"/>
    </row>
    <row r="1105">
      <c r="A1105" s="12" t="inlineStr">
        <is>
          <t>AI Visualizer</t>
        </is>
      </c>
      <c r="B1105" s="12" t="inlineStr">
        <is>
          <t>VG-03</t>
        </is>
      </c>
      <c r="C1105" s="12" t="inlineStr">
        <is>
          <t>Lighting</t>
        </is>
      </c>
      <c r="D1105" s="14" t="inlineStr">
        <is>
          <t>Relight pass + the live result panel</t>
        </is>
      </c>
      <c r="E1105" s="14" t="inlineStr">
        <is>
          <t>Built</t>
        </is>
      </c>
      <c r="F1105" s="12" t="inlineStr">
        <is>
          <t>One step (Q-22): the canvas previews the lighting live as the sliders move; Generate keeps it as a version.</t>
        </is>
      </c>
      <c r="G1105" s="12" t="inlineStr">
        <is>
          <t>13.08</t>
        </is>
      </c>
      <c r="H1105" s="12" t="inlineStr"/>
      <c r="I1105" s="17" t="n"/>
      <c r="J1105" s="17" t="n"/>
    </row>
    <row r="1106">
      <c r="A1106" s="12" t="inlineStr">
        <is>
          <t>AI Visualizer</t>
        </is>
      </c>
      <c r="B1106" s="12" t="inlineStr">
        <is>
          <t>VO-01</t>
        </is>
      </c>
      <c r="C1106" s="12" t="inlineStr">
        <is>
          <t>Tools</t>
        </is>
      </c>
      <c r="D1106" s="14" t="inlineStr">
        <is>
          <t>Empty the room — Keep built-ins / Strip to shell, extra items</t>
        </is>
      </c>
      <c r="E1106" s="14" t="inlineStr">
        <is>
          <t>Built</t>
        </is>
      </c>
      <c r="F1106" s="12" t="inlineStr">
        <is>
          <t>Same words; the engine where an empty plate exists (Q-23).</t>
        </is>
      </c>
      <c r="G1106" s="12" t="inlineStr">
        <is>
          <t>13.10</t>
        </is>
      </c>
      <c r="H1106" s="12" t="inlineStr"/>
      <c r="I1106" s="17" t="n"/>
      <c r="J1106" s="17" t="n"/>
    </row>
    <row r="1107">
      <c r="A1107" s="12" t="inlineStr">
        <is>
          <t>AI Visualizer</t>
        </is>
      </c>
      <c r="B1107" s="12" t="inlineStr">
        <is>
          <t>VO-02</t>
        </is>
      </c>
      <c r="C1107" s="12" t="inlineStr">
        <is>
          <t>Tools</t>
        </is>
      </c>
      <c r="D1107" s="14" t="inlineStr">
        <is>
          <t>Auto Furnish — room programs, density, leave out, direction, the scan note</t>
        </is>
      </c>
      <c r="E1107" s="14" t="inlineStr">
        <is>
          <t>Built</t>
        </is>
      </c>
      <c r="F1107" s="12" t="inlineStr">
        <is>
          <t>Same controls on every width.</t>
        </is>
      </c>
      <c r="G1107" s="12" t="inlineStr">
        <is>
          <t>13.10</t>
        </is>
      </c>
      <c r="H1107" s="12" t="inlineStr"/>
      <c r="I1107" s="17" t="n"/>
      <c r="J1107" s="17" t="n"/>
    </row>
    <row r="1108">
      <c r="A1108" s="12" t="inlineStr">
        <is>
          <t>AI Visualizer</t>
        </is>
      </c>
      <c r="B1108" s="12" t="inlineStr">
        <is>
          <t>VO-03</t>
        </is>
      </c>
      <c r="C1108" s="12" t="inlineStr">
        <is>
          <t>Tools</t>
        </is>
      </c>
      <c r="D1108" s="14" t="inlineStr">
        <is>
          <t>Sketch to photo — quality, use as-is</t>
        </is>
      </c>
      <c r="E1108" s="14" t="inlineStr">
        <is>
          <t>Built</t>
        </is>
      </c>
      <c r="F1108" s="12" t="inlineStr">
        <is>
          <t>On every width.</t>
        </is>
      </c>
      <c r="G1108" s="12" t="inlineStr">
        <is>
          <t>13.26</t>
        </is>
      </c>
      <c r="H1108" s="12" t="inlineStr"/>
      <c r="I1108" s="17" t="n"/>
      <c r="J1108" s="17" t="n"/>
    </row>
    <row r="1109">
      <c r="A1109" s="12" t="inlineStr">
        <is>
          <t>AI Visualizer</t>
        </is>
      </c>
      <c r="B1109" s="12" t="inlineStr">
        <is>
          <t>VO-04</t>
        </is>
      </c>
      <c r="C1109" s="12" t="inlineStr">
        <is>
          <t>Tools</t>
        </is>
      </c>
      <c r="D1109" s="14" t="inlineStr">
        <is>
          <t>The prompt / Finishing note</t>
        </is>
      </c>
      <c r="E1109" s="14" t="inlineStr">
        <is>
          <t>Built</t>
        </is>
      </c>
      <c r="F1109" s="12" t="inlineStr">
        <is>
          <t>Note for the render — the engine reads colours, styles and moods from it and says when it can't (§5.5).</t>
        </is>
      </c>
      <c r="G1109" s="12" t="inlineStr">
        <is>
          <t>13.05</t>
        </is>
      </c>
      <c r="H1109" s="12" t="inlineStr"/>
      <c r="I1109" s="17" t="n"/>
      <c r="J1109" s="17" t="n"/>
    </row>
    <row r="1110">
      <c r="A1110" s="12" t="inlineStr">
        <is>
          <t>AI Visualizer</t>
        </is>
      </c>
      <c r="B1110" s="12" t="inlineStr">
        <is>
          <t>VO-05</t>
        </is>
      </c>
      <c r="C1110" s="12" t="inlineStr">
        <is>
          <t>Tools</t>
        </is>
      </c>
      <c r="D1110" s="14" t="inlineStr">
        <is>
          <t>Fast / High quality</t>
        </is>
      </c>
      <c r="E1110" s="14" t="inlineStr">
        <is>
          <t>Platform</t>
        </is>
      </c>
      <c r="F1110" s="12" t="inlineStr">
        <is>
          <t>Kept: High quality renders at full size and takes a little longer.</t>
        </is>
      </c>
      <c r="G1110" s="12" t="inlineStr"/>
      <c r="H1110" s="12" t="inlineStr"/>
      <c r="I1110" s="17" t="n"/>
      <c r="J1110" s="17" t="n"/>
    </row>
    <row r="1111">
      <c r="A1111" s="12" t="inlineStr">
        <is>
          <t>AI Visualizer</t>
        </is>
      </c>
      <c r="B1111" s="12" t="inlineStr">
        <is>
          <t>VO-06</t>
        </is>
      </c>
      <c r="C1111" s="12" t="inlineStr">
        <is>
          <t>Tools</t>
        </is>
      </c>
      <c r="D1111" s="14" t="inlineStr">
        <is>
          <t>Drift guard</t>
        </is>
      </c>
      <c r="E1111" s="14" t="inlineStr">
        <is>
          <t>Platform</t>
        </is>
      </c>
      <c r="F1111" s="12" t="inlineStr">
        <is>
          <t>Not needed — the engine never moves geometry.</t>
        </is>
      </c>
      <c r="G1111" s="12" t="inlineStr"/>
      <c r="H1111" s="12" t="inlineStr"/>
      <c r="I1111" s="17" t="n"/>
      <c r="J1111" s="17" t="n"/>
    </row>
    <row r="1112">
      <c r="A1112" s="12" t="inlineStr">
        <is>
          <t>AI Visualizer</t>
        </is>
      </c>
      <c r="B1112" s="12" t="inlineStr">
        <is>
          <t>VO-07</t>
        </is>
      </c>
      <c r="C1112" s="12" t="inlineStr">
        <is>
          <t>Tools</t>
        </is>
      </c>
      <c r="D1112" s="14" t="inlineStr">
        <is>
          <t>Outpaint · Reangle · Orbit video · Depth</t>
        </is>
      </c>
      <c r="E1112" s="14" t="inlineStr">
        <is>
          <t>Dead</t>
        </is>
      </c>
      <c r="F1112" s="12" t="inlineStr">
        <is>
          <t>Sandbox-only in 1.0 (audit: Dead) — not built.</t>
        </is>
      </c>
      <c r="G1112" s="12" t="inlineStr"/>
      <c r="H1112" s="12" t="inlineStr"/>
      <c r="I1112" s="17" t="n"/>
      <c r="J1112" s="17" t="n"/>
    </row>
    <row r="1113">
      <c r="A1113" s="12" t="inlineStr">
        <is>
          <t>AI Visualizer</t>
        </is>
      </c>
      <c r="B1113" s="12" t="inlineStr">
        <is>
          <t>VO-08</t>
        </is>
      </c>
      <c r="C1113" s="12" t="inlineStr">
        <is>
          <t>Tools</t>
        </is>
      </c>
      <c r="D1113" s="14" t="inlineStr">
        <is>
          <t>The sandboxes</t>
        </is>
      </c>
      <c r="E1113" s="14" t="inlineStr">
        <is>
          <t>Dead</t>
        </is>
      </c>
      <c r="F1113" s="12" t="inlineStr">
        <is>
          <t>Internal sandboxes in 1.0 (audit: Dead) — not built.</t>
        </is>
      </c>
      <c r="G1113" s="12" t="inlineStr"/>
      <c r="H1113" s="12" t="inlineStr"/>
      <c r="I1113" s="17" t="n"/>
      <c r="J1113" s="17" t="n"/>
    </row>
    <row r="1114">
      <c r="A1114" s="12" t="inlineStr">
        <is>
          <t>AI Visualizer</t>
        </is>
      </c>
      <c r="B1114" s="12" t="inlineStr">
        <is>
          <t>VN-01</t>
        </is>
      </c>
      <c r="C1114" s="12" t="inlineStr">
        <is>
          <t>Generate, versions and compare</t>
        </is>
      </c>
      <c r="D1114" s="14" t="inlineStr">
        <is>
          <t>One primary button, the label follows the intent</t>
        </is>
      </c>
      <c r="E1114" s="14" t="inlineStr">
        <is>
          <t>Built</t>
        </is>
      </c>
      <c r="F1114" s="12" t="inlineStr">
        <is>
          <t>Same matrix (§5.6), with the changes it will apply listed above it.</t>
        </is>
      </c>
      <c r="G1114" s="12" t="inlineStr">
        <is>
          <t>13.03, 13.05, 13.07, 13.10, 13.11</t>
        </is>
      </c>
      <c r="H1114" s="12" t="inlineStr"/>
      <c r="I1114" s="17" t="n"/>
      <c r="J1114" s="17" t="n"/>
    </row>
    <row r="1115">
      <c r="A1115" s="12" t="inlineStr">
        <is>
          <t>AI Visualizer</t>
        </is>
      </c>
      <c r="B1115" s="12" t="inlineStr">
        <is>
          <t>VN-02</t>
        </is>
      </c>
      <c r="C1115" s="12" t="inlineStr">
        <is>
          <t>Generate, versions and compare</t>
        </is>
      </c>
      <c r="D1115" s="14" t="inlineStr">
        <is>
          <t>Variants 1 · 2 · 3</t>
        </is>
      </c>
      <c r="E1115" s="14" t="inlineStr">
        <is>
          <t>Built</t>
        </is>
      </c>
      <c r="F1115" s="12" t="inlineStr">
        <is>
          <t>Beside Generate at every width (Q-09).</t>
        </is>
      </c>
      <c r="G1115" s="12" t="inlineStr">
        <is>
          <t>13.09</t>
        </is>
      </c>
      <c r="H1115" s="12" t="inlineStr"/>
      <c r="I1115" s="17" t="n"/>
      <c r="J1115" s="17" t="n"/>
    </row>
    <row r="1116">
      <c r="A1116" s="12" t="inlineStr">
        <is>
          <t>AI Visualizer</t>
        </is>
      </c>
      <c r="B1116" s="12" t="inlineStr">
        <is>
          <t>VN-03</t>
        </is>
      </c>
      <c r="C1116" s="12" t="inlineStr">
        <is>
          <t>Generate, versions and compare</t>
        </is>
      </c>
      <c r="D1116" s="14" t="inlineStr">
        <is>
          <t>Loading per slot, Cancel, wake lock, tab-hidden abort</t>
        </is>
      </c>
      <c r="E1116" s="14" t="inlineStr">
        <is>
          <t>Built</t>
        </is>
      </c>
      <c r="F1116" s="12" t="inlineStr">
        <is>
          <t>Placeholder tiles in the strip + the progress card on the canvas (1.0's trial copy), Cancel.</t>
        </is>
      </c>
      <c r="G1116" s="12" t="inlineStr">
        <is>
          <t>13.04</t>
        </is>
      </c>
      <c r="H1116" s="12" t="inlineStr"/>
      <c r="I1116" s="17" t="n"/>
      <c r="J1116" s="17" t="n"/>
    </row>
    <row r="1117">
      <c r="A1117" s="12" t="inlineStr">
        <is>
          <t>AI Visualizer</t>
        </is>
      </c>
      <c r="B1117" s="12" t="inlineStr">
        <is>
          <t>VN-04</t>
        </is>
      </c>
      <c r="C1117" s="12" t="inlineStr">
        <is>
          <t>Generate, versions and compare</t>
        </is>
      </c>
      <c r="D1117" s="14" t="inlineStr">
        <is>
          <t>Errors per pass</t>
        </is>
      </c>
      <c r="E1117" s="14" t="inlineStr">
        <is>
          <t>Built</t>
        </is>
      </c>
      <c r="F1117" s="12" t="inlineStr">
        <is>
          <t>The house Couldn't … words (§5.7).</t>
        </is>
      </c>
      <c r="G1117" s="12" t="inlineStr">
        <is>
          <t>13.05</t>
        </is>
      </c>
      <c r="H1117" s="12" t="inlineStr"/>
      <c r="I1117" s="17" t="n"/>
      <c r="J1117" s="17" t="n"/>
    </row>
    <row r="1118">
      <c r="A1118" s="12" t="inlineStr">
        <is>
          <t>AI Visualizer</t>
        </is>
      </c>
      <c r="B1118" s="12" t="inlineStr">
        <is>
          <t>VN-05</t>
        </is>
      </c>
      <c r="C1118" s="12" t="inlineStr">
        <is>
          <t>Generate, versions and compare</t>
        </is>
      </c>
      <c r="D1118" s="14" t="inlineStr">
        <is>
          <t>Gallery strip: Original + V1…Vn, labels</t>
        </is>
      </c>
      <c r="E1118" s="14" t="inlineStr">
        <is>
          <t>Built</t>
        </is>
      </c>
      <c r="F1118" s="12" t="inlineStr">
        <is>
          <t>The versions strip; each version keeps its label and parent.</t>
        </is>
      </c>
      <c r="G1118" s="12" t="inlineStr">
        <is>
          <t>13.04, 13.31</t>
        </is>
      </c>
      <c r="H1118" s="12" t="inlineStr"/>
      <c r="I1118" s="17" t="n"/>
      <c r="J1118" s="17" t="n"/>
    </row>
    <row r="1119">
      <c r="A1119" s="12" t="inlineStr">
        <is>
          <t>AI Visualizer</t>
        </is>
      </c>
      <c r="B1119" s="12" t="inlineStr">
        <is>
          <t>VN-06</t>
        </is>
      </c>
      <c r="C1119" s="12" t="inlineStr">
        <is>
          <t>Generate, versions and compare</t>
        </is>
      </c>
      <c r="D1119" s="14" t="inlineStr">
        <is>
          <t>Delete a version</t>
        </is>
      </c>
      <c r="E1119" s="14" t="inlineStr">
        <is>
          <t>Built</t>
        </is>
      </c>
      <c r="F1119" s="12" t="inlineStr">
        <is>
          <t>Undo (Q-11).</t>
        </is>
      </c>
      <c r="G1119" s="12" t="inlineStr">
        <is>
          <t>13.12</t>
        </is>
      </c>
      <c r="H1119" s="12" t="inlineStr"/>
      <c r="I1119" s="17" t="n"/>
      <c r="J1119" s="17" t="n"/>
    </row>
    <row r="1120">
      <c r="A1120" s="12" t="inlineStr">
        <is>
          <t>AI Visualizer</t>
        </is>
      </c>
      <c r="B1120" s="12" t="inlineStr">
        <is>
          <t>VN-07</t>
        </is>
      </c>
      <c r="C1120" s="12" t="inlineStr">
        <is>
          <t>Generate, versions and compare</t>
        </is>
      </c>
      <c r="D1120" s="14" t="inlineStr">
        <is>
          <t>View dialog: compare any two, Changes list, actions</t>
        </is>
      </c>
      <c r="E1120" s="14" t="inlineStr">
        <is>
          <t>Built</t>
        </is>
      </c>
      <c r="F1120" s="12" t="inlineStr">
        <is>
          <t>Compare on the canvas + Present (xxl dialog) (Q-12); Changes lists surfaces and furniture.</t>
        </is>
      </c>
      <c r="G1120" s="12" t="inlineStr">
        <is>
          <t>13.04, 13.14</t>
        </is>
      </c>
      <c r="H1120" s="12" t="inlineStr"/>
      <c r="I1120" s="17" t="n"/>
      <c r="J1120" s="17" t="n"/>
    </row>
    <row r="1121">
      <c r="A1121" s="12" t="inlineStr">
        <is>
          <t>AI Visualizer</t>
        </is>
      </c>
      <c r="B1121" s="12" t="inlineStr">
        <is>
          <t>VN-08</t>
        </is>
      </c>
      <c r="C1121" s="12" t="inlineStr">
        <is>
          <t>Generate, versions and compare</t>
        </is>
      </c>
      <c r="D1121" s="14" t="inlineStr">
        <is>
          <t>Download</t>
        </is>
      </c>
      <c r="E1121" s="14" t="inlineStr">
        <is>
          <t>Built</t>
        </is>
      </c>
      <c r="F1121" s="12" t="inlineStr">
        <is>
          <t>The version at full size (Q-33).</t>
        </is>
      </c>
      <c r="G1121" s="12" t="inlineStr">
        <is>
          <t>13.14</t>
        </is>
      </c>
      <c r="H1121" s="12" t="inlineStr"/>
      <c r="I1121" s="17" t="n"/>
      <c r="J1121" s="17" t="n"/>
    </row>
    <row r="1122">
      <c r="A1122" s="12" t="inlineStr">
        <is>
          <t>AI Visualizer</t>
        </is>
      </c>
      <c r="B1122" s="12" t="inlineStr">
        <is>
          <t>VN-09</t>
        </is>
      </c>
      <c r="C1122" s="12" t="inlineStr">
        <is>
          <t>Generate, versions and compare</t>
        </is>
      </c>
      <c r="D1122" s="14" t="inlineStr">
        <is>
          <t>Temp mode</t>
        </is>
      </c>
      <c r="E1122" s="14" t="inlineStr">
        <is>
          <t>Not in 2.0</t>
        </is>
      </c>
      <c r="F1122" s="12" t="inlineStr">
        <is>
          <t>Personal designs cover it (Q-10).</t>
        </is>
      </c>
      <c r="G1122" s="12" t="inlineStr"/>
      <c r="H1122" s="12" t="inlineStr"/>
      <c r="I1122" s="17" t="n"/>
      <c r="J1122" s="17" t="n"/>
    </row>
    <row r="1123">
      <c r="A1123" s="12" t="inlineStr">
        <is>
          <t>AI Visualizer</t>
        </is>
      </c>
      <c r="B1123" s="12" t="inlineStr">
        <is>
          <t>VN-10</t>
        </is>
      </c>
      <c r="C1123" s="12" t="inlineStr">
        <is>
          <t>Generate, versions and compare</t>
        </is>
      </c>
      <c r="D1123" s="14" t="inlineStr">
        <is>
          <t>No undo, no unsaved guard</t>
        </is>
      </c>
      <c r="E1123" s="14" t="inlineStr">
        <is>
          <t>Built</t>
        </is>
      </c>
      <c r="F1123" s="12" t="inlineStr">
        <is>
          <t>⌘Z / ⇧⌘Z on the picks; Undo on removes; nothing to lose (autosave).</t>
        </is>
      </c>
      <c r="G1123" s="12" t="inlineStr">
        <is>
          <t>13.02, 13.07</t>
        </is>
      </c>
      <c r="H1123" s="12" t="inlineStr"/>
      <c r="I1123" s="17" t="n"/>
      <c r="J1123" s="17" t="n"/>
    </row>
    <row r="1124">
      <c r="A1124" s="12" t="inlineStr">
        <is>
          <t>AI Visualizer</t>
        </is>
      </c>
      <c r="B1124" s="12" t="inlineStr">
        <is>
          <t>VX-01</t>
        </is>
      </c>
      <c r="C1124" s="12" t="inlineStr">
        <is>
          <t>Out to the client and into the lead</t>
        </is>
      </c>
      <c r="D1124" s="14" t="inlineStr">
        <is>
          <t>Share → public link, 7 days, share dialog (QR placeholder, WhatsApp, copy)</t>
        </is>
      </c>
      <c r="E1124" s="14" t="inlineStr">
        <is>
          <t>Built</t>
        </is>
      </c>
      <c r="F1124" s="12" t="inlineStr">
        <is>
          <t>Share with client (Q-14): pick up to 6 versions, one link per share, 7 days, renew / stop; the WhatsApp draft to the lead's number (X-Ray's dialog).</t>
        </is>
      </c>
      <c r="G1124" s="12" t="inlineStr">
        <is>
          <t>13.17, 13.24</t>
        </is>
      </c>
      <c r="H1124" s="12" t="inlineStr"/>
      <c r="I1124" s="17" t="n"/>
      <c r="J1124" s="17" t="n"/>
    </row>
    <row r="1125">
      <c r="A1125" s="12" t="inlineStr">
        <is>
          <t>AI Visualizer</t>
        </is>
      </c>
      <c r="B1125" s="12" t="inlineStr">
        <is>
          <t>VX-02</t>
        </is>
      </c>
      <c r="C1125" s="12" t="inlineStr">
        <is>
          <t>Out to the client and into the lead</t>
        </is>
      </c>
      <c r="D1125" s="14" t="inlineStr">
        <is>
          <t>The public page</t>
        </is>
      </c>
      <c r="E1125" s="14" t="inlineStr">
        <is>
          <t>Built</t>
        </is>
      </c>
      <c r="F1125" s="12" t="inlineStr">
        <is>
          <t>/renders/[token] on the brand kit: each version with before / after, the materials, the studio's pins.</t>
        </is>
      </c>
      <c r="G1125" s="12" t="inlineStr">
        <is>
          <t>13.18, 13.33</t>
        </is>
      </c>
      <c r="H1125" s="12" t="inlineStr"/>
      <c r="I1125" s="17" t="n"/>
      <c r="J1125" s="17" t="n"/>
    </row>
    <row r="1126">
      <c r="A1126" s="12" t="inlineStr">
        <is>
          <t>AI Visualizer</t>
        </is>
      </c>
      <c r="B1126" s="12" t="inlineStr">
        <is>
          <t>VX-03</t>
        </is>
      </c>
      <c r="C1126" s="12" t="inlineStr">
        <is>
          <t>Out to the client and into the lead</t>
        </is>
      </c>
      <c r="D1126" s="14" t="inlineStr">
        <is>
          <t>Request a Consultation</t>
        </is>
      </c>
      <c r="E1126" s="14" t="inlineStr">
        <is>
          <t>Built</t>
        </is>
      </c>
      <c r="F1126" s="12" t="inlineStr">
        <is>
          <t>Ask for a call back → a Follow-up task for the lead's members + a notification (Q-16).</t>
        </is>
      </c>
      <c r="G1126" s="12" t="inlineStr">
        <is>
          <t>13.20, 13.21</t>
        </is>
      </c>
      <c r="H1126" s="12" t="inlineStr"/>
      <c r="I1126" s="17" t="n"/>
      <c r="J1126" s="17" t="n"/>
    </row>
    <row r="1127">
      <c r="A1127" s="12" t="inlineStr">
        <is>
          <t>AI Visualizer</t>
        </is>
      </c>
      <c r="B1127" s="12" t="inlineStr">
        <is>
          <t>VX-04</t>
        </is>
      </c>
      <c r="C1127" s="12" t="inlineStr">
        <is>
          <t>Out to the client and into the lead</t>
        </is>
      </c>
      <c r="D1127" s="14" t="inlineStr">
        <is>
          <t>Portal likes / comments / pins</t>
        </is>
      </c>
      <c r="E1127" s="14" t="inlineStr">
        <is>
          <t>Partly built</t>
        </is>
      </c>
      <c r="F1127" s="12" t="inlineStr">
        <is>
          <t>The share page carries the client's side: pick a favourite, leave a note, drop a pin and reply (Q-15).</t>
        </is>
      </c>
      <c r="G1127" s="12" t="inlineStr">
        <is>
          <t>13.19, 13.21, 13.31</t>
        </is>
      </c>
      <c r="H1127" s="12" t="inlineStr"/>
      <c r="I1127" s="17" t="n"/>
      <c r="J1127" s="17" t="n"/>
    </row>
    <row r="1128">
      <c r="A1128" s="12" t="inlineStr">
        <is>
          <t>AI Visualizer</t>
        </is>
      </c>
      <c r="B1128" s="12" t="inlineStr">
        <is>
          <t>VX-05</t>
        </is>
      </c>
      <c r="C1128" s="12" t="inlineStr">
        <is>
          <t>Out to the client and into the lead</t>
        </is>
      </c>
      <c r="D1128" s="14" t="inlineStr">
        <is>
          <t>Studio annotator</t>
        </is>
      </c>
      <c r="E1128" s="14" t="inlineStr">
        <is>
          <t>Built</t>
        </is>
      </c>
      <c r="F1128" s="12" t="inlineStr">
        <is>
          <t>Pins on any version in the editor (Q-15).</t>
        </is>
      </c>
      <c r="G1128" s="12" t="inlineStr">
        <is>
          <t>13.13, 13.31</t>
        </is>
      </c>
      <c r="H1128" s="12" t="inlineStr"/>
      <c r="I1128" s="17" t="n"/>
      <c r="J1128" s="17" t="n"/>
    </row>
    <row r="1129">
      <c r="A1129" s="12" t="inlineStr">
        <is>
          <t>AI Visualizer</t>
        </is>
      </c>
      <c r="B1129" s="12" t="inlineStr">
        <is>
          <t>VX-06</t>
        </is>
      </c>
      <c r="C1129" s="12" t="inlineStr">
        <is>
          <t>Out to the client and into the lead</t>
        </is>
      </c>
      <c r="D1129" s="14" t="inlineStr">
        <is>
          <t>Send to Chat</t>
        </is>
      </c>
      <c r="E1129" s="14" t="inlineStr">
        <is>
          <t>Not in 2.0</t>
        </is>
      </c>
      <c r="F1129" s="12" t="inlineStr">
        <is>
          <t>2.0 has no chat; WhatsApp is the channel (Q-14).</t>
        </is>
      </c>
      <c r="G1129" s="12" t="inlineStr"/>
      <c r="H1129" s="12" t="inlineStr"/>
      <c r="I1129" s="17" t="n"/>
      <c r="J1129" s="17" t="n"/>
    </row>
    <row r="1130">
      <c r="A1130" s="12" t="inlineStr">
        <is>
          <t>AI Visualizer</t>
        </is>
      </c>
      <c r="B1130" s="12" t="inlineStr">
        <is>
          <t>VX-07</t>
        </is>
      </c>
      <c r="C1130" s="12" t="inlineStr">
        <is>
          <t>Out to the client and into the lead</t>
        </is>
      </c>
      <c r="D1130" s="14" t="inlineStr">
        <is>
          <t>Share to Portal</t>
        </is>
      </c>
      <c r="E1130" s="14" t="inlineStr">
        <is>
          <t>Later</t>
        </is>
      </c>
      <c r="F1130" s="12" t="inlineStr">
        <is>
          <t>Projects / portal.</t>
        </is>
      </c>
      <c r="G1130" s="12" t="inlineStr"/>
      <c r="H1130" s="12" t="inlineStr"/>
      <c r="I1130" s="17" t="n"/>
      <c r="J1130" s="17" t="n"/>
    </row>
    <row r="1131">
      <c r="A1131" s="12" t="inlineStr">
        <is>
          <t>AI Visualizer</t>
        </is>
      </c>
      <c r="B1131" s="12" t="inlineStr">
        <is>
          <t>VX-08</t>
        </is>
      </c>
      <c r="C1131" s="12" t="inlineStr">
        <is>
          <t>Out to the client and into the lead</t>
        </is>
      </c>
      <c r="D1131" s="14" t="inlineStr">
        <is>
          <t>Save to the lead (MM-01)</t>
        </is>
      </c>
      <c r="E1131" s="14" t="inlineStr">
        <is>
          <t>Built</t>
        </is>
      </c>
      <c r="F1131" s="12" t="inlineStr">
        <is>
          <t>Save to Files — the lead's Files › Renders (Q-13).</t>
        </is>
      </c>
      <c r="G1131" s="12" t="inlineStr">
        <is>
          <t>13.15</t>
        </is>
      </c>
      <c r="H1131" s="12" t="inlineStr"/>
      <c r="I1131" s="17" t="n"/>
      <c r="J1131" s="17" t="n"/>
    </row>
    <row r="1132">
      <c r="A1132" s="12" t="inlineStr">
        <is>
          <t>AI Visualizer</t>
        </is>
      </c>
      <c r="B1132" s="12" t="inlineStr">
        <is>
          <t>VX-09</t>
        </is>
      </c>
      <c r="C1132" s="12" t="inlineStr">
        <is>
          <t>Out to the client and into the lead</t>
        </is>
      </c>
      <c r="D1132" s="14" t="inlineStr">
        <is>
          <t>Material list for quoting (MM-09)</t>
        </is>
      </c>
      <c r="E1132" s="14" t="inlineStr">
        <is>
          <t>Built</t>
        </is>
      </c>
      <c r="F1132" s="12" t="inlineStr">
        <is>
          <t>Add to quote (Q-17).</t>
        </is>
      </c>
      <c r="G1132" s="12" t="inlineStr">
        <is>
          <t>13.16, 13.30</t>
        </is>
      </c>
      <c r="H1132" s="12" t="inlineStr"/>
      <c r="I1132" s="17" t="n"/>
      <c r="J1132" s="17" t="n"/>
    </row>
    <row r="1133">
      <c r="A1133" s="12" t="inlineStr">
        <is>
          <t>AI Visualizer</t>
        </is>
      </c>
      <c r="B1133" s="12" t="inlineStr">
        <is>
          <t>VX-10</t>
        </is>
      </c>
      <c r="C1133" s="12" t="inlineStr">
        <is>
          <t>Out to the client and into the lead</t>
        </is>
      </c>
      <c r="D1133" s="14" t="inlineStr">
        <is>
          <t>Activity, notifications</t>
        </is>
      </c>
      <c r="E1133" s="14" t="inlineStr">
        <is>
          <t>Built</t>
        </is>
      </c>
      <c r="F1133" s="12" t="inlineStr">
        <is>
          <t>Activity lines and the render_feedback event (Q-34).</t>
        </is>
      </c>
      <c r="G1133" s="12" t="inlineStr">
        <is>
          <t>13.21, 13.23</t>
        </is>
      </c>
      <c r="H1133" s="12" t="inlineStr"/>
      <c r="I1133" s="17" t="n"/>
      <c r="J1133" s="17" t="n"/>
    </row>
    <row r="1134">
      <c r="A1134" s="12" t="inlineStr">
        <is>
          <t>AI Visualizer</t>
        </is>
      </c>
      <c r="B1134" s="12" t="inlineStr">
        <is>
          <t>VX-11</t>
        </is>
      </c>
      <c r="C1134" s="12" t="inlineStr">
        <is>
          <t>Out to the client and into the lead</t>
        </is>
      </c>
      <c r="D1134" s="14" t="inlineStr">
        <is>
          <t>mAIson tools + page context (A F-01…F-11, A-16)</t>
        </is>
      </c>
      <c r="E1134" s="14" t="inlineStr">
        <is>
          <t>Later</t>
        </is>
      </c>
      <c r="F1134" s="12" t="inlineStr">
        <is>
          <t>The editor registers its Maison AI suggestions (the house rule: they answer coming soon).</t>
        </is>
      </c>
      <c r="G1134" s="12" t="inlineStr"/>
      <c r="H1134" s="12" t="inlineStr"/>
      <c r="I1134" s="17" t="n"/>
      <c r="J1134" s="17" t="n"/>
    </row>
    <row r="1135">
      <c r="A1135" s="12" t="inlineStr">
        <is>
          <t>AI Visualizer</t>
        </is>
      </c>
      <c r="B1135" s="12" t="inlineStr">
        <is>
          <t>VM-01</t>
        </is>
      </c>
      <c r="C1135" s="12" t="inlineStr">
        <is>
          <t>Materials library, phone, who may</t>
        </is>
      </c>
      <c r="D1135" s="14" t="inlineStr">
        <is>
          <t>studio_materials library</t>
        </is>
      </c>
      <c r="E1135" s="14" t="inlineStr">
        <is>
          <t>Built</t>
        </is>
      </c>
      <c r="F1135" s="12" t="inlineStr">
        <is>
          <t>Company › Materials (Q-18).</t>
        </is>
      </c>
      <c r="G1135" s="12" t="inlineStr">
        <is>
          <t>13.28, 13.30</t>
        </is>
      </c>
      <c r="H1135" s="12" t="inlineStr"/>
      <c r="I1135" s="17" t="n"/>
      <c r="J1135" s="17" t="n"/>
    </row>
    <row r="1136">
      <c r="A1136" s="12" t="inlineStr">
        <is>
          <t>AI Visualizer</t>
        </is>
      </c>
      <c r="B1136" s="12" t="inlineStr">
        <is>
          <t>VP-01</t>
        </is>
      </c>
      <c r="C1136" s="12" t="inlineStr">
        <is>
          <t>Materials library, phone, who may</t>
        </is>
      </c>
      <c r="D1136" s="14" t="inlineStr">
        <is>
          <t>Camera-app shell below lg (D; B-113…B-115)</t>
        </is>
      </c>
      <c r="E1136" s="14" t="inlineStr">
        <is>
          <t>Built</t>
        </is>
      </c>
      <c r="F1136" s="12" t="inlineStr">
        <is>
          <t>The same model ≤1024 on 2.0 pieces (Q-25).</t>
        </is>
      </c>
      <c r="G1136" s="12" t="inlineStr">
        <is>
          <t>13.32</t>
        </is>
      </c>
      <c r="H1136" s="12" t="inlineStr"/>
      <c r="I1136" s="17" t="n"/>
      <c r="J1136" s="17" t="n"/>
    </row>
    <row r="1137">
      <c r="A1137" s="12" t="inlineStr">
        <is>
          <t>AI Visualizer</t>
        </is>
      </c>
      <c r="B1137" s="12" t="inlineStr">
        <is>
          <t>VP-02</t>
        </is>
      </c>
      <c r="C1137" s="12" t="inlineStr">
        <is>
          <t>Materials library, phone, who may</t>
        </is>
      </c>
      <c r="D1137" s="14" t="inlineStr">
        <is>
          <t>Touch rules</t>
        </is>
      </c>
      <c r="E1137" s="14" t="inlineStr">
        <is>
          <t>Built</t>
        </is>
      </c>
      <c r="F1137" s="12" t="inlineStr">
        <is>
          <t>The house (hover: none) arms; pointer events on the canvas.</t>
        </is>
      </c>
      <c r="G1137" s="12" t="inlineStr">
        <is>
          <t>13.32, 13.33</t>
        </is>
      </c>
      <c r="H1137" s="12" t="inlineStr"/>
      <c r="I1137" s="17" t="n"/>
      <c r="J1137" s="17" t="n"/>
    </row>
    <row r="1138">
      <c r="A1138" s="12" t="inlineStr">
        <is>
          <t>AI Visualizer</t>
        </is>
      </c>
      <c r="B1138" s="12" t="inlineStr">
        <is>
          <t>VW-01</t>
        </is>
      </c>
      <c r="C1138" s="12" t="inlineStr">
        <is>
          <t>Materials library, phone, who may</t>
        </is>
      </c>
      <c r="D1138" s="14" t="inlineStr">
        <is>
          <t>Who may</t>
        </is>
      </c>
      <c r="E1138" s="14" t="inlineStr">
        <is>
          <t>Built</t>
        </is>
      </c>
      <c r="F1138" s="12" t="inlineStr">
        <is>
          <t>Every member; Who sees leads on lead designs; delete by maker, Owner or Admin (Q-24).</t>
        </is>
      </c>
      <c r="G1138" s="12" t="inlineStr">
        <is>
          <t>13.21, 13.22</t>
        </is>
      </c>
      <c r="H1138" s="12" t="inlineStr"/>
      <c r="I1138" s="17" t="n"/>
      <c r="J1138" s="17" t="n"/>
    </row>
    <row r="1139">
      <c r="A1139" s="12" t="inlineStr">
        <is>
          <t>AI Visualizer</t>
        </is>
      </c>
      <c r="B1139" s="12" t="inlineStr">
        <is>
          <t>VW-02</t>
        </is>
      </c>
      <c r="C1139" s="12" t="inlineStr">
        <is>
          <t>Materials library, phone, who may</t>
        </is>
      </c>
      <c r="D1139" s="14" t="inlineStr">
        <is>
          <t>Usage funnel</t>
        </is>
      </c>
      <c r="E1139" s="14" t="inlineStr">
        <is>
          <t>Platform</t>
        </is>
      </c>
      <c r="F1139" s="12" t="inlineStr">
        <is>
          <t>Not built.</t>
        </is>
      </c>
      <c r="G1139" s="12" t="inlineStr"/>
      <c r="H1139" s="12" t="inlineStr"/>
      <c r="I1139" s="17" t="n"/>
      <c r="J1139" s="17" t="n"/>
    </row>
    <row r="1140">
      <c r="A1140" s="12" t="inlineStr">
        <is>
          <t>AI Visualizer</t>
        </is>
      </c>
      <c r="B1140" s="12" t="inlineStr">
        <is>
          <t>VW-03</t>
        </is>
      </c>
      <c r="C1140" s="12" t="inlineStr">
        <is>
          <t>Materials library, phone, who may</t>
        </is>
      </c>
      <c r="D1140" s="14" t="inlineStr">
        <is>
          <t>Trial + demo (A G-01…G-14)</t>
        </is>
      </c>
      <c r="E1140" s="14" t="inlineStr">
        <is>
          <t>Not in 2.0</t>
        </is>
      </c>
      <c r="F1140" s="12" t="inlineStr">
        <is>
          <t>Not built.</t>
        </is>
      </c>
      <c r="G1140" s="12" t="inlineStr"/>
      <c r="H1140" s="12" t="inlineStr"/>
      <c r="I1140" s="17" t="n"/>
      <c r="J1140" s="17" t="n"/>
    </row>
    <row r="1141">
      <c r="A1141" s="12" t="inlineStr">
        <is>
          <t>AI credits &amp; plans</t>
        </is>
      </c>
      <c r="B1141" s="12" t="inlineStr">
        <is>
          <t>CR-01</t>
        </is>
      </c>
      <c r="C1141" s="12" t="inlineStr">
        <is>
          <t>Plans and prices</t>
        </is>
      </c>
      <c r="D1141" s="14" t="inlineStr">
        <is>
          <t>The four plans, prices, allowances, seats, annual = 11 × monthly, the 14-day Pro trial</t>
        </is>
      </c>
      <c r="E1141" s="14" t="inlineStr">
        <is>
          <t>Built</t>
        </is>
      </c>
      <c r="F1141" s="12" t="inlineStr"/>
      <c r="G1141" s="12" t="inlineStr">
        <is>
          <t>14.02</t>
        </is>
      </c>
      <c r="H1141" s="12" t="inlineStr"/>
      <c r="I1141" s="17" t="n"/>
      <c r="J1141" s="17" t="n"/>
    </row>
    <row r="1142">
      <c r="A1142" s="12" t="inlineStr">
        <is>
          <t>AI credits &amp; plans</t>
        </is>
      </c>
      <c r="B1142" s="12" t="inlineStr">
        <is>
          <t>CR-02</t>
        </is>
      </c>
      <c r="C1142" s="12" t="inlineStr">
        <is>
          <t>Plans and prices</t>
        </is>
      </c>
      <c r="D1142" s="14" t="inlineStr">
        <is>
          <t>Two buckets: plan credits first, top-ups never expire, refunds into top-ups</t>
        </is>
      </c>
      <c r="E1142" s="14" t="inlineStr">
        <is>
          <t>Built</t>
        </is>
      </c>
      <c r="F1142" s="12" t="inlineStr"/>
      <c r="G1142" s="12" t="inlineStr">
        <is>
          <t>14.01</t>
        </is>
      </c>
      <c r="H1142" s="12" t="inlineStr"/>
      <c r="I1142" s="17" t="n"/>
      <c r="J1142" s="17" t="n"/>
    </row>
    <row r="1143">
      <c r="A1143" s="12" t="inlineStr">
        <is>
          <t>AI credits &amp; plans</t>
        </is>
      </c>
      <c r="B1143" s="12" t="inlineStr">
        <is>
          <t>CR-03</t>
        </is>
      </c>
      <c r="C1143" s="12" t="inlineStr">
        <is>
          <t>Plans and prices</t>
        </is>
      </c>
      <c r="D1143" s="14" t="inlineStr">
        <is>
          <t>The price list (render 10 · pro render 20 · defurnish 10 · digitize 5 …)</t>
        </is>
      </c>
      <c r="E1143" s="14" t="inlineStr">
        <is>
          <t>Built</t>
        </is>
      </c>
      <c r="F1143" s="12" t="inlineStr"/>
      <c r="G1143" s="12" t="inlineStr">
        <is>
          <t>14.05</t>
        </is>
      </c>
      <c r="H1143" s="12" t="inlineStr"/>
      <c r="I1143" s="17" t="n"/>
      <c r="J1143" s="17" t="n"/>
    </row>
    <row r="1144">
      <c r="A1144" s="12" t="inlineStr">
        <is>
          <t>AI credits &amp; plans</t>
        </is>
      </c>
      <c r="B1144" s="12" t="inlineStr">
        <is>
          <t>CR-04</t>
        </is>
      </c>
      <c r="C1144" s="12" t="inlineStr">
        <is>
          <t>Plans and prices</t>
        </is>
      </c>
      <c r="D1144" s="14" t="inlineStr">
        <is>
          <t>Variants × price in one charge</t>
        </is>
      </c>
      <c r="E1144" s="14" t="inlineStr">
        <is>
          <t>Built</t>
        </is>
      </c>
      <c r="F1144" s="12" t="inlineStr"/>
      <c r="G1144" s="12" t="inlineStr">
        <is>
          <t>14.05</t>
        </is>
      </c>
      <c r="H1144" s="12" t="inlineStr"/>
      <c r="I1144" s="17" t="n"/>
      <c r="J1144" s="17" t="n"/>
    </row>
    <row r="1145">
      <c r="A1145" s="12" t="inlineStr">
        <is>
          <t>AI credits &amp; plans</t>
        </is>
      </c>
      <c r="B1145" s="12" t="inlineStr">
        <is>
          <t>CR-05</t>
        </is>
      </c>
      <c r="C1145" s="12" t="inlineStr">
        <is>
          <t>Plans and prices</t>
        </is>
      </c>
      <c r="D1145" s="14" t="inlineStr">
        <is>
          <t>Charge first, refund on every failure</t>
        </is>
      </c>
      <c r="E1145" s="14" t="inlineStr">
        <is>
          <t>Built</t>
        </is>
      </c>
      <c r="F1145" s="12" t="inlineStr"/>
      <c r="G1145" s="12" t="inlineStr">
        <is>
          <t>14.06</t>
        </is>
      </c>
      <c r="H1145" s="12" t="inlineStr"/>
      <c r="I1145" s="17" t="n"/>
      <c r="J1145" s="17" t="n"/>
    </row>
    <row r="1146">
      <c r="A1146" s="12" t="inlineStr">
        <is>
          <t>AI credits &amp; plans</t>
        </is>
      </c>
      <c r="B1146" s="12" t="inlineStr">
        <is>
          <t>CR-06</t>
        </is>
      </c>
      <c r="C1146" s="12" t="inlineStr">
        <is>
          <t>Plans and prices</t>
        </is>
      </c>
      <c r="D1146" s="14" t="inlineStr">
        <is>
          <t>Top-up 1,000 for S$20</t>
        </is>
      </c>
      <c r="E1146" s="14" t="inlineStr">
        <is>
          <t>Built</t>
        </is>
      </c>
      <c r="F1146" s="12" t="inlineStr">
        <is>
          <t>One pack, as 1.0 sells it (Q-21); packs of 2,000 / 5,000 later.</t>
        </is>
      </c>
      <c r="G1146" s="12" t="inlineStr">
        <is>
          <t>14.07</t>
        </is>
      </c>
      <c r="H1146" s="12" t="inlineStr"/>
      <c r="I1146" s="17" t="n"/>
      <c r="J1146" s="17" t="n"/>
    </row>
    <row r="1147">
      <c r="A1147" s="12" t="inlineStr">
        <is>
          <t>AI credits &amp; plans</t>
        </is>
      </c>
      <c r="B1147" s="12" t="inlineStr">
        <is>
          <t>CR-07</t>
        </is>
      </c>
      <c r="C1147" s="12" t="inlineStr">
        <is>
          <t>Plans and prices</t>
        </is>
      </c>
      <c r="D1147" s="14" t="inlineStr">
        <is>
          <t>Tax (Dodo as merchant of record)</t>
        </is>
      </c>
      <c r="E1147" s="14" t="inlineStr">
        <is>
          <t>Built</t>
        </is>
      </c>
      <c r="F1147" s="12" t="inlineStr">
        <is>
          <t>The studio's own GST line under every price (Q-15); finance to confirm the words.</t>
        </is>
      </c>
      <c r="G1147" s="12" t="inlineStr">
        <is>
          <t>14.02</t>
        </is>
      </c>
      <c r="H1147" s="12" t="inlineStr"/>
      <c r="I1147" s="17" t="n"/>
      <c r="J1147" s="17" t="n"/>
    </row>
    <row r="1148">
      <c r="A1148" s="12" t="inlineStr">
        <is>
          <t>AI credits &amp; plans</t>
        </is>
      </c>
      <c r="B1148" s="12" t="inlineStr">
        <is>
          <t>RL-01</t>
        </is>
      </c>
      <c r="C1148" s="12" t="inlineStr">
        <is>
          <t>The rail and the card</t>
        </is>
      </c>
      <c r="D1148" s="14" t="inlineStr">
        <is>
          <t>Upgrade in the rail</t>
        </is>
      </c>
      <c r="E1148" s="14" t="inlineStr">
        <is>
          <t>Built</t>
        </is>
      </c>
      <c r="F1148" s="12" t="inlineStr"/>
      <c r="G1148" s="12" t="inlineStr">
        <is>
          <t>14.01, 14.03</t>
        </is>
      </c>
      <c r="H1148" s="12" t="inlineStr"/>
      <c r="I1148" s="17" t="n"/>
      <c r="J1148" s="17" t="n"/>
    </row>
    <row r="1149">
      <c r="A1149" s="12" t="inlineStr">
        <is>
          <t>AI credits &amp; plans</t>
        </is>
      </c>
      <c r="B1149" s="12" t="inlineStr">
        <is>
          <t>RL-02</t>
        </is>
      </c>
      <c r="C1149" s="12" t="inlineStr">
        <is>
          <t>The rail and the card</t>
        </is>
      </c>
      <c r="D1149" s="14" t="inlineStr">
        <is>
          <t>The credits pill and its states</t>
        </is>
      </c>
      <c r="E1149" s="14" t="inlineStr">
        <is>
          <t>Built</t>
        </is>
      </c>
      <c r="F1149" s="12" t="inlineStr"/>
      <c r="G1149" s="12" t="inlineStr">
        <is>
          <t>14.01</t>
        </is>
      </c>
      <c r="H1149" s="12" t="inlineStr"/>
      <c r="I1149" s="17" t="n"/>
      <c r="J1149" s="17" t="n"/>
    </row>
    <row r="1150">
      <c r="A1150" s="12" t="inlineStr">
        <is>
          <t>AI credits &amp; plans</t>
        </is>
      </c>
      <c r="B1150" s="12" t="inlineStr">
        <is>
          <t>RL-03</t>
        </is>
      </c>
      <c r="C1150" s="12" t="inlineStr">
        <is>
          <t>The rail and the card</t>
        </is>
      </c>
      <c r="D1150" s="14" t="inlineStr">
        <is>
          <t>The collapsed tile</t>
        </is>
      </c>
      <c r="E1150" s="14" t="inlineStr">
        <is>
          <t>Built</t>
        </is>
      </c>
      <c r="F1150" s="12" t="inlineStr"/>
      <c r="G1150" s="12" t="inlineStr">
        <is>
          <t>14.01</t>
        </is>
      </c>
      <c r="H1150" s="12" t="inlineStr"/>
      <c r="I1150" s="17" t="n"/>
      <c r="J1150" s="17" t="n"/>
    </row>
    <row r="1151">
      <c r="A1151" s="12" t="inlineStr">
        <is>
          <t>AI credits &amp; plans</t>
        </is>
      </c>
      <c r="B1151" s="12" t="inlineStr">
        <is>
          <t>RL-04</t>
        </is>
      </c>
      <c r="C1151" s="12" t="inlineStr">
        <is>
          <t>The rail and the card</t>
        </is>
      </c>
      <c r="D1151" s="14" t="inlineStr">
        <is>
          <t>The hover popover</t>
        </is>
      </c>
      <c r="E1151" s="14" t="inlineStr">
        <is>
          <t>Built</t>
        </is>
      </c>
      <c r="F1151" s="12" t="inlineStr">
        <is>
          <t>A press opens the card; hover gives the tooltip (Q-07).</t>
        </is>
      </c>
      <c r="G1151" s="12" t="inlineStr">
        <is>
          <t>14.01</t>
        </is>
      </c>
      <c r="H1151" s="12" t="inlineStr"/>
      <c r="I1151" s="17" t="n"/>
      <c r="J1151" s="17" t="n"/>
    </row>
    <row r="1152">
      <c r="A1152" s="12" t="inlineStr">
        <is>
          <t>AI credits &amp; plans</t>
        </is>
      </c>
      <c r="B1152" s="12" t="inlineStr">
        <is>
          <t>RL-05</t>
        </is>
      </c>
      <c r="C1152" s="12" t="inlineStr">
        <is>
          <t>The rail and the card</t>
        </is>
      </c>
      <c r="D1152" s="14" t="inlineStr">
        <is>
          <t>The popover's lines and buy block</t>
        </is>
      </c>
      <c r="E1152" s="14" t="inlineStr">
        <is>
          <t>Built</t>
        </is>
      </c>
      <c r="F1152" s="12" t="inlineStr"/>
      <c r="G1152" s="12" t="inlineStr">
        <is>
          <t>14.01</t>
        </is>
      </c>
      <c r="H1152" s="12" t="inlineStr"/>
      <c r="I1152" s="17" t="n"/>
      <c r="J1152" s="17" t="n"/>
    </row>
    <row r="1153">
      <c r="A1153" s="12" t="inlineStr">
        <is>
          <t>AI credits &amp; plans</t>
        </is>
      </c>
      <c r="B1153" s="12" t="inlineStr">
        <is>
          <t>RL-06</t>
        </is>
      </c>
      <c r="C1153" s="12" t="inlineStr">
        <is>
          <t>The rail and the card</t>
        </is>
      </c>
      <c r="D1153" s="14" t="inlineStr">
        <is>
          <t>The balance in the rail-less AI Visualizer</t>
        </is>
      </c>
      <c r="E1153" s="14" t="inlineStr">
        <is>
          <t>2.0 only</t>
        </is>
      </c>
      <c r="F1153" s="12" t="inlineStr"/>
      <c r="G1153" s="12" t="inlineStr">
        <is>
          <t>14.05</t>
        </is>
      </c>
      <c r="H1153" s="12" t="inlineStr"/>
      <c r="I1153" s="17" t="n"/>
      <c r="J1153" s="17" t="n"/>
    </row>
    <row r="1154">
      <c r="A1154" s="12" t="inlineStr">
        <is>
          <t>AI credits &amp; plans</t>
        </is>
      </c>
      <c r="B1154" s="12" t="inlineStr">
        <is>
          <t>PL-01</t>
        </is>
      </c>
      <c r="C1154" s="12" t="inlineStr">
        <is>
          <t>Plans in the app</t>
        </is>
      </c>
      <c r="D1154" s="14" t="inlineStr">
        <is>
          <t>/pricing and /upgrade</t>
        </is>
      </c>
      <c r="E1154" s="14" t="inlineStr">
        <is>
          <t>Built</t>
        </is>
      </c>
      <c r="F1154" s="12" t="inlineStr">
        <is>
          <t>Plans opens inside the app (Q-10).</t>
        </is>
      </c>
      <c r="G1154" s="12" t="inlineStr">
        <is>
          <t>14.02</t>
        </is>
      </c>
      <c r="H1154" s="12" t="inlineStr"/>
      <c r="I1154" s="17" t="n"/>
      <c r="J1154" s="17" t="n"/>
    </row>
    <row r="1155">
      <c r="A1155" s="12" t="inlineStr">
        <is>
          <t>AI credits &amp; plans</t>
        </is>
      </c>
      <c r="B1155" s="12" t="inlineStr">
        <is>
          <t>PL-02</t>
        </is>
      </c>
      <c r="C1155" s="12" t="inlineStr">
        <is>
          <t>Plans in the app</t>
        </is>
      </c>
      <c r="D1155" s="14" t="inlineStr">
        <is>
          <t>Cards, toggles, allowance table, comparison, FAQ</t>
        </is>
      </c>
      <c r="E1155" s="14" t="inlineStr">
        <is>
          <t>Built</t>
        </is>
      </c>
      <c r="F1155" s="12" t="inlineStr"/>
      <c r="G1155" s="12" t="inlineStr">
        <is>
          <t>14.02</t>
        </is>
      </c>
      <c r="H1155" s="12" t="inlineStr"/>
      <c r="I1155" s="17" t="n"/>
      <c r="J1155" s="17" t="n"/>
    </row>
    <row r="1156">
      <c r="A1156" s="12" t="inlineStr">
        <is>
          <t>AI credits &amp; plans</t>
        </is>
      </c>
      <c r="B1156" s="12" t="inlineStr">
        <is>
          <t>PL-03</t>
        </is>
      </c>
      <c r="C1156" s="12" t="inlineStr">
        <is>
          <t>Plans in the app</t>
        </is>
      </c>
      <c r="D1156" s="14" t="inlineStr">
        <is>
          <t>Current plan, seats, the suggested plan</t>
        </is>
      </c>
      <c r="E1156" s="14" t="inlineStr">
        <is>
          <t>Built</t>
        </is>
      </c>
      <c r="F1156" s="12" t="inlineStr"/>
      <c r="G1156" s="12" t="inlineStr">
        <is>
          <t>14.02</t>
        </is>
      </c>
      <c r="H1156" s="12" t="inlineStr"/>
      <c r="I1156" s="17" t="n"/>
      <c r="J1156" s="17" t="n"/>
    </row>
    <row r="1157">
      <c r="A1157" s="12" t="inlineStr">
        <is>
          <t>AI credits &amp; plans</t>
        </is>
      </c>
      <c r="B1157" s="12" t="inlineStr">
        <is>
          <t>PL-04</t>
        </is>
      </c>
      <c r="C1157" s="12" t="inlineStr">
        <is>
          <t>Plans in the app</t>
        </is>
      </c>
      <c r="D1157" s="14" t="inlineStr">
        <is>
          <t>The Dodo overlay checkout</t>
        </is>
      </c>
      <c r="E1157" s="14" t="inlineStr">
        <is>
          <t>Built</t>
        </is>
      </c>
      <c r="F1157" s="12" t="inlineStr">
        <is>
          <t>A labelled demo stand-in in the prototype (Q-14).</t>
        </is>
      </c>
      <c r="G1157" s="12" t="inlineStr">
        <is>
          <t>14.04</t>
        </is>
      </c>
      <c r="H1157" s="12" t="inlineStr"/>
      <c r="I1157" s="17" t="n"/>
      <c r="J1157" s="17" t="n"/>
    </row>
    <row r="1158">
      <c r="A1158" s="12" t="inlineStr">
        <is>
          <t>AI credits &amp; plans</t>
        </is>
      </c>
      <c r="B1158" s="12" t="inlineStr">
        <is>
          <t>PL-05</t>
        </is>
      </c>
      <c r="C1158" s="12" t="inlineStr">
        <is>
          <t>Plans in the app</t>
        </is>
      </c>
      <c r="D1158" s="14" t="inlineStr">
        <is>
          <t>The checkout's status line</t>
        </is>
      </c>
      <c r="E1158" s="14" t="inlineStr">
        <is>
          <t>Built</t>
        </is>
      </c>
      <c r="F1158" s="12" t="inlineStr"/>
      <c r="G1158" s="12" t="inlineStr">
        <is>
          <t>14.04</t>
        </is>
      </c>
      <c r="H1158" s="12" t="inlineStr"/>
      <c r="I1158" s="17" t="n"/>
      <c r="J1158" s="17" t="n"/>
    </row>
    <row r="1159">
      <c r="A1159" s="12" t="inlineStr">
        <is>
          <t>AI credits &amp; plans</t>
        </is>
      </c>
      <c r="B1159" s="12" t="inlineStr">
        <is>
          <t>PL-06</t>
        </is>
      </c>
      <c r="C1159" s="12" t="inlineStr">
        <is>
          <t>Plans in the app</t>
        </is>
      </c>
      <c r="D1159" s="14" t="inlineStr">
        <is>
          <t>Success: the credits count in; the rail's upgrade moment</t>
        </is>
      </c>
      <c r="E1159" s="14" t="inlineStr">
        <is>
          <t>2.0 only</t>
        </is>
      </c>
      <c r="F1159" s="12" t="inlineStr"/>
      <c r="G1159" s="12" t="inlineStr">
        <is>
          <t>14.04</t>
        </is>
      </c>
      <c r="H1159" s="12" t="inlineStr"/>
      <c r="I1159" s="17" t="n"/>
      <c r="J1159" s="17" t="n"/>
    </row>
    <row r="1160">
      <c r="A1160" s="12" t="inlineStr">
        <is>
          <t>AI credits &amp; plans</t>
        </is>
      </c>
      <c r="B1160" s="12" t="inlineStr">
        <is>
          <t>PL-07</t>
        </is>
      </c>
      <c r="C1160" s="12" t="inlineStr">
        <is>
          <t>Plans in the app</t>
        </is>
      </c>
      <c r="D1160" s="14" t="inlineStr">
        <is>
          <t>The 14-day Pro trial</t>
        </is>
      </c>
      <c r="E1160" s="14" t="inlineStr">
        <is>
          <t>Built</t>
        </is>
      </c>
      <c r="F1160" s="12" t="inlineStr"/>
      <c r="G1160" s="12" t="inlineStr">
        <is>
          <t>14.04</t>
        </is>
      </c>
      <c r="H1160" s="12" t="inlineStr"/>
      <c r="I1160" s="17" t="n"/>
      <c r="J1160" s="17" t="n"/>
    </row>
    <row r="1161">
      <c r="A1161" s="12" t="inlineStr">
        <is>
          <t>AI credits &amp; plans</t>
        </is>
      </c>
      <c r="B1161" s="12" t="inlineStr">
        <is>
          <t>PL-08</t>
        </is>
      </c>
      <c r="C1161" s="12" t="inlineStr">
        <is>
          <t>Plans in the app</t>
        </is>
      </c>
      <c r="D1161" s="14" t="inlineStr">
        <is>
          <t>Max: Talk to us</t>
        </is>
      </c>
      <c r="E1161" s="14" t="inlineStr">
        <is>
          <t>Built</t>
        </is>
      </c>
      <c r="F1161" s="12" t="inlineStr"/>
      <c r="G1161" s="12" t="inlineStr">
        <is>
          <t>14.15</t>
        </is>
      </c>
      <c r="H1161" s="12" t="inlineStr"/>
      <c r="I1161" s="17" t="n"/>
      <c r="J1161" s="17" t="n"/>
    </row>
    <row r="1162">
      <c r="A1162" s="12" t="inlineStr">
        <is>
          <t>AI credits &amp; plans</t>
        </is>
      </c>
      <c r="B1162" s="12" t="inlineStr">
        <is>
          <t>PL-09</t>
        </is>
      </c>
      <c r="C1162" s="12" t="inlineStr">
        <is>
          <t>Plans in the app</t>
        </is>
      </c>
      <c r="D1162" s="14" t="inlineStr">
        <is>
          <t>Change plan, cancel</t>
        </is>
      </c>
      <c r="E1162" s="14" t="inlineStr">
        <is>
          <t>Built</t>
        </is>
      </c>
      <c r="F1162" s="12" t="inlineStr">
        <is>
          <t>Through Manage billing (Dodo's portal in the live app, Q-19).</t>
        </is>
      </c>
      <c r="G1162" s="12" t="inlineStr">
        <is>
          <t>14.13</t>
        </is>
      </c>
      <c r="H1162" s="12" t="inlineStr"/>
      <c r="I1162" s="17" t="n"/>
      <c r="J1162" s="17" t="n"/>
    </row>
    <row r="1163">
      <c r="A1163" s="12" t="inlineStr">
        <is>
          <t>AI credits &amp; plans</t>
        </is>
      </c>
      <c r="B1163" s="12" t="inlineStr">
        <is>
          <t>PM-01</t>
        </is>
      </c>
      <c r="C1163" s="12" t="inlineStr">
        <is>
          <t>Costs and moments</t>
        </is>
      </c>
      <c r="D1163" s="14" t="inlineStr">
        <is>
          <t>The cost on metered buttons</t>
        </is>
      </c>
      <c r="E1163" s="14" t="inlineStr">
        <is>
          <t>Built</t>
        </is>
      </c>
      <c r="F1163" s="12" t="inlineStr"/>
      <c r="G1163" s="12" t="inlineStr">
        <is>
          <t>14.05, 14.08</t>
        </is>
      </c>
      <c r="H1163" s="12" t="inlineStr"/>
      <c r="I1163" s="17" t="n"/>
      <c r="J1163" s="17" t="n"/>
    </row>
    <row r="1164">
      <c r="A1164" s="12" t="inlineStr">
        <is>
          <t>AI credits &amp; plans</t>
        </is>
      </c>
      <c r="B1164" s="12" t="inlineStr">
        <is>
          <t>PM-02</t>
        </is>
      </c>
      <c r="C1164" s="12" t="inlineStr">
        <is>
          <t>Costs and moments</t>
        </is>
      </c>
      <c r="D1164" s="14" t="inlineStr">
        <is>
          <t>Out of credits: buy and carry on</t>
        </is>
      </c>
      <c r="E1164" s="14" t="inlineStr">
        <is>
          <t>Built</t>
        </is>
      </c>
      <c r="F1164" s="12" t="inlineStr"/>
      <c r="G1164" s="12" t="inlineStr">
        <is>
          <t>14.07</t>
        </is>
      </c>
      <c r="H1164" s="12" t="inlineStr"/>
      <c r="I1164" s="17" t="n"/>
      <c r="J1164" s="17" t="n"/>
    </row>
    <row r="1165">
      <c r="A1165" s="12" t="inlineStr">
        <is>
          <t>AI credits &amp; plans</t>
        </is>
      </c>
      <c r="B1165" s="12" t="inlineStr">
        <is>
          <t>PM-03</t>
        </is>
      </c>
      <c r="C1165" s="12" t="inlineStr">
        <is>
          <t>Costs and moments</t>
        </is>
      </c>
      <c r="D1165" s="14" t="inlineStr">
        <is>
          <t>A member's amount reached: Request more</t>
        </is>
      </c>
      <c r="E1165" s="14" t="inlineStr">
        <is>
          <t>Built</t>
        </is>
      </c>
      <c r="F1165" s="12" t="inlineStr"/>
      <c r="G1165" s="12" t="inlineStr">
        <is>
          <t>14.11, 14.12</t>
        </is>
      </c>
      <c r="H1165" s="12" t="inlineStr"/>
      <c r="I1165" s="17" t="n"/>
      <c r="J1165" s="17" t="n"/>
    </row>
    <row r="1166">
      <c r="A1166" s="12" t="inlineStr">
        <is>
          <t>AI credits &amp; plans</t>
        </is>
      </c>
      <c r="B1166" s="12" t="inlineStr">
        <is>
          <t>PM-04</t>
        </is>
      </c>
      <c r="C1166" s="12" t="inlineStr">
        <is>
          <t>Costs and moments</t>
        </is>
      </c>
      <c r="D1166" s="14" t="inlineStr">
        <is>
          <t>Plan-locked features</t>
        </is>
      </c>
      <c r="E1166" s="14" t="inlineStr">
        <is>
          <t>Later</t>
        </is>
      </c>
      <c r="F1166" s="12" t="inlineStr">
        <is>
          <t>Their own round, R6 (Q-40).</t>
        </is>
      </c>
      <c r="G1166" s="12" t="inlineStr"/>
      <c r="H1166" s="12" t="inlineStr"/>
      <c r="I1166" s="17" t="n"/>
      <c r="J1166" s="17" t="n"/>
    </row>
    <row r="1167">
      <c r="A1167" s="12" t="inlineStr">
        <is>
          <t>AI credits &amp; plans</t>
        </is>
      </c>
      <c r="B1167" s="12" t="inlineStr">
        <is>
          <t>PM-05</t>
        </is>
      </c>
      <c r="C1167" s="12" t="inlineStr">
        <is>
          <t>Costs and moments</t>
        </is>
      </c>
      <c r="D1167" s="14" t="inlineStr">
        <is>
          <t>Refunds said at the failure</t>
        </is>
      </c>
      <c r="E1167" s="14" t="inlineStr">
        <is>
          <t>Built</t>
        </is>
      </c>
      <c r="F1167" s="12" t="inlineStr"/>
      <c r="G1167" s="12" t="inlineStr">
        <is>
          <t>14.06</t>
        </is>
      </c>
      <c r="H1167" s="12" t="inlineStr"/>
      <c r="I1167" s="17" t="n"/>
      <c r="J1167" s="17" t="n"/>
    </row>
    <row r="1168">
      <c r="A1168" s="12" t="inlineStr">
        <is>
          <t>AI credits &amp; plans</t>
        </is>
      </c>
      <c r="B1168" s="12" t="inlineStr">
        <is>
          <t>PM-06</t>
        </is>
      </c>
      <c r="C1168" s="12" t="inlineStr">
        <is>
          <t>Costs and moments</t>
        </is>
      </c>
      <c r="D1168" s="14" t="inlineStr">
        <is>
          <t>Low-balance warning</t>
        </is>
      </c>
      <c r="E1168" s="14" t="inlineStr">
        <is>
          <t>Built</t>
        </is>
      </c>
      <c r="F1168" s="12" t="inlineStr"/>
      <c r="G1168" s="12" t="inlineStr"/>
      <c r="H1168" s="28" t="inlineStr">
        <is>
          <t>Team check</t>
        </is>
      </c>
      <c r="I1168" s="17" t="n"/>
      <c r="J1168" s="17" t="n"/>
    </row>
    <row r="1169">
      <c r="A1169" s="12" t="inlineStr">
        <is>
          <t>AI credits &amp; plans</t>
        </is>
      </c>
      <c r="B1169" s="12" t="inlineStr">
        <is>
          <t>PM-07</t>
        </is>
      </c>
      <c r="C1169" s="12" t="inlineStr">
        <is>
          <t>Costs and moments</t>
        </is>
      </c>
      <c r="D1169" s="14" t="inlineStr">
        <is>
          <t>Payment failed</t>
        </is>
      </c>
      <c r="E1169" s="14" t="inlineStr">
        <is>
          <t>Built</t>
        </is>
      </c>
      <c r="F1169" s="12" t="inlineStr"/>
      <c r="G1169" s="12" t="inlineStr">
        <is>
          <t>14.14</t>
        </is>
      </c>
      <c r="H1169" s="12" t="inlineStr"/>
      <c r="I1169" s="17" t="n"/>
      <c r="J1169" s="17" t="n"/>
    </row>
    <row r="1170">
      <c r="A1170" s="12" t="inlineStr">
        <is>
          <t>AI credits &amp; plans</t>
        </is>
      </c>
      <c r="B1170" s="12" t="inlineStr">
        <is>
          <t>PM-08</t>
        </is>
      </c>
      <c r="C1170" s="12" t="inlineStr">
        <is>
          <t>Costs and moments</t>
        </is>
      </c>
      <c r="D1170" s="14" t="inlineStr">
        <is>
          <t>Auto top-up</t>
        </is>
      </c>
      <c r="E1170" s="14" t="inlineStr">
        <is>
          <t>Later</t>
        </is>
      </c>
      <c r="F1170" s="12" t="inlineStr">
        <is>
          <t>Needs a saved card, off-session charging and a threshold job in 1.0 (Q-36, B-29).</t>
        </is>
      </c>
      <c r="G1170" s="12" t="inlineStr"/>
      <c r="H1170" s="12" t="inlineStr"/>
      <c r="I1170" s="17" t="n"/>
      <c r="J1170" s="17" t="n"/>
    </row>
    <row r="1171">
      <c r="A1171" s="12" t="inlineStr">
        <is>
          <t>AI credits &amp; plans</t>
        </is>
      </c>
      <c r="B1171" s="12" t="inlineStr">
        <is>
          <t>US-01</t>
        </is>
      </c>
      <c r="C1171" s="12" t="inlineStr">
        <is>
          <t>Usage and billing</t>
        </is>
      </c>
      <c r="D1171" s="14" t="inlineStr">
        <is>
          <t>Settings › Usage &amp; credits</t>
        </is>
      </c>
      <c r="E1171" s="14" t="inlineStr">
        <is>
          <t>Built</t>
        </is>
      </c>
      <c r="F1171" s="12" t="inlineStr">
        <is>
          <t>Company › Plan &amp; AI credits (Q-22).</t>
        </is>
      </c>
      <c r="G1171" s="12" t="inlineStr">
        <is>
          <t>14.09</t>
        </is>
      </c>
      <c r="H1171" s="12" t="inlineStr"/>
      <c r="I1171" s="17" t="n"/>
      <c r="J1171" s="17" t="n"/>
    </row>
    <row r="1172">
      <c r="A1172" s="12" t="inlineStr">
        <is>
          <t>AI credits &amp; plans</t>
        </is>
      </c>
      <c r="B1172" s="12" t="inlineStr">
        <is>
          <t>US-02</t>
        </is>
      </c>
      <c r="C1172" s="12" t="inlineStr">
        <is>
          <t>Usage and billing</t>
        </is>
      </c>
      <c r="D1172" s="14" t="inlineStr">
        <is>
          <t>Period chips</t>
        </is>
      </c>
      <c r="E1172" s="14" t="inlineStr">
        <is>
          <t>Built</t>
        </is>
      </c>
      <c r="F1172" s="12" t="inlineStr"/>
      <c r="G1172" s="12" t="inlineStr">
        <is>
          <t>14.09</t>
        </is>
      </c>
      <c r="H1172" s="12" t="inlineStr"/>
      <c r="I1172" s="17" t="n"/>
      <c r="J1172" s="17" t="n"/>
    </row>
    <row r="1173">
      <c r="A1173" s="12" t="inlineStr">
        <is>
          <t>AI credits &amp; plans</t>
        </is>
      </c>
      <c r="B1173" s="12" t="inlineStr">
        <is>
          <t>US-03</t>
        </is>
      </c>
      <c r="C1173" s="12" t="inlineStr">
        <is>
          <t>Usage and billing</t>
        </is>
      </c>
      <c r="D1173" s="14" t="inlineStr">
        <is>
          <t>The headline card</t>
        </is>
      </c>
      <c r="E1173" s="14" t="inlineStr">
        <is>
          <t>Built</t>
        </is>
      </c>
      <c r="F1173" s="12" t="inlineStr"/>
      <c r="G1173" s="12" t="inlineStr">
        <is>
          <t>14.09</t>
        </is>
      </c>
      <c r="H1173" s="12" t="inlineStr"/>
      <c r="I1173" s="17" t="n"/>
      <c r="J1173" s="17" t="n"/>
    </row>
    <row r="1174">
      <c r="A1174" s="12" t="inlineStr">
        <is>
          <t>AI credits &amp; plans</t>
        </is>
      </c>
      <c r="B1174" s="12" t="inlineStr">
        <is>
          <t>US-04</t>
        </is>
      </c>
      <c r="C1174" s="12" t="inlineStr">
        <is>
          <t>Usage and billing</t>
        </is>
      </c>
      <c r="D1174" s="14" t="inlineStr">
        <is>
          <t>By member with caps</t>
        </is>
      </c>
      <c r="E1174" s="14" t="inlineStr">
        <is>
          <t>Built</t>
        </is>
      </c>
      <c r="F1174" s="12" t="inlineStr"/>
      <c r="G1174" s="12" t="inlineStr">
        <is>
          <t>14.10</t>
        </is>
      </c>
      <c r="H1174" s="12" t="inlineStr"/>
      <c r="I1174" s="17" t="n"/>
      <c r="J1174" s="17" t="n"/>
    </row>
    <row r="1175">
      <c r="A1175" s="12" t="inlineStr">
        <is>
          <t>AI credits &amp; plans</t>
        </is>
      </c>
      <c r="B1175" s="12" t="inlineStr">
        <is>
          <t>US-05</t>
        </is>
      </c>
      <c r="C1175" s="12" t="inlineStr">
        <is>
          <t>Usage and billing</t>
        </is>
      </c>
      <c r="D1175" s="14" t="inlineStr">
        <is>
          <t>Recent activity</t>
        </is>
      </c>
      <c r="E1175" s="14" t="inlineStr">
        <is>
          <t>Built</t>
        </is>
      </c>
      <c r="F1175" s="12" t="inlineStr"/>
      <c r="G1175" s="12" t="inlineStr">
        <is>
          <t>14.09</t>
        </is>
      </c>
      <c r="H1175" s="12" t="inlineStr"/>
      <c r="I1175" s="17" t="n"/>
      <c r="J1175" s="17" t="n"/>
    </row>
    <row r="1176">
      <c r="A1176" s="12" t="inlineStr">
        <is>
          <t>AI credits &amp; plans</t>
        </is>
      </c>
      <c r="B1176" s="12" t="inlineStr">
        <is>
          <t>US-06</t>
        </is>
      </c>
      <c r="C1176" s="12" t="inlineStr">
        <is>
          <t>Usage and billing</t>
        </is>
      </c>
      <c r="D1176" s="14" t="inlineStr">
        <is>
          <t>Where your credits went (without the US$ cost)</t>
        </is>
      </c>
      <c r="E1176" s="14" t="inlineStr">
        <is>
          <t>Built</t>
        </is>
      </c>
      <c r="F1176" s="12" t="inlineStr"/>
      <c r="G1176" s="12" t="inlineStr">
        <is>
          <t>14.09</t>
        </is>
      </c>
      <c r="H1176" s="12" t="inlineStr"/>
      <c r="I1176" s="17" t="n"/>
      <c r="J1176" s="17" t="n"/>
    </row>
    <row r="1177">
      <c r="A1177" s="12" t="inlineStr">
        <is>
          <t>AI credits &amp; plans</t>
        </is>
      </c>
      <c r="B1177" s="12" t="inlineStr">
        <is>
          <t>US-07</t>
        </is>
      </c>
      <c r="C1177" s="12" t="inlineStr">
        <is>
          <t>Usage and billing</t>
        </is>
      </c>
      <c r="D1177" s="14" t="inlineStr">
        <is>
          <t>By lead, won vs lost</t>
        </is>
      </c>
      <c r="E1177" s="14" t="inlineStr">
        <is>
          <t>2.0 only</t>
        </is>
      </c>
      <c r="F1177" s="12" t="inlineStr"/>
      <c r="G1177" s="12" t="inlineStr">
        <is>
          <t>14.09</t>
        </is>
      </c>
      <c r="H1177" s="12" t="inlineStr"/>
      <c r="I1177" s="17" t="n"/>
      <c r="J1177" s="17" t="n"/>
    </row>
    <row r="1178">
      <c r="A1178" s="12" t="inlineStr">
        <is>
          <t>AI credits &amp; plans</t>
        </is>
      </c>
      <c r="B1178" s="12" t="inlineStr">
        <is>
          <t>US-08</t>
        </is>
      </c>
      <c r="C1178" s="12" t="inlineStr">
        <is>
          <t>Usage and billing</t>
        </is>
      </c>
      <c r="D1178" s="14" t="inlineStr">
        <is>
          <t>Export</t>
        </is>
      </c>
      <c r="E1178" s="14" t="inlineStr">
        <is>
          <t>Built</t>
        </is>
      </c>
      <c r="F1178" s="12" t="inlineStr"/>
      <c r="G1178" s="12" t="inlineStr">
        <is>
          <t>14.09</t>
        </is>
      </c>
      <c r="H1178" s="12" t="inlineStr"/>
      <c r="I1178" s="17" t="n"/>
      <c r="J1178" s="17" t="n"/>
    </row>
    <row r="1179">
      <c r="A1179" s="12" t="inlineStr">
        <is>
          <t>AI credits &amp; plans</t>
        </is>
      </c>
      <c r="B1179" s="12" t="inlineStr">
        <is>
          <t>US-09</t>
        </is>
      </c>
      <c r="C1179" s="12" t="inlineStr">
        <is>
          <t>Usage and billing</t>
        </is>
      </c>
      <c r="D1179" s="14" t="inlineStr">
        <is>
          <t>Plan &amp; billing: plan, seats, card, details, invoices</t>
        </is>
      </c>
      <c r="E1179" s="14" t="inlineStr">
        <is>
          <t>Built</t>
        </is>
      </c>
      <c r="F1179" s="12" t="inlineStr">
        <is>
          <t>Auto top-up waits (PM-08).</t>
        </is>
      </c>
      <c r="G1179" s="12" t="inlineStr">
        <is>
          <t>14.13</t>
        </is>
      </c>
      <c r="H1179" s="12" t="inlineStr"/>
      <c r="I1179" s="17" t="n"/>
      <c r="J1179" s="17" t="n"/>
    </row>
    <row r="1180">
      <c r="A1180" s="12" t="inlineStr">
        <is>
          <t>AI credits &amp; plans</t>
        </is>
      </c>
      <c r="B1180" s="12" t="inlineStr">
        <is>
          <t>RO-01</t>
        </is>
      </c>
      <c r="C1180" s="12" t="inlineStr">
        <is>
          <t>Rules, bell, phone, data</t>
        </is>
      </c>
      <c r="D1180" s="14" t="inlineStr">
        <is>
          <t>Owner-only buying, caps and plan; pool for Owner and Admins</t>
        </is>
      </c>
      <c r="E1180" s="14" t="inlineStr">
        <is>
          <t>Built</t>
        </is>
      </c>
      <c r="F1180" s="12" t="inlineStr"/>
      <c r="G1180" s="12" t="inlineStr">
        <is>
          <t>14.11, 14.15</t>
        </is>
      </c>
      <c r="H1180" s="12" t="inlineStr"/>
      <c r="I1180" s="17" t="n"/>
      <c r="J1180" s="17" t="n"/>
    </row>
    <row r="1181">
      <c r="A1181" s="12" t="inlineStr">
        <is>
          <t>AI credits &amp; plans</t>
        </is>
      </c>
      <c r="B1181" s="12" t="inlineStr">
        <is>
          <t>NT-01</t>
        </is>
      </c>
      <c r="C1181" s="12" t="inlineStr">
        <is>
          <t>Rules, bell, phone, data</t>
        </is>
      </c>
      <c r="D1181" s="14" t="inlineStr">
        <is>
          <t>Credit notifications</t>
        </is>
      </c>
      <c r="E1181" s="14" t="inlineStr">
        <is>
          <t>Built</t>
        </is>
      </c>
      <c r="F1181" s="12" t="inlineStr"/>
      <c r="G1181" s="12" t="inlineStr">
        <is>
          <t>14.12, 14.15</t>
        </is>
      </c>
      <c r="H1181" s="12" t="inlineStr"/>
      <c r="I1181" s="17" t="n"/>
      <c r="J1181" s="17" t="n"/>
    </row>
    <row r="1182">
      <c r="A1182" s="12" t="inlineStr">
        <is>
          <t>AI credits &amp; plans</t>
        </is>
      </c>
      <c r="B1182" s="12" t="inlineStr">
        <is>
          <t>PH-01</t>
        </is>
      </c>
      <c r="C1182" s="12" t="inlineStr">
        <is>
          <t>Rules, bell, phone, data</t>
        </is>
      </c>
      <c r="D1182" s="14" t="inlineStr">
        <is>
          <t>Credits on a phone</t>
        </is>
      </c>
      <c r="E1182" s="14" t="inlineStr">
        <is>
          <t>Built</t>
        </is>
      </c>
      <c r="F1182" s="12" t="inlineStr"/>
      <c r="G1182" s="12" t="inlineStr">
        <is>
          <t>14.16</t>
        </is>
      </c>
      <c r="H1182" s="12" t="inlineStr"/>
      <c r="I1182" s="17" t="n"/>
      <c r="J1182" s="17" t="n"/>
    </row>
    <row r="1183">
      <c r="A1183" s="12" t="inlineStr">
        <is>
          <t>AI credits &amp; plans</t>
        </is>
      </c>
      <c r="B1183" s="12" t="inlineStr">
        <is>
          <t>DA-01</t>
        </is>
      </c>
      <c r="C1183" s="12" t="inlineStr">
        <is>
          <t>Rules, bell, phone, data</t>
        </is>
      </c>
      <c r="D1183" s="14" t="inlineStr">
        <is>
          <t>The tables under 1.0's names</t>
        </is>
      </c>
      <c r="E1183" s="14" t="inlineStr">
        <is>
          <t>Built</t>
        </is>
      </c>
      <c r="F1183" s="12" t="inlineStr"/>
      <c r="G1183" s="12" t="inlineStr"/>
      <c r="H1183" s="28" t="inlineStr">
        <is>
          <t>Team check</t>
        </is>
      </c>
      <c r="I1183" s="17" t="n"/>
      <c r="J1183" s="17" t="n"/>
    </row>
    <row r="1184">
      <c r="A1184" s="12" t="inlineStr">
        <is>
          <t>AI credits &amp; plans</t>
        </is>
      </c>
      <c r="B1184" s="12" t="inlineStr">
        <is>
          <t>EX-01</t>
        </is>
      </c>
      <c r="C1184" s="12" t="inlineStr">
        <is>
          <t>Rules, bell, phone, data</t>
        </is>
      </c>
      <c r="D1184" s="14" t="inlineStr">
        <is>
          <t>/admin/plans, the visitor trial, sign-up gates</t>
        </is>
      </c>
      <c r="E1184" s="14" t="inlineStr">
        <is>
          <t>Excluded</t>
        </is>
      </c>
      <c r="F1184" s="12" t="inlineStr"/>
      <c r="G1184" s="12" t="inlineStr"/>
      <c r="H1184" s="12" t="inlineStr"/>
      <c r="I1184" s="17" t="n"/>
      <c r="J1184" s="17" t="n"/>
    </row>
  </sheetData>
  <autoFilter ref="A3:J1184"/>
  <mergeCells count="1">
    <mergeCell ref="A2:J2"/>
  </mergeCells>
  <conditionalFormatting sqref="I4:I1184">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184"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AI Visualizer</t>
        </is>
      </c>
    </row>
    <row r="16">
      <c r="F16" s="24" t="inlineStr">
        <is>
          <t>AI credits</t>
        </is>
      </c>
    </row>
    <row r="17">
      <c r="F17"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2026-09-28T16:43:14Z</dcterms:created>
  <dcterms:modified xsi:type="dcterms:W3CDTF">2026-09-28T16:43:16Z</dcterms:modified>
</cp:coreProperties>
</file>